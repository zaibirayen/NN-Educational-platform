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FB00C7-83BA-4B34-A4F8-938B9D23E90D}" xr6:coauthVersionLast="36" xr6:coauthVersionMax="47" xr10:uidLastSave="{00000000-0000-0000-0000-000000000000}"/>
  <bookViews>
    <workbookView xWindow="0" yWindow="0" windowWidth="23431" windowHeight="9153" xr2:uid="{00000000-000D-0000-FFFF-FFFF00000000}"/>
  </bookViews>
  <sheets>
    <sheet name="EUR-GBP-JPY vs USD" sheetId="4" r:id="rId1"/>
    <sheet name="Dickey-Fuller" sheetId="5" r:id="rId2"/>
    <sheet name="PACF" sheetId="6" r:id="rId3"/>
    <sheet name="AR(2)" sheetId="9" r:id="rId4"/>
    <sheet name="AR(1)" sheetId="7" r:id="rId5"/>
  </sheets>
  <definedNames>
    <definedName name="ASK">#REF!</definedName>
    <definedName name="BID">#REF!</definedName>
    <definedName name="DAT">#REF!</definedName>
    <definedName name="filterValues">#REF!</definedName>
    <definedName name="MID_PRICE">#REF!</definedName>
    <definedName name="mu">'EUR-GBP-JPY vs USD'!$AC$4</definedName>
    <definedName name="obs">PACF!$B$8</definedName>
    <definedName name="PACF_AR1">PACF!$B$18</definedName>
    <definedName name="PACF_AR2">PACF!$B$19</definedName>
    <definedName name="PACF_AR3">PACF!$B$20</definedName>
    <definedName name="phTableData">#REF!</definedName>
    <definedName name="phTableHeader">#REF!</definedName>
    <definedName name="phTableName">#REF!</definedName>
    <definedName name="sheetHeader">#REF!</definedName>
    <definedName name="solver_adj" localSheetId="0" hidden="1">'EUR-GBP-JPY vs USD'!$AC$4,'EUR-GBP-JPY vs USD'!$AC$5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'EUR-GBP-JPY vs USD'!$AC$5</definedName>
    <definedName name="solver_lhs2" localSheetId="0" hidden="1">'EUR-GBP-JPY vs USD'!$AC$5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'EUR-GBP-JPY vs USD'!$AM$5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0.999</definedName>
    <definedName name="solver_rhs2" localSheetId="0" hidden="1">-0.99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tatPriceChangeTableData">#REF!</definedName>
    <definedName name="statPriceChangeTableHeader">#REF!</definedName>
    <definedName name="statTableName">#REF!</definedName>
    <definedName name="statUpDownTableData">#REF!</definedName>
    <definedName name="statUpDownTableHeader">#REF!</definedName>
    <definedName name="theta">'EUR-GBP-JPY vs USD'!$AC$5</definedName>
  </definedNames>
  <calcPr calcId="191029"/>
</workbook>
</file>

<file path=xl/calcChain.xml><?xml version="1.0" encoding="utf-8"?>
<calcChain xmlns="http://schemas.openxmlformats.org/spreadsheetml/2006/main">
  <c r="AP5" i="4" l="1"/>
  <c r="AI6" i="4"/>
  <c r="AH6" i="4"/>
  <c r="AE7" i="4"/>
  <c r="AK7" i="4" s="1"/>
  <c r="AF8" i="4"/>
  <c r="AG9" i="4" s="1"/>
  <c r="AQ5" i="4"/>
  <c r="AR5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8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7" i="4"/>
  <c r="W1517" i="4"/>
  <c r="W1516" i="4"/>
  <c r="W1515" i="4"/>
  <c r="W1514" i="4"/>
  <c r="W1513" i="4"/>
  <c r="W1512" i="4"/>
  <c r="W1511" i="4"/>
  <c r="W1510" i="4"/>
  <c r="W1509" i="4"/>
  <c r="W1508" i="4"/>
  <c r="W1507" i="4"/>
  <c r="W1506" i="4"/>
  <c r="W1505" i="4"/>
  <c r="W1504" i="4"/>
  <c r="W1503" i="4"/>
  <c r="W1502" i="4"/>
  <c r="W1501" i="4"/>
  <c r="W1500" i="4"/>
  <c r="W1499" i="4"/>
  <c r="W1498" i="4"/>
  <c r="W1497" i="4"/>
  <c r="W1496" i="4"/>
  <c r="W1495" i="4"/>
  <c r="W1494" i="4"/>
  <c r="W1493" i="4"/>
  <c r="W1492" i="4"/>
  <c r="W1491" i="4"/>
  <c r="W1490" i="4"/>
  <c r="W1489" i="4"/>
  <c r="W1488" i="4"/>
  <c r="W1487" i="4"/>
  <c r="W1486" i="4"/>
  <c r="W1485" i="4"/>
  <c r="W1484" i="4"/>
  <c r="W1483" i="4"/>
  <c r="W1482" i="4"/>
  <c r="W1481" i="4"/>
  <c r="W1480" i="4"/>
  <c r="W1479" i="4"/>
  <c r="W1478" i="4"/>
  <c r="W1477" i="4"/>
  <c r="W1476" i="4"/>
  <c r="W1475" i="4"/>
  <c r="W1474" i="4"/>
  <c r="W1473" i="4"/>
  <c r="W1472" i="4"/>
  <c r="W1471" i="4"/>
  <c r="W1470" i="4"/>
  <c r="W1469" i="4"/>
  <c r="W1468" i="4"/>
  <c r="W1467" i="4"/>
  <c r="W1466" i="4"/>
  <c r="W1465" i="4"/>
  <c r="W1464" i="4"/>
  <c r="W1463" i="4"/>
  <c r="W1462" i="4"/>
  <c r="W1461" i="4"/>
  <c r="W1460" i="4"/>
  <c r="W1459" i="4"/>
  <c r="W1458" i="4"/>
  <c r="W1457" i="4"/>
  <c r="W1456" i="4"/>
  <c r="W1455" i="4"/>
  <c r="W1454" i="4"/>
  <c r="W1453" i="4"/>
  <c r="W1452" i="4"/>
  <c r="W1451" i="4"/>
  <c r="W1450" i="4"/>
  <c r="W1449" i="4"/>
  <c r="W1448" i="4"/>
  <c r="W1447" i="4"/>
  <c r="W1446" i="4"/>
  <c r="W1445" i="4"/>
  <c r="W1444" i="4"/>
  <c r="W1443" i="4"/>
  <c r="W1442" i="4"/>
  <c r="W1441" i="4"/>
  <c r="W1440" i="4"/>
  <c r="W1439" i="4"/>
  <c r="W1438" i="4"/>
  <c r="W1437" i="4"/>
  <c r="W1436" i="4"/>
  <c r="W1435" i="4"/>
  <c r="W1434" i="4"/>
  <c r="W1433" i="4"/>
  <c r="W1432" i="4"/>
  <c r="W1431" i="4"/>
  <c r="W1430" i="4"/>
  <c r="W1429" i="4"/>
  <c r="W1428" i="4"/>
  <c r="W1427" i="4"/>
  <c r="W1426" i="4"/>
  <c r="W1425" i="4"/>
  <c r="W1424" i="4"/>
  <c r="W1423" i="4"/>
  <c r="W1422" i="4"/>
  <c r="W1421" i="4"/>
  <c r="W1420" i="4"/>
  <c r="W1419" i="4"/>
  <c r="W1418" i="4"/>
  <c r="W1417" i="4"/>
  <c r="W1416" i="4"/>
  <c r="W1415" i="4"/>
  <c r="W1414" i="4"/>
  <c r="W1413" i="4"/>
  <c r="W1412" i="4"/>
  <c r="W1411" i="4"/>
  <c r="W1410" i="4"/>
  <c r="W1409" i="4"/>
  <c r="W1408" i="4"/>
  <c r="W1407" i="4"/>
  <c r="W1406" i="4"/>
  <c r="W1405" i="4"/>
  <c r="W1404" i="4"/>
  <c r="W1403" i="4"/>
  <c r="W1402" i="4"/>
  <c r="W1401" i="4"/>
  <c r="W1400" i="4"/>
  <c r="W1399" i="4"/>
  <c r="W1398" i="4"/>
  <c r="W1397" i="4"/>
  <c r="W1396" i="4"/>
  <c r="W1395" i="4"/>
  <c r="W1394" i="4"/>
  <c r="W1393" i="4"/>
  <c r="W1392" i="4"/>
  <c r="W1391" i="4"/>
  <c r="W1390" i="4"/>
  <c r="W1389" i="4"/>
  <c r="W1388" i="4"/>
  <c r="W1387" i="4"/>
  <c r="W1386" i="4"/>
  <c r="W1385" i="4"/>
  <c r="W1384" i="4"/>
  <c r="W1383" i="4"/>
  <c r="W1382" i="4"/>
  <c r="W1381" i="4"/>
  <c r="W1380" i="4"/>
  <c r="W1379" i="4"/>
  <c r="W1378" i="4"/>
  <c r="W1377" i="4"/>
  <c r="W1376" i="4"/>
  <c r="W1375" i="4"/>
  <c r="W1374" i="4"/>
  <c r="W1373" i="4"/>
  <c r="W1372" i="4"/>
  <c r="W1371" i="4"/>
  <c r="W1370" i="4"/>
  <c r="W1369" i="4"/>
  <c r="W1368" i="4"/>
  <c r="W1367" i="4"/>
  <c r="W1366" i="4"/>
  <c r="W1365" i="4"/>
  <c r="W1364" i="4"/>
  <c r="W1363" i="4"/>
  <c r="W1362" i="4"/>
  <c r="W1361" i="4"/>
  <c r="W1360" i="4"/>
  <c r="W1359" i="4"/>
  <c r="W1358" i="4"/>
  <c r="W1357" i="4"/>
  <c r="W1356" i="4"/>
  <c r="W1355" i="4"/>
  <c r="W1354" i="4"/>
  <c r="W1353" i="4"/>
  <c r="W1352" i="4"/>
  <c r="W1351" i="4"/>
  <c r="W1350" i="4"/>
  <c r="W1349" i="4"/>
  <c r="W1348" i="4"/>
  <c r="W1347" i="4"/>
  <c r="W1346" i="4"/>
  <c r="W1345" i="4"/>
  <c r="W1344" i="4"/>
  <c r="W1343" i="4"/>
  <c r="W1342" i="4"/>
  <c r="W1341" i="4"/>
  <c r="W1340" i="4"/>
  <c r="W1339" i="4"/>
  <c r="W1338" i="4"/>
  <c r="W1337" i="4"/>
  <c r="W1336" i="4"/>
  <c r="W1335" i="4"/>
  <c r="W1334" i="4"/>
  <c r="W1333" i="4"/>
  <c r="W1332" i="4"/>
  <c r="W1331" i="4"/>
  <c r="W1330" i="4"/>
  <c r="W1329" i="4"/>
  <c r="W1328" i="4"/>
  <c r="W1327" i="4"/>
  <c r="W1326" i="4"/>
  <c r="W1325" i="4"/>
  <c r="W1324" i="4"/>
  <c r="W1323" i="4"/>
  <c r="W1322" i="4"/>
  <c r="W1321" i="4"/>
  <c r="W1320" i="4"/>
  <c r="W1319" i="4"/>
  <c r="W1318" i="4"/>
  <c r="W1317" i="4"/>
  <c r="W1316" i="4"/>
  <c r="W1315" i="4"/>
  <c r="W1314" i="4"/>
  <c r="W1313" i="4"/>
  <c r="W1312" i="4"/>
  <c r="W1311" i="4"/>
  <c r="W1310" i="4"/>
  <c r="W1309" i="4"/>
  <c r="W1308" i="4"/>
  <c r="W1307" i="4"/>
  <c r="W1306" i="4"/>
  <c r="W1305" i="4"/>
  <c r="W1304" i="4"/>
  <c r="W1303" i="4"/>
  <c r="W1302" i="4"/>
  <c r="W1301" i="4"/>
  <c r="W1300" i="4"/>
  <c r="W1299" i="4"/>
  <c r="W1298" i="4"/>
  <c r="W1297" i="4"/>
  <c r="W1296" i="4"/>
  <c r="W1295" i="4"/>
  <c r="W1294" i="4"/>
  <c r="W1293" i="4"/>
  <c r="W1292" i="4"/>
  <c r="W1291" i="4"/>
  <c r="W1290" i="4"/>
  <c r="W1289" i="4"/>
  <c r="W1288" i="4"/>
  <c r="W1287" i="4"/>
  <c r="W1286" i="4"/>
  <c r="W1285" i="4"/>
  <c r="W1284" i="4"/>
  <c r="W1283" i="4"/>
  <c r="W1282" i="4"/>
  <c r="W1281" i="4"/>
  <c r="W1280" i="4"/>
  <c r="W1279" i="4"/>
  <c r="W1278" i="4"/>
  <c r="W1277" i="4"/>
  <c r="W1276" i="4"/>
  <c r="W1275" i="4"/>
  <c r="W1274" i="4"/>
  <c r="W1273" i="4"/>
  <c r="W1272" i="4"/>
  <c r="W1271" i="4"/>
  <c r="W1270" i="4"/>
  <c r="W1269" i="4"/>
  <c r="W1268" i="4"/>
  <c r="W1267" i="4"/>
  <c r="W1266" i="4"/>
  <c r="W1265" i="4"/>
  <c r="W1264" i="4"/>
  <c r="W1263" i="4"/>
  <c r="W1262" i="4"/>
  <c r="W1261" i="4"/>
  <c r="W1260" i="4"/>
  <c r="W1259" i="4"/>
  <c r="W1258" i="4"/>
  <c r="W1257" i="4"/>
  <c r="W1256" i="4"/>
  <c r="W1255" i="4"/>
  <c r="W1254" i="4"/>
  <c r="W1253" i="4"/>
  <c r="W1252" i="4"/>
  <c r="W1251" i="4"/>
  <c r="W1250" i="4"/>
  <c r="W1249" i="4"/>
  <c r="W1248" i="4"/>
  <c r="W1247" i="4"/>
  <c r="W1246" i="4"/>
  <c r="W1245" i="4"/>
  <c r="W1244" i="4"/>
  <c r="W1243" i="4"/>
  <c r="W1242" i="4"/>
  <c r="W1241" i="4"/>
  <c r="W1240" i="4"/>
  <c r="W1239" i="4"/>
  <c r="W1238" i="4"/>
  <c r="W1237" i="4"/>
  <c r="W1236" i="4"/>
  <c r="W1235" i="4"/>
  <c r="W1234" i="4"/>
  <c r="W1233" i="4"/>
  <c r="W1232" i="4"/>
  <c r="W1231" i="4"/>
  <c r="W1230" i="4"/>
  <c r="W1229" i="4"/>
  <c r="W1228" i="4"/>
  <c r="W1227" i="4"/>
  <c r="W1226" i="4"/>
  <c r="W1225" i="4"/>
  <c r="W1224" i="4"/>
  <c r="W1223" i="4"/>
  <c r="W1222" i="4"/>
  <c r="W1221" i="4"/>
  <c r="W1220" i="4"/>
  <c r="W1219" i="4"/>
  <c r="W1218" i="4"/>
  <c r="W1217" i="4"/>
  <c r="W1216" i="4"/>
  <c r="W1215" i="4"/>
  <c r="W1214" i="4"/>
  <c r="W1213" i="4"/>
  <c r="W1212" i="4"/>
  <c r="W1211" i="4"/>
  <c r="W1210" i="4"/>
  <c r="W1209" i="4"/>
  <c r="W1208" i="4"/>
  <c r="W1207" i="4"/>
  <c r="W1206" i="4"/>
  <c r="W1205" i="4"/>
  <c r="W1204" i="4"/>
  <c r="W1203" i="4"/>
  <c r="W1202" i="4"/>
  <c r="W1201" i="4"/>
  <c r="W1200" i="4"/>
  <c r="W1199" i="4"/>
  <c r="W1198" i="4"/>
  <c r="W1197" i="4"/>
  <c r="W1196" i="4"/>
  <c r="W1195" i="4"/>
  <c r="W1194" i="4"/>
  <c r="W1193" i="4"/>
  <c r="W1192" i="4"/>
  <c r="W1191" i="4"/>
  <c r="W1190" i="4"/>
  <c r="W1189" i="4"/>
  <c r="W1188" i="4"/>
  <c r="W1187" i="4"/>
  <c r="W1186" i="4"/>
  <c r="W1185" i="4"/>
  <c r="W1184" i="4"/>
  <c r="W1183" i="4"/>
  <c r="W1182" i="4"/>
  <c r="W1181" i="4"/>
  <c r="W1180" i="4"/>
  <c r="W1179" i="4"/>
  <c r="W1178" i="4"/>
  <c r="W1177" i="4"/>
  <c r="W1176" i="4"/>
  <c r="W1175" i="4"/>
  <c r="W1174" i="4"/>
  <c r="W1173" i="4"/>
  <c r="W1172" i="4"/>
  <c r="W1171" i="4"/>
  <c r="W1170" i="4"/>
  <c r="W1169" i="4"/>
  <c r="W1168" i="4"/>
  <c r="W1167" i="4"/>
  <c r="W1166" i="4"/>
  <c r="W1165" i="4"/>
  <c r="W1164" i="4"/>
  <c r="W1163" i="4"/>
  <c r="W1162" i="4"/>
  <c r="W1161" i="4"/>
  <c r="W1160" i="4"/>
  <c r="W1159" i="4"/>
  <c r="W1158" i="4"/>
  <c r="W1157" i="4"/>
  <c r="W1156" i="4"/>
  <c r="W1155" i="4"/>
  <c r="W1154" i="4"/>
  <c r="W1153" i="4"/>
  <c r="W1152" i="4"/>
  <c r="W1151" i="4"/>
  <c r="W1150" i="4"/>
  <c r="W1149" i="4"/>
  <c r="W1148" i="4"/>
  <c r="W1147" i="4"/>
  <c r="W1146" i="4"/>
  <c r="W1145" i="4"/>
  <c r="W1144" i="4"/>
  <c r="W1143" i="4"/>
  <c r="W1142" i="4"/>
  <c r="W1141" i="4"/>
  <c r="W1140" i="4"/>
  <c r="W1139" i="4"/>
  <c r="W1138" i="4"/>
  <c r="W1137" i="4"/>
  <c r="W1136" i="4"/>
  <c r="W1135" i="4"/>
  <c r="W1134" i="4"/>
  <c r="W1133" i="4"/>
  <c r="W1132" i="4"/>
  <c r="W1131" i="4"/>
  <c r="W1130" i="4"/>
  <c r="W1129" i="4"/>
  <c r="W1128" i="4"/>
  <c r="W1127" i="4"/>
  <c r="W1126" i="4"/>
  <c r="W1125" i="4"/>
  <c r="W1124" i="4"/>
  <c r="W1123" i="4"/>
  <c r="W1122" i="4"/>
  <c r="W1121" i="4"/>
  <c r="W1120" i="4"/>
  <c r="W1119" i="4"/>
  <c r="W1118" i="4"/>
  <c r="W1117" i="4"/>
  <c r="W1116" i="4"/>
  <c r="W1115" i="4"/>
  <c r="W1114" i="4"/>
  <c r="W1113" i="4"/>
  <c r="W1112" i="4"/>
  <c r="W1111" i="4"/>
  <c r="W1110" i="4"/>
  <c r="W1109" i="4"/>
  <c r="W1108" i="4"/>
  <c r="W1107" i="4"/>
  <c r="W1106" i="4"/>
  <c r="W1105" i="4"/>
  <c r="W1104" i="4"/>
  <c r="W1103" i="4"/>
  <c r="W1102" i="4"/>
  <c r="W1101" i="4"/>
  <c r="W1100" i="4"/>
  <c r="W1099" i="4"/>
  <c r="W1098" i="4"/>
  <c r="W1097" i="4"/>
  <c r="W1096" i="4"/>
  <c r="W1095" i="4"/>
  <c r="W1094" i="4"/>
  <c r="W1093" i="4"/>
  <c r="W1092" i="4"/>
  <c r="W1091" i="4"/>
  <c r="W1090" i="4"/>
  <c r="W1089" i="4"/>
  <c r="W1088" i="4"/>
  <c r="W1087" i="4"/>
  <c r="W1086" i="4"/>
  <c r="W1085" i="4"/>
  <c r="W1084" i="4"/>
  <c r="W1083" i="4"/>
  <c r="W1082" i="4"/>
  <c r="W1081" i="4"/>
  <c r="W1080" i="4"/>
  <c r="W1079" i="4"/>
  <c r="W1078" i="4"/>
  <c r="W1077" i="4"/>
  <c r="W1076" i="4"/>
  <c r="W1075" i="4"/>
  <c r="W1074" i="4"/>
  <c r="W1073" i="4"/>
  <c r="W1072" i="4"/>
  <c r="W1071" i="4"/>
  <c r="W1070" i="4"/>
  <c r="W1069" i="4"/>
  <c r="W1068" i="4"/>
  <c r="W1067" i="4"/>
  <c r="W1066" i="4"/>
  <c r="W1065" i="4"/>
  <c r="W1064" i="4"/>
  <c r="W1063" i="4"/>
  <c r="W1062" i="4"/>
  <c r="W1061" i="4"/>
  <c r="W1060" i="4"/>
  <c r="W1059" i="4"/>
  <c r="W1058" i="4"/>
  <c r="W1057" i="4"/>
  <c r="W1056" i="4"/>
  <c r="W1055" i="4"/>
  <c r="W1054" i="4"/>
  <c r="W1053" i="4"/>
  <c r="W1052" i="4"/>
  <c r="W1051" i="4"/>
  <c r="W1050" i="4"/>
  <c r="W1049" i="4"/>
  <c r="W1048" i="4"/>
  <c r="W1047" i="4"/>
  <c r="W1046" i="4"/>
  <c r="W1045" i="4"/>
  <c r="W1044" i="4"/>
  <c r="W1043" i="4"/>
  <c r="W1042" i="4"/>
  <c r="W1041" i="4"/>
  <c r="W1040" i="4"/>
  <c r="W1039" i="4"/>
  <c r="W1038" i="4"/>
  <c r="W1037" i="4"/>
  <c r="W1036" i="4"/>
  <c r="W1035" i="4"/>
  <c r="W1034" i="4"/>
  <c r="W1033" i="4"/>
  <c r="W1032" i="4"/>
  <c r="W1031" i="4"/>
  <c r="W1030" i="4"/>
  <c r="W1029" i="4"/>
  <c r="W1028" i="4"/>
  <c r="W1027" i="4"/>
  <c r="W1026" i="4"/>
  <c r="W1025" i="4"/>
  <c r="W1024" i="4"/>
  <c r="W1023" i="4"/>
  <c r="W1022" i="4"/>
  <c r="W1021" i="4"/>
  <c r="W1020" i="4"/>
  <c r="W1019" i="4"/>
  <c r="W1018" i="4"/>
  <c r="W1017" i="4"/>
  <c r="W1016" i="4"/>
  <c r="W1015" i="4"/>
  <c r="W1014" i="4"/>
  <c r="W1013" i="4"/>
  <c r="W1012" i="4"/>
  <c r="W1011" i="4"/>
  <c r="W1010" i="4"/>
  <c r="W1009" i="4"/>
  <c r="W1008" i="4"/>
  <c r="W1007" i="4"/>
  <c r="W1006" i="4"/>
  <c r="W1005" i="4"/>
  <c r="W1004" i="4"/>
  <c r="W1003" i="4"/>
  <c r="W1002" i="4"/>
  <c r="W1001" i="4"/>
  <c r="W1000" i="4"/>
  <c r="W999" i="4"/>
  <c r="W998" i="4"/>
  <c r="W997" i="4"/>
  <c r="W996" i="4"/>
  <c r="W995" i="4"/>
  <c r="W994" i="4"/>
  <c r="W993" i="4"/>
  <c r="W992" i="4"/>
  <c r="W991" i="4"/>
  <c r="W990" i="4"/>
  <c r="W989" i="4"/>
  <c r="W988" i="4"/>
  <c r="W987" i="4"/>
  <c r="W986" i="4"/>
  <c r="W985" i="4"/>
  <c r="W984" i="4"/>
  <c r="W983" i="4"/>
  <c r="W982" i="4"/>
  <c r="W981" i="4"/>
  <c r="W980" i="4"/>
  <c r="W979" i="4"/>
  <c r="W978" i="4"/>
  <c r="W977" i="4"/>
  <c r="W976" i="4"/>
  <c r="W975" i="4"/>
  <c r="W974" i="4"/>
  <c r="W973" i="4"/>
  <c r="W972" i="4"/>
  <c r="W971" i="4"/>
  <c r="W970" i="4"/>
  <c r="W969" i="4"/>
  <c r="W968" i="4"/>
  <c r="W967" i="4"/>
  <c r="W966" i="4"/>
  <c r="W965" i="4"/>
  <c r="W964" i="4"/>
  <c r="W963" i="4"/>
  <c r="W962" i="4"/>
  <c r="W961" i="4"/>
  <c r="W960" i="4"/>
  <c r="W959" i="4"/>
  <c r="W958" i="4"/>
  <c r="W957" i="4"/>
  <c r="W956" i="4"/>
  <c r="W955" i="4"/>
  <c r="W954" i="4"/>
  <c r="W953" i="4"/>
  <c r="W952" i="4"/>
  <c r="W951" i="4"/>
  <c r="W950" i="4"/>
  <c r="W949" i="4"/>
  <c r="W948" i="4"/>
  <c r="W947" i="4"/>
  <c r="W946" i="4"/>
  <c r="W945" i="4"/>
  <c r="W944" i="4"/>
  <c r="W943" i="4"/>
  <c r="W942" i="4"/>
  <c r="W941" i="4"/>
  <c r="W940" i="4"/>
  <c r="W939" i="4"/>
  <c r="W938" i="4"/>
  <c r="W937" i="4"/>
  <c r="W936" i="4"/>
  <c r="W935" i="4"/>
  <c r="W934" i="4"/>
  <c r="W933" i="4"/>
  <c r="W932" i="4"/>
  <c r="W931" i="4"/>
  <c r="W930" i="4"/>
  <c r="W929" i="4"/>
  <c r="W928" i="4"/>
  <c r="W927" i="4"/>
  <c r="W926" i="4"/>
  <c r="W925" i="4"/>
  <c r="W924" i="4"/>
  <c r="W923" i="4"/>
  <c r="W922" i="4"/>
  <c r="W921" i="4"/>
  <c r="W920" i="4"/>
  <c r="W919" i="4"/>
  <c r="W918" i="4"/>
  <c r="W917" i="4"/>
  <c r="W916" i="4"/>
  <c r="W915" i="4"/>
  <c r="W914" i="4"/>
  <c r="W913" i="4"/>
  <c r="W912" i="4"/>
  <c r="W911" i="4"/>
  <c r="W910" i="4"/>
  <c r="W909" i="4"/>
  <c r="W908" i="4"/>
  <c r="W907" i="4"/>
  <c r="W906" i="4"/>
  <c r="W905" i="4"/>
  <c r="W904" i="4"/>
  <c r="W903" i="4"/>
  <c r="W902" i="4"/>
  <c r="W901" i="4"/>
  <c r="W900" i="4"/>
  <c r="W899" i="4"/>
  <c r="W898" i="4"/>
  <c r="W897" i="4"/>
  <c r="W896" i="4"/>
  <c r="W895" i="4"/>
  <c r="W894" i="4"/>
  <c r="W893" i="4"/>
  <c r="W892" i="4"/>
  <c r="W891" i="4"/>
  <c r="W890" i="4"/>
  <c r="W889" i="4"/>
  <c r="W888" i="4"/>
  <c r="W887" i="4"/>
  <c r="W886" i="4"/>
  <c r="W885" i="4"/>
  <c r="W884" i="4"/>
  <c r="W883" i="4"/>
  <c r="W882" i="4"/>
  <c r="W881" i="4"/>
  <c r="W880" i="4"/>
  <c r="W879" i="4"/>
  <c r="W878" i="4"/>
  <c r="W877" i="4"/>
  <c r="W876" i="4"/>
  <c r="W875" i="4"/>
  <c r="W874" i="4"/>
  <c r="W873" i="4"/>
  <c r="W872" i="4"/>
  <c r="W871" i="4"/>
  <c r="W870" i="4"/>
  <c r="W869" i="4"/>
  <c r="W868" i="4"/>
  <c r="W867" i="4"/>
  <c r="W866" i="4"/>
  <c r="W865" i="4"/>
  <c r="W864" i="4"/>
  <c r="W863" i="4"/>
  <c r="W862" i="4"/>
  <c r="W861" i="4"/>
  <c r="W860" i="4"/>
  <c r="W859" i="4"/>
  <c r="W858" i="4"/>
  <c r="W857" i="4"/>
  <c r="W856" i="4"/>
  <c r="W855" i="4"/>
  <c r="W854" i="4"/>
  <c r="W853" i="4"/>
  <c r="W852" i="4"/>
  <c r="W851" i="4"/>
  <c r="W850" i="4"/>
  <c r="W849" i="4"/>
  <c r="W848" i="4"/>
  <c r="W847" i="4"/>
  <c r="W846" i="4"/>
  <c r="W845" i="4"/>
  <c r="W844" i="4"/>
  <c r="W843" i="4"/>
  <c r="W842" i="4"/>
  <c r="W841" i="4"/>
  <c r="W840" i="4"/>
  <c r="W839" i="4"/>
  <c r="W838" i="4"/>
  <c r="W837" i="4"/>
  <c r="W836" i="4"/>
  <c r="W835" i="4"/>
  <c r="W834" i="4"/>
  <c r="W833" i="4"/>
  <c r="W832" i="4"/>
  <c r="W831" i="4"/>
  <c r="W830" i="4"/>
  <c r="W829" i="4"/>
  <c r="W828" i="4"/>
  <c r="W827" i="4"/>
  <c r="W826" i="4"/>
  <c r="W825" i="4"/>
  <c r="W824" i="4"/>
  <c r="W823" i="4"/>
  <c r="W822" i="4"/>
  <c r="W821" i="4"/>
  <c r="W820" i="4"/>
  <c r="W819" i="4"/>
  <c r="W818" i="4"/>
  <c r="W817" i="4"/>
  <c r="W816" i="4"/>
  <c r="W815" i="4"/>
  <c r="W814" i="4"/>
  <c r="W813" i="4"/>
  <c r="W812" i="4"/>
  <c r="W811" i="4"/>
  <c r="W810" i="4"/>
  <c r="W809" i="4"/>
  <c r="W808" i="4"/>
  <c r="W807" i="4"/>
  <c r="W806" i="4"/>
  <c r="W805" i="4"/>
  <c r="W804" i="4"/>
  <c r="W803" i="4"/>
  <c r="W802" i="4"/>
  <c r="W801" i="4"/>
  <c r="W800" i="4"/>
  <c r="W799" i="4"/>
  <c r="W798" i="4"/>
  <c r="W797" i="4"/>
  <c r="W796" i="4"/>
  <c r="W795" i="4"/>
  <c r="W794" i="4"/>
  <c r="W793" i="4"/>
  <c r="W792" i="4"/>
  <c r="W791" i="4"/>
  <c r="W790" i="4"/>
  <c r="W789" i="4"/>
  <c r="W788" i="4"/>
  <c r="W787" i="4"/>
  <c r="W786" i="4"/>
  <c r="W785" i="4"/>
  <c r="W784" i="4"/>
  <c r="W783" i="4"/>
  <c r="W782" i="4"/>
  <c r="W781" i="4"/>
  <c r="W780" i="4"/>
  <c r="W779" i="4"/>
  <c r="W778" i="4"/>
  <c r="W777" i="4"/>
  <c r="W776" i="4"/>
  <c r="W775" i="4"/>
  <c r="W774" i="4"/>
  <c r="W773" i="4"/>
  <c r="W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AE8" i="4" l="1"/>
  <c r="S9" i="4"/>
  <c r="R9" i="4"/>
  <c r="Q9" i="4"/>
  <c r="S8" i="4"/>
  <c r="R8" i="4"/>
  <c r="Q8" i="4"/>
  <c r="S6" i="4"/>
  <c r="R6" i="4"/>
  <c r="Q6" i="4"/>
  <c r="S5" i="4"/>
  <c r="R5" i="4"/>
  <c r="Q5" i="4"/>
  <c r="AK8" i="4" l="1"/>
  <c r="AF9" i="4"/>
  <c r="AG10" i="4" s="1"/>
  <c r="AE9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5" i="4"/>
  <c r="J25" i="4"/>
  <c r="J55" i="4"/>
  <c r="J56" i="4"/>
  <c r="J66" i="4"/>
  <c r="J68" i="4"/>
  <c r="J74" i="4"/>
  <c r="J76" i="4"/>
  <c r="J95" i="4"/>
  <c r="J96" i="4"/>
  <c r="J161" i="4"/>
  <c r="J164" i="4"/>
  <c r="J165" i="4"/>
  <c r="J215" i="4"/>
  <c r="J227" i="4"/>
  <c r="J228" i="4"/>
  <c r="J255" i="4"/>
  <c r="J256" i="4"/>
  <c r="J275" i="4"/>
  <c r="J286" i="4"/>
  <c r="J307" i="4"/>
  <c r="J316" i="4"/>
  <c r="J334" i="4"/>
  <c r="J376" i="4"/>
  <c r="J385" i="4"/>
  <c r="J416" i="4"/>
  <c r="J475" i="4"/>
  <c r="J476" i="4"/>
  <c r="J485" i="4"/>
  <c r="J487" i="4"/>
  <c r="J488" i="4"/>
  <c r="J492" i="4"/>
  <c r="J534" i="4"/>
  <c r="J546" i="4"/>
  <c r="J575" i="4"/>
  <c r="J580" i="4"/>
  <c r="J636" i="4"/>
  <c r="J716" i="4"/>
  <c r="J734" i="4"/>
  <c r="J788" i="4"/>
  <c r="J794" i="4"/>
  <c r="J805" i="4"/>
  <c r="J807" i="4"/>
  <c r="J834" i="4"/>
  <c r="J845" i="4"/>
  <c r="J847" i="4"/>
  <c r="J885" i="4"/>
  <c r="J887" i="4"/>
  <c r="J895" i="4"/>
  <c r="J896" i="4"/>
  <c r="J927" i="4"/>
  <c r="J946" i="4"/>
  <c r="J947" i="4"/>
  <c r="J967" i="4"/>
  <c r="J997" i="4"/>
  <c r="J1001" i="4"/>
  <c r="J1002" i="4"/>
  <c r="J1007" i="4"/>
  <c r="J1025" i="4"/>
  <c r="J1026" i="4"/>
  <c r="J1065" i="4"/>
  <c r="J1067" i="4"/>
  <c r="J1068" i="4"/>
  <c r="J1107" i="4"/>
  <c r="J1125" i="4"/>
  <c r="J1145" i="4"/>
  <c r="J1147" i="4"/>
  <c r="J1167" i="4"/>
  <c r="J1168" i="4"/>
  <c r="J1173" i="4"/>
  <c r="J1174" i="4"/>
  <c r="J1181" i="4"/>
  <c r="J1205" i="4"/>
  <c r="J1207" i="4"/>
  <c r="J1225" i="4"/>
  <c r="J1265" i="4"/>
  <c r="J1285" i="4"/>
  <c r="J1314" i="4"/>
  <c r="J1345" i="4"/>
  <c r="J1347" i="4"/>
  <c r="J1355" i="4"/>
  <c r="J1365" i="4"/>
  <c r="J1369" i="4"/>
  <c r="J1376" i="4"/>
  <c r="J1405" i="4"/>
  <c r="J1407" i="4"/>
  <c r="J1426" i="4"/>
  <c r="J1447" i="4"/>
  <c r="J1449" i="4"/>
  <c r="J1470" i="4"/>
  <c r="J1472" i="4"/>
  <c r="J1485" i="4"/>
  <c r="J1487" i="4"/>
  <c r="J1505" i="4"/>
  <c r="J1514" i="4"/>
  <c r="J1515" i="4"/>
  <c r="J1516" i="4"/>
  <c r="I35" i="4"/>
  <c r="J36" i="4" s="1"/>
  <c r="I44" i="4"/>
  <c r="J45" i="4" s="1"/>
  <c r="I46" i="4"/>
  <c r="J47" i="4" s="1"/>
  <c r="I55" i="4"/>
  <c r="I64" i="4"/>
  <c r="J65" i="4" s="1"/>
  <c r="I66" i="4"/>
  <c r="J67" i="4" s="1"/>
  <c r="I93" i="4"/>
  <c r="J94" i="4" s="1"/>
  <c r="I94" i="4"/>
  <c r="I110" i="4"/>
  <c r="J111" i="4" s="1"/>
  <c r="I115" i="4"/>
  <c r="J116" i="4" s="1"/>
  <c r="I121" i="4"/>
  <c r="J122" i="4" s="1"/>
  <c r="I122" i="4"/>
  <c r="J123" i="4" s="1"/>
  <c r="I124" i="4"/>
  <c r="J125" i="4" s="1"/>
  <c r="I135" i="4"/>
  <c r="J136" i="4" s="1"/>
  <c r="I144" i="4"/>
  <c r="J145" i="4" s="1"/>
  <c r="I145" i="4"/>
  <c r="J146" i="4" s="1"/>
  <c r="I146" i="4"/>
  <c r="J147" i="4" s="1"/>
  <c r="I174" i="4"/>
  <c r="J175" i="4" s="1"/>
  <c r="I175" i="4"/>
  <c r="J176" i="4" s="1"/>
  <c r="I193" i="4"/>
  <c r="J194" i="4" s="1"/>
  <c r="I195" i="4"/>
  <c r="J196" i="4" s="1"/>
  <c r="I220" i="4"/>
  <c r="J221" i="4" s="1"/>
  <c r="I224" i="4"/>
  <c r="J225" i="4" s="1"/>
  <c r="I225" i="4"/>
  <c r="J226" i="4" s="1"/>
  <c r="I227" i="4"/>
  <c r="I246" i="4"/>
  <c r="J247" i="4" s="1"/>
  <c r="I266" i="4"/>
  <c r="J267" i="4" s="1"/>
  <c r="I269" i="4"/>
  <c r="J270" i="4" s="1"/>
  <c r="I273" i="4"/>
  <c r="J274" i="4" s="1"/>
  <c r="I275" i="4"/>
  <c r="J276" i="4" s="1"/>
  <c r="I284" i="4"/>
  <c r="J285" i="4" s="1"/>
  <c r="I286" i="4"/>
  <c r="J287" i="4" s="1"/>
  <c r="I292" i="4"/>
  <c r="J293" i="4" s="1"/>
  <c r="I293" i="4"/>
  <c r="J294" i="4" s="1"/>
  <c r="I294" i="4"/>
  <c r="J295" i="4" s="1"/>
  <c r="I315" i="4"/>
  <c r="I324" i="4"/>
  <c r="J325" i="4" s="1"/>
  <c r="I325" i="4"/>
  <c r="J326" i="4" s="1"/>
  <c r="I335" i="4"/>
  <c r="J336" i="4" s="1"/>
  <c r="I344" i="4"/>
  <c r="J345" i="4" s="1"/>
  <c r="I346" i="4"/>
  <c r="J347" i="4" s="1"/>
  <c r="I353" i="4"/>
  <c r="J354" i="4" s="1"/>
  <c r="I355" i="4"/>
  <c r="J356" i="4" s="1"/>
  <c r="I366" i="4"/>
  <c r="J367" i="4" s="1"/>
  <c r="I368" i="4"/>
  <c r="J369" i="4" s="1"/>
  <c r="I369" i="4"/>
  <c r="J370" i="4" s="1"/>
  <c r="I370" i="4"/>
  <c r="J371" i="4" s="1"/>
  <c r="I379" i="4"/>
  <c r="J380" i="4" s="1"/>
  <c r="I386" i="4"/>
  <c r="J387" i="4" s="1"/>
  <c r="I389" i="4"/>
  <c r="J390" i="4" s="1"/>
  <c r="I395" i="4"/>
  <c r="J396" i="4" s="1"/>
  <c r="I404" i="4"/>
  <c r="J405" i="4" s="1"/>
  <c r="I405" i="4"/>
  <c r="J406" i="4" s="1"/>
  <c r="I410" i="4"/>
  <c r="J411" i="4" s="1"/>
  <c r="I413" i="4"/>
  <c r="J414" i="4" s="1"/>
  <c r="I426" i="4"/>
  <c r="J427" i="4" s="1"/>
  <c r="I428" i="4"/>
  <c r="J429" i="4" s="1"/>
  <c r="I433" i="4"/>
  <c r="J434" i="4" s="1"/>
  <c r="I446" i="4"/>
  <c r="J447" i="4" s="1"/>
  <c r="I447" i="4"/>
  <c r="J448" i="4" s="1"/>
  <c r="I484" i="4"/>
  <c r="I489" i="4"/>
  <c r="J490" i="4" s="1"/>
  <c r="I490" i="4"/>
  <c r="J491" i="4" s="1"/>
  <c r="I491" i="4"/>
  <c r="I492" i="4"/>
  <c r="J493" i="4" s="1"/>
  <c r="I493" i="4"/>
  <c r="J494" i="4" s="1"/>
  <c r="I506" i="4"/>
  <c r="J507" i="4" s="1"/>
  <c r="I507" i="4"/>
  <c r="J508" i="4" s="1"/>
  <c r="I513" i="4"/>
  <c r="J514" i="4" s="1"/>
  <c r="I522" i="4"/>
  <c r="J523" i="4" s="1"/>
  <c r="I523" i="4"/>
  <c r="J524" i="4" s="1"/>
  <c r="I544" i="4"/>
  <c r="J545" i="4" s="1"/>
  <c r="I546" i="4"/>
  <c r="J547" i="4" s="1"/>
  <c r="I564" i="4"/>
  <c r="J565" i="4" s="1"/>
  <c r="I565" i="4"/>
  <c r="J566" i="4" s="1"/>
  <c r="I566" i="4"/>
  <c r="J567" i="4" s="1"/>
  <c r="I573" i="4"/>
  <c r="J574" i="4" s="1"/>
  <c r="I588" i="4"/>
  <c r="J589" i="4" s="1"/>
  <c r="I593" i="4"/>
  <c r="J594" i="4" s="1"/>
  <c r="I594" i="4"/>
  <c r="J595" i="4" s="1"/>
  <c r="I622" i="4"/>
  <c r="J623" i="4" s="1"/>
  <c r="I626" i="4"/>
  <c r="J627" i="4" s="1"/>
  <c r="I634" i="4"/>
  <c r="J635" i="4" s="1"/>
  <c r="I644" i="4"/>
  <c r="J645" i="4" s="1"/>
  <c r="I646" i="4"/>
  <c r="J647" i="4" s="1"/>
  <c r="I654" i="4"/>
  <c r="J655" i="4" s="1"/>
  <c r="I667" i="4"/>
  <c r="J668" i="4" s="1"/>
  <c r="I668" i="4"/>
  <c r="J669" i="4" s="1"/>
  <c r="I673" i="4"/>
  <c r="J674" i="4" s="1"/>
  <c r="I675" i="4"/>
  <c r="J676" i="4" s="1"/>
  <c r="I684" i="4"/>
  <c r="J685" i="4" s="1"/>
  <c r="I686" i="4"/>
  <c r="J687" i="4" s="1"/>
  <c r="I688" i="4"/>
  <c r="J689" i="4" s="1"/>
  <c r="I693" i="4"/>
  <c r="J694" i="4" s="1"/>
  <c r="I694" i="4"/>
  <c r="J695" i="4" s="1"/>
  <c r="I706" i="4"/>
  <c r="J707" i="4" s="1"/>
  <c r="I709" i="4"/>
  <c r="J710" i="4" s="1"/>
  <c r="I726" i="4"/>
  <c r="J727" i="4" s="1"/>
  <c r="I728" i="4"/>
  <c r="J729" i="4" s="1"/>
  <c r="I729" i="4"/>
  <c r="J730" i="4" s="1"/>
  <c r="I733" i="4"/>
  <c r="I750" i="4"/>
  <c r="J751" i="4" s="1"/>
  <c r="I753" i="4"/>
  <c r="J754" i="4" s="1"/>
  <c r="I770" i="4"/>
  <c r="J771" i="4" s="1"/>
  <c r="I773" i="4"/>
  <c r="J774" i="4" s="1"/>
  <c r="I774" i="4"/>
  <c r="J775" i="4" s="1"/>
  <c r="I775" i="4"/>
  <c r="J776" i="4" s="1"/>
  <c r="I828" i="4"/>
  <c r="J829" i="4" s="1"/>
  <c r="I834" i="4"/>
  <c r="J835" i="4" s="1"/>
  <c r="I835" i="4"/>
  <c r="J836" i="4" s="1"/>
  <c r="I849" i="4"/>
  <c r="J850" i="4" s="1"/>
  <c r="I850" i="4"/>
  <c r="J851" i="4" s="1"/>
  <c r="I863" i="4"/>
  <c r="J864" i="4" s="1"/>
  <c r="I873" i="4"/>
  <c r="J874" i="4" s="1"/>
  <c r="I875" i="4"/>
  <c r="J876" i="4" s="1"/>
  <c r="I894" i="4"/>
  <c r="I895" i="4"/>
  <c r="I907" i="4"/>
  <c r="J908" i="4" s="1"/>
  <c r="I911" i="4"/>
  <c r="J912" i="4" s="1"/>
  <c r="I914" i="4"/>
  <c r="J915" i="4" s="1"/>
  <c r="I915" i="4"/>
  <c r="J916" i="4" s="1"/>
  <c r="I933" i="4"/>
  <c r="J934" i="4" s="1"/>
  <c r="I934" i="4"/>
  <c r="J935" i="4" s="1"/>
  <c r="I935" i="4"/>
  <c r="J936" i="4" s="1"/>
  <c r="I939" i="4"/>
  <c r="J940" i="4" s="1"/>
  <c r="I940" i="4"/>
  <c r="J941" i="4" s="1"/>
  <c r="I941" i="4"/>
  <c r="J942" i="4" s="1"/>
  <c r="I943" i="4"/>
  <c r="J944" i="4" s="1"/>
  <c r="I947" i="4"/>
  <c r="J948" i="4" s="1"/>
  <c r="I994" i="4"/>
  <c r="J995" i="4" s="1"/>
  <c r="I995" i="4"/>
  <c r="J996" i="4" s="1"/>
  <c r="I1007" i="4"/>
  <c r="J1008" i="4" s="1"/>
  <c r="I1008" i="4"/>
  <c r="J1009" i="4" s="1"/>
  <c r="I1013" i="4"/>
  <c r="J1014" i="4" s="1"/>
  <c r="I1014" i="4"/>
  <c r="J1015" i="4" s="1"/>
  <c r="I1015" i="4"/>
  <c r="J1016" i="4" s="1"/>
  <c r="I1019" i="4"/>
  <c r="J1020" i="4" s="1"/>
  <c r="I1021" i="4"/>
  <c r="J1022" i="4" s="1"/>
  <c r="I1022" i="4"/>
  <c r="J1023" i="4" s="1"/>
  <c r="I1034" i="4"/>
  <c r="J1035" i="4" s="1"/>
  <c r="I1068" i="4"/>
  <c r="J1069" i="4" s="1"/>
  <c r="I1069" i="4"/>
  <c r="J1070" i="4" s="1"/>
  <c r="I1073" i="4"/>
  <c r="J1074" i="4" s="1"/>
  <c r="I1075" i="4"/>
  <c r="J1076" i="4" s="1"/>
  <c r="I1093" i="4"/>
  <c r="J1094" i="4" s="1"/>
  <c r="I1094" i="4"/>
  <c r="J1095" i="4" s="1"/>
  <c r="I1099" i="4"/>
  <c r="J1100" i="4" s="1"/>
  <c r="I1110" i="4"/>
  <c r="J1111" i="4" s="1"/>
  <c r="I1114" i="4"/>
  <c r="J1115" i="4" s="1"/>
  <c r="I1134" i="4"/>
  <c r="J1135" i="4" s="1"/>
  <c r="I1154" i="4"/>
  <c r="J1155" i="4" s="1"/>
  <c r="I1155" i="4"/>
  <c r="J1156" i="4" s="1"/>
  <c r="I1168" i="4"/>
  <c r="J1169" i="4" s="1"/>
  <c r="I1193" i="4"/>
  <c r="J1194" i="4" s="1"/>
  <c r="I1194" i="4"/>
  <c r="J1195" i="4" s="1"/>
  <c r="I1233" i="4"/>
  <c r="J1234" i="4" s="1"/>
  <c r="I1249" i="4"/>
  <c r="J1250" i="4" s="1"/>
  <c r="I1250" i="4"/>
  <c r="J1251" i="4" s="1"/>
  <c r="I1253" i="4"/>
  <c r="J1254" i="4" s="1"/>
  <c r="I1268" i="4"/>
  <c r="J1269" i="4" s="1"/>
  <c r="I1269" i="4"/>
  <c r="J1270" i="4" s="1"/>
  <c r="I1274" i="4"/>
  <c r="J1275" i="4" s="1"/>
  <c r="I1275" i="4"/>
  <c r="J1276" i="4" s="1"/>
  <c r="I1294" i="4"/>
  <c r="J1295" i="4" s="1"/>
  <c r="I1328" i="4"/>
  <c r="J1329" i="4" s="1"/>
  <c r="I1329" i="4"/>
  <c r="J1330" i="4" s="1"/>
  <c r="I1330" i="4"/>
  <c r="J1331" i="4" s="1"/>
  <c r="I1333" i="4"/>
  <c r="J1334" i="4" s="1"/>
  <c r="I1348" i="4"/>
  <c r="J1349" i="4" s="1"/>
  <c r="I1349" i="4"/>
  <c r="J1350" i="4" s="1"/>
  <c r="I1374" i="4"/>
  <c r="J1375" i="4" s="1"/>
  <c r="I1375" i="4"/>
  <c r="I1394" i="4"/>
  <c r="J1395" i="4" s="1"/>
  <c r="I1408" i="4"/>
  <c r="J1409" i="4" s="1"/>
  <c r="I1409" i="4"/>
  <c r="J1410" i="4" s="1"/>
  <c r="I1410" i="4"/>
  <c r="J1411" i="4" s="1"/>
  <c r="I1413" i="4"/>
  <c r="J1414" i="4" s="1"/>
  <c r="I1432" i="4"/>
  <c r="J1433" i="4" s="1"/>
  <c r="I1433" i="4"/>
  <c r="J1434" i="4" s="1"/>
  <c r="I1454" i="4"/>
  <c r="J1455" i="4" s="1"/>
  <c r="I1455" i="4"/>
  <c r="J1456" i="4" s="1"/>
  <c r="I1469" i="4"/>
  <c r="I1474" i="4"/>
  <c r="J1475" i="4" s="1"/>
  <c r="I1475" i="4"/>
  <c r="J1476" i="4" s="1"/>
  <c r="I1485" i="4"/>
  <c r="J1486" i="4" s="1"/>
  <c r="I1493" i="4"/>
  <c r="J1494" i="4" s="1"/>
  <c r="I1494" i="4"/>
  <c r="J1495" i="4" s="1"/>
  <c r="I1496" i="4"/>
  <c r="J1497" i="4" s="1"/>
  <c r="I1499" i="4"/>
  <c r="J1500" i="4" s="1"/>
  <c r="I1500" i="4"/>
  <c r="J1501" i="4" s="1"/>
  <c r="I1514" i="4"/>
  <c r="H7" i="4"/>
  <c r="I8" i="4" s="1"/>
  <c r="J9" i="4" s="1"/>
  <c r="H8" i="4"/>
  <c r="I9" i="4" s="1"/>
  <c r="J10" i="4" s="1"/>
  <c r="H9" i="4"/>
  <c r="I10" i="4" s="1"/>
  <c r="J11" i="4" s="1"/>
  <c r="H10" i="4"/>
  <c r="I11" i="4" s="1"/>
  <c r="J12" i="4" s="1"/>
  <c r="H11" i="4"/>
  <c r="I12" i="4" s="1"/>
  <c r="J13" i="4" s="1"/>
  <c r="H12" i="4"/>
  <c r="I13" i="4" s="1"/>
  <c r="J14" i="4" s="1"/>
  <c r="H13" i="4"/>
  <c r="I14" i="4" s="1"/>
  <c r="J15" i="4" s="1"/>
  <c r="H14" i="4"/>
  <c r="I15" i="4" s="1"/>
  <c r="J16" i="4" s="1"/>
  <c r="H15" i="4"/>
  <c r="I16" i="4" s="1"/>
  <c r="J17" i="4" s="1"/>
  <c r="H16" i="4"/>
  <c r="I17" i="4" s="1"/>
  <c r="J18" i="4" s="1"/>
  <c r="H17" i="4"/>
  <c r="I18" i="4" s="1"/>
  <c r="J19" i="4" s="1"/>
  <c r="H18" i="4"/>
  <c r="I19" i="4" s="1"/>
  <c r="J20" i="4" s="1"/>
  <c r="H19" i="4"/>
  <c r="I20" i="4" s="1"/>
  <c r="J21" i="4" s="1"/>
  <c r="H20" i="4"/>
  <c r="I21" i="4" s="1"/>
  <c r="J22" i="4" s="1"/>
  <c r="H21" i="4"/>
  <c r="I22" i="4" s="1"/>
  <c r="J23" i="4" s="1"/>
  <c r="H22" i="4"/>
  <c r="I23" i="4" s="1"/>
  <c r="J24" i="4" s="1"/>
  <c r="H23" i="4"/>
  <c r="I24" i="4" s="1"/>
  <c r="H24" i="4"/>
  <c r="I25" i="4" s="1"/>
  <c r="J26" i="4" s="1"/>
  <c r="H25" i="4"/>
  <c r="I26" i="4" s="1"/>
  <c r="J27" i="4" s="1"/>
  <c r="H26" i="4"/>
  <c r="I27" i="4" s="1"/>
  <c r="J28" i="4" s="1"/>
  <c r="H27" i="4"/>
  <c r="I28" i="4" s="1"/>
  <c r="J29" i="4" s="1"/>
  <c r="H28" i="4"/>
  <c r="I29" i="4" s="1"/>
  <c r="J30" i="4" s="1"/>
  <c r="H29" i="4"/>
  <c r="I30" i="4" s="1"/>
  <c r="J31" i="4" s="1"/>
  <c r="H30" i="4"/>
  <c r="I31" i="4" s="1"/>
  <c r="J32" i="4" s="1"/>
  <c r="H31" i="4"/>
  <c r="I32" i="4" s="1"/>
  <c r="J33" i="4" s="1"/>
  <c r="H32" i="4"/>
  <c r="I33" i="4" s="1"/>
  <c r="J34" i="4" s="1"/>
  <c r="H33" i="4"/>
  <c r="I34" i="4" s="1"/>
  <c r="J35" i="4" s="1"/>
  <c r="H34" i="4"/>
  <c r="H35" i="4"/>
  <c r="I36" i="4" s="1"/>
  <c r="J37" i="4" s="1"/>
  <c r="H36" i="4"/>
  <c r="I37" i="4" s="1"/>
  <c r="J38" i="4" s="1"/>
  <c r="H37" i="4"/>
  <c r="I38" i="4" s="1"/>
  <c r="J39" i="4" s="1"/>
  <c r="H38" i="4"/>
  <c r="I39" i="4" s="1"/>
  <c r="J40" i="4" s="1"/>
  <c r="H39" i="4"/>
  <c r="I40" i="4" s="1"/>
  <c r="J41" i="4" s="1"/>
  <c r="H40" i="4"/>
  <c r="I41" i="4" s="1"/>
  <c r="J42" i="4" s="1"/>
  <c r="H41" i="4"/>
  <c r="I42" i="4" s="1"/>
  <c r="J43" i="4" s="1"/>
  <c r="H42" i="4"/>
  <c r="I43" i="4" s="1"/>
  <c r="J44" i="4" s="1"/>
  <c r="H43" i="4"/>
  <c r="H44" i="4"/>
  <c r="I45" i="4" s="1"/>
  <c r="J46" i="4" s="1"/>
  <c r="H45" i="4"/>
  <c r="H46" i="4"/>
  <c r="I47" i="4" s="1"/>
  <c r="J48" i="4" s="1"/>
  <c r="H47" i="4"/>
  <c r="I48" i="4" s="1"/>
  <c r="J49" i="4" s="1"/>
  <c r="H48" i="4"/>
  <c r="I49" i="4" s="1"/>
  <c r="J50" i="4" s="1"/>
  <c r="H49" i="4"/>
  <c r="I50" i="4" s="1"/>
  <c r="J51" i="4" s="1"/>
  <c r="H50" i="4"/>
  <c r="I51" i="4" s="1"/>
  <c r="J52" i="4" s="1"/>
  <c r="H51" i="4"/>
  <c r="I52" i="4" s="1"/>
  <c r="J53" i="4" s="1"/>
  <c r="H52" i="4"/>
  <c r="I53" i="4" s="1"/>
  <c r="J54" i="4" s="1"/>
  <c r="H53" i="4"/>
  <c r="I54" i="4" s="1"/>
  <c r="H54" i="4"/>
  <c r="H55" i="4"/>
  <c r="I56" i="4" s="1"/>
  <c r="J57" i="4" s="1"/>
  <c r="H56" i="4"/>
  <c r="I57" i="4" s="1"/>
  <c r="J58" i="4" s="1"/>
  <c r="H57" i="4"/>
  <c r="I58" i="4" s="1"/>
  <c r="J59" i="4" s="1"/>
  <c r="H58" i="4"/>
  <c r="I59" i="4" s="1"/>
  <c r="J60" i="4" s="1"/>
  <c r="H59" i="4"/>
  <c r="I60" i="4" s="1"/>
  <c r="J61" i="4" s="1"/>
  <c r="H60" i="4"/>
  <c r="I61" i="4" s="1"/>
  <c r="J62" i="4" s="1"/>
  <c r="H61" i="4"/>
  <c r="I62" i="4" s="1"/>
  <c r="J63" i="4" s="1"/>
  <c r="H62" i="4"/>
  <c r="I63" i="4" s="1"/>
  <c r="J64" i="4" s="1"/>
  <c r="H63" i="4"/>
  <c r="H64" i="4"/>
  <c r="I65" i="4" s="1"/>
  <c r="H65" i="4"/>
  <c r="H66" i="4"/>
  <c r="I67" i="4" s="1"/>
  <c r="H67" i="4"/>
  <c r="I68" i="4" s="1"/>
  <c r="J69" i="4" s="1"/>
  <c r="H68" i="4"/>
  <c r="I69" i="4" s="1"/>
  <c r="J70" i="4" s="1"/>
  <c r="H69" i="4"/>
  <c r="I70" i="4" s="1"/>
  <c r="J71" i="4" s="1"/>
  <c r="H70" i="4"/>
  <c r="I71" i="4" s="1"/>
  <c r="J72" i="4" s="1"/>
  <c r="H71" i="4"/>
  <c r="I72" i="4" s="1"/>
  <c r="J73" i="4" s="1"/>
  <c r="H72" i="4"/>
  <c r="I73" i="4" s="1"/>
  <c r="H73" i="4"/>
  <c r="I74" i="4" s="1"/>
  <c r="J75" i="4" s="1"/>
  <c r="H74" i="4"/>
  <c r="I75" i="4" s="1"/>
  <c r="H75" i="4"/>
  <c r="I76" i="4" s="1"/>
  <c r="J77" i="4" s="1"/>
  <c r="H76" i="4"/>
  <c r="I77" i="4" s="1"/>
  <c r="J78" i="4" s="1"/>
  <c r="H77" i="4"/>
  <c r="I78" i="4" s="1"/>
  <c r="J79" i="4" s="1"/>
  <c r="H78" i="4"/>
  <c r="I79" i="4" s="1"/>
  <c r="J80" i="4" s="1"/>
  <c r="H79" i="4"/>
  <c r="I80" i="4" s="1"/>
  <c r="J81" i="4" s="1"/>
  <c r="H80" i="4"/>
  <c r="I81" i="4" s="1"/>
  <c r="J82" i="4" s="1"/>
  <c r="H81" i="4"/>
  <c r="I82" i="4" s="1"/>
  <c r="J83" i="4" s="1"/>
  <c r="H82" i="4"/>
  <c r="I83" i="4" s="1"/>
  <c r="J84" i="4" s="1"/>
  <c r="H83" i="4"/>
  <c r="I84" i="4" s="1"/>
  <c r="J85" i="4" s="1"/>
  <c r="H84" i="4"/>
  <c r="I85" i="4" s="1"/>
  <c r="J86" i="4" s="1"/>
  <c r="H85" i="4"/>
  <c r="I86" i="4" s="1"/>
  <c r="J87" i="4" s="1"/>
  <c r="H86" i="4"/>
  <c r="I87" i="4" s="1"/>
  <c r="J88" i="4" s="1"/>
  <c r="H87" i="4"/>
  <c r="I88" i="4" s="1"/>
  <c r="J89" i="4" s="1"/>
  <c r="H88" i="4"/>
  <c r="I89" i="4" s="1"/>
  <c r="J90" i="4" s="1"/>
  <c r="H89" i="4"/>
  <c r="I90" i="4" s="1"/>
  <c r="J91" i="4" s="1"/>
  <c r="H90" i="4"/>
  <c r="I91" i="4" s="1"/>
  <c r="J92" i="4" s="1"/>
  <c r="H91" i="4"/>
  <c r="I92" i="4" s="1"/>
  <c r="J93" i="4" s="1"/>
  <c r="H92" i="4"/>
  <c r="H93" i="4"/>
  <c r="H94" i="4"/>
  <c r="I95" i="4" s="1"/>
  <c r="H95" i="4"/>
  <c r="I96" i="4" s="1"/>
  <c r="J97" i="4" s="1"/>
  <c r="H96" i="4"/>
  <c r="I97" i="4" s="1"/>
  <c r="J98" i="4" s="1"/>
  <c r="H97" i="4"/>
  <c r="I98" i="4" s="1"/>
  <c r="J99" i="4" s="1"/>
  <c r="H98" i="4"/>
  <c r="I99" i="4" s="1"/>
  <c r="J100" i="4" s="1"/>
  <c r="H99" i="4"/>
  <c r="I100" i="4" s="1"/>
  <c r="J101" i="4" s="1"/>
  <c r="H100" i="4"/>
  <c r="I101" i="4" s="1"/>
  <c r="J102" i="4" s="1"/>
  <c r="H101" i="4"/>
  <c r="I102" i="4" s="1"/>
  <c r="J103" i="4" s="1"/>
  <c r="H102" i="4"/>
  <c r="I103" i="4" s="1"/>
  <c r="J104" i="4" s="1"/>
  <c r="H103" i="4"/>
  <c r="I104" i="4" s="1"/>
  <c r="J105" i="4" s="1"/>
  <c r="H104" i="4"/>
  <c r="I105" i="4" s="1"/>
  <c r="J106" i="4" s="1"/>
  <c r="H105" i="4"/>
  <c r="I106" i="4" s="1"/>
  <c r="J107" i="4" s="1"/>
  <c r="H106" i="4"/>
  <c r="I107" i="4" s="1"/>
  <c r="J108" i="4" s="1"/>
  <c r="H107" i="4"/>
  <c r="I108" i="4" s="1"/>
  <c r="J109" i="4" s="1"/>
  <c r="H108" i="4"/>
  <c r="I109" i="4" s="1"/>
  <c r="J110" i="4" s="1"/>
  <c r="H109" i="4"/>
  <c r="H110" i="4"/>
  <c r="I111" i="4" s="1"/>
  <c r="J112" i="4" s="1"/>
  <c r="H111" i="4"/>
  <c r="I112" i="4" s="1"/>
  <c r="J113" i="4" s="1"/>
  <c r="H112" i="4"/>
  <c r="I113" i="4" s="1"/>
  <c r="J114" i="4" s="1"/>
  <c r="H113" i="4"/>
  <c r="I114" i="4" s="1"/>
  <c r="J115" i="4" s="1"/>
  <c r="H114" i="4"/>
  <c r="H115" i="4"/>
  <c r="I116" i="4" s="1"/>
  <c r="J117" i="4" s="1"/>
  <c r="H116" i="4"/>
  <c r="I117" i="4" s="1"/>
  <c r="J118" i="4" s="1"/>
  <c r="H117" i="4"/>
  <c r="I118" i="4" s="1"/>
  <c r="J119" i="4" s="1"/>
  <c r="H118" i="4"/>
  <c r="I119" i="4" s="1"/>
  <c r="J120" i="4" s="1"/>
  <c r="H119" i="4"/>
  <c r="I120" i="4" s="1"/>
  <c r="J121" i="4" s="1"/>
  <c r="H120" i="4"/>
  <c r="H121" i="4"/>
  <c r="H122" i="4"/>
  <c r="I123" i="4" s="1"/>
  <c r="J124" i="4" s="1"/>
  <c r="H123" i="4"/>
  <c r="H124" i="4"/>
  <c r="I125" i="4" s="1"/>
  <c r="J126" i="4" s="1"/>
  <c r="H125" i="4"/>
  <c r="I126" i="4" s="1"/>
  <c r="J127" i="4" s="1"/>
  <c r="H126" i="4"/>
  <c r="I127" i="4" s="1"/>
  <c r="J128" i="4" s="1"/>
  <c r="H127" i="4"/>
  <c r="I128" i="4" s="1"/>
  <c r="J129" i="4" s="1"/>
  <c r="H128" i="4"/>
  <c r="I129" i="4" s="1"/>
  <c r="J130" i="4" s="1"/>
  <c r="H129" i="4"/>
  <c r="I130" i="4" s="1"/>
  <c r="J131" i="4" s="1"/>
  <c r="H130" i="4"/>
  <c r="I131" i="4" s="1"/>
  <c r="J132" i="4" s="1"/>
  <c r="H131" i="4"/>
  <c r="I132" i="4" s="1"/>
  <c r="J133" i="4" s="1"/>
  <c r="H132" i="4"/>
  <c r="I133" i="4" s="1"/>
  <c r="J134" i="4" s="1"/>
  <c r="H133" i="4"/>
  <c r="I134" i="4" s="1"/>
  <c r="J135" i="4" s="1"/>
  <c r="H134" i="4"/>
  <c r="H135" i="4"/>
  <c r="I136" i="4" s="1"/>
  <c r="J137" i="4" s="1"/>
  <c r="H136" i="4"/>
  <c r="I137" i="4" s="1"/>
  <c r="J138" i="4" s="1"/>
  <c r="H137" i="4"/>
  <c r="I138" i="4" s="1"/>
  <c r="J139" i="4" s="1"/>
  <c r="H138" i="4"/>
  <c r="I139" i="4" s="1"/>
  <c r="J140" i="4" s="1"/>
  <c r="H139" i="4"/>
  <c r="I140" i="4" s="1"/>
  <c r="J141" i="4" s="1"/>
  <c r="H140" i="4"/>
  <c r="I141" i="4" s="1"/>
  <c r="J142" i="4" s="1"/>
  <c r="H141" i="4"/>
  <c r="I142" i="4" s="1"/>
  <c r="J143" i="4" s="1"/>
  <c r="H142" i="4"/>
  <c r="I143" i="4" s="1"/>
  <c r="J144" i="4" s="1"/>
  <c r="H143" i="4"/>
  <c r="H144" i="4"/>
  <c r="H145" i="4"/>
  <c r="H146" i="4"/>
  <c r="I147" i="4" s="1"/>
  <c r="J148" i="4" s="1"/>
  <c r="H147" i="4"/>
  <c r="I148" i="4" s="1"/>
  <c r="J149" i="4" s="1"/>
  <c r="H148" i="4"/>
  <c r="I149" i="4" s="1"/>
  <c r="J150" i="4" s="1"/>
  <c r="H149" i="4"/>
  <c r="I150" i="4" s="1"/>
  <c r="J151" i="4" s="1"/>
  <c r="H150" i="4"/>
  <c r="I151" i="4" s="1"/>
  <c r="J152" i="4" s="1"/>
  <c r="H151" i="4"/>
  <c r="I152" i="4" s="1"/>
  <c r="J153" i="4" s="1"/>
  <c r="H152" i="4"/>
  <c r="I153" i="4" s="1"/>
  <c r="J154" i="4" s="1"/>
  <c r="H153" i="4"/>
  <c r="I154" i="4" s="1"/>
  <c r="J155" i="4" s="1"/>
  <c r="H154" i="4"/>
  <c r="I155" i="4" s="1"/>
  <c r="J156" i="4" s="1"/>
  <c r="H155" i="4"/>
  <c r="I156" i="4" s="1"/>
  <c r="J157" i="4" s="1"/>
  <c r="H156" i="4"/>
  <c r="I157" i="4" s="1"/>
  <c r="J158" i="4" s="1"/>
  <c r="H157" i="4"/>
  <c r="I158" i="4" s="1"/>
  <c r="J159" i="4" s="1"/>
  <c r="H158" i="4"/>
  <c r="I159" i="4" s="1"/>
  <c r="J160" i="4" s="1"/>
  <c r="H159" i="4"/>
  <c r="I160" i="4" s="1"/>
  <c r="H160" i="4"/>
  <c r="I161" i="4" s="1"/>
  <c r="J162" i="4" s="1"/>
  <c r="H161" i="4"/>
  <c r="I162" i="4" s="1"/>
  <c r="J163" i="4" s="1"/>
  <c r="H162" i="4"/>
  <c r="I163" i="4" s="1"/>
  <c r="H163" i="4"/>
  <c r="I164" i="4" s="1"/>
  <c r="H164" i="4"/>
  <c r="I165" i="4" s="1"/>
  <c r="J166" i="4" s="1"/>
  <c r="H165" i="4"/>
  <c r="I166" i="4" s="1"/>
  <c r="J167" i="4" s="1"/>
  <c r="H166" i="4"/>
  <c r="I167" i="4" s="1"/>
  <c r="J168" i="4" s="1"/>
  <c r="H167" i="4"/>
  <c r="I168" i="4" s="1"/>
  <c r="J169" i="4" s="1"/>
  <c r="H168" i="4"/>
  <c r="I169" i="4" s="1"/>
  <c r="J170" i="4" s="1"/>
  <c r="H169" i="4"/>
  <c r="I170" i="4" s="1"/>
  <c r="J171" i="4" s="1"/>
  <c r="H170" i="4"/>
  <c r="I171" i="4" s="1"/>
  <c r="J172" i="4" s="1"/>
  <c r="H171" i="4"/>
  <c r="I172" i="4" s="1"/>
  <c r="J173" i="4" s="1"/>
  <c r="H172" i="4"/>
  <c r="I173" i="4" s="1"/>
  <c r="J174" i="4" s="1"/>
  <c r="H173" i="4"/>
  <c r="H174" i="4"/>
  <c r="H175" i="4"/>
  <c r="I176" i="4" s="1"/>
  <c r="J177" i="4" s="1"/>
  <c r="H176" i="4"/>
  <c r="I177" i="4" s="1"/>
  <c r="J178" i="4" s="1"/>
  <c r="H177" i="4"/>
  <c r="I178" i="4" s="1"/>
  <c r="J179" i="4" s="1"/>
  <c r="H178" i="4"/>
  <c r="I179" i="4" s="1"/>
  <c r="J180" i="4" s="1"/>
  <c r="H179" i="4"/>
  <c r="I180" i="4" s="1"/>
  <c r="J181" i="4" s="1"/>
  <c r="H180" i="4"/>
  <c r="I181" i="4" s="1"/>
  <c r="J182" i="4" s="1"/>
  <c r="H181" i="4"/>
  <c r="I182" i="4" s="1"/>
  <c r="J183" i="4" s="1"/>
  <c r="H182" i="4"/>
  <c r="I183" i="4" s="1"/>
  <c r="J184" i="4" s="1"/>
  <c r="H183" i="4"/>
  <c r="I184" i="4" s="1"/>
  <c r="J185" i="4" s="1"/>
  <c r="H184" i="4"/>
  <c r="I185" i="4" s="1"/>
  <c r="J186" i="4" s="1"/>
  <c r="H185" i="4"/>
  <c r="I186" i="4" s="1"/>
  <c r="J187" i="4" s="1"/>
  <c r="H186" i="4"/>
  <c r="I187" i="4" s="1"/>
  <c r="J188" i="4" s="1"/>
  <c r="H187" i="4"/>
  <c r="I188" i="4" s="1"/>
  <c r="J189" i="4" s="1"/>
  <c r="H188" i="4"/>
  <c r="I189" i="4" s="1"/>
  <c r="J190" i="4" s="1"/>
  <c r="H189" i="4"/>
  <c r="I190" i="4" s="1"/>
  <c r="J191" i="4" s="1"/>
  <c r="H190" i="4"/>
  <c r="I191" i="4" s="1"/>
  <c r="J192" i="4" s="1"/>
  <c r="H191" i="4"/>
  <c r="I192" i="4" s="1"/>
  <c r="J193" i="4" s="1"/>
  <c r="H192" i="4"/>
  <c r="H193" i="4"/>
  <c r="I194" i="4" s="1"/>
  <c r="J195" i="4" s="1"/>
  <c r="H194" i="4"/>
  <c r="H195" i="4"/>
  <c r="I196" i="4" s="1"/>
  <c r="J197" i="4" s="1"/>
  <c r="H196" i="4"/>
  <c r="I197" i="4" s="1"/>
  <c r="J198" i="4" s="1"/>
  <c r="H197" i="4"/>
  <c r="I198" i="4" s="1"/>
  <c r="J199" i="4" s="1"/>
  <c r="H198" i="4"/>
  <c r="I199" i="4" s="1"/>
  <c r="J200" i="4" s="1"/>
  <c r="H199" i="4"/>
  <c r="I200" i="4" s="1"/>
  <c r="J201" i="4" s="1"/>
  <c r="H200" i="4"/>
  <c r="I201" i="4" s="1"/>
  <c r="J202" i="4" s="1"/>
  <c r="H201" i="4"/>
  <c r="I202" i="4" s="1"/>
  <c r="J203" i="4" s="1"/>
  <c r="H202" i="4"/>
  <c r="I203" i="4" s="1"/>
  <c r="J204" i="4" s="1"/>
  <c r="H203" i="4"/>
  <c r="I204" i="4" s="1"/>
  <c r="J205" i="4" s="1"/>
  <c r="H204" i="4"/>
  <c r="I205" i="4" s="1"/>
  <c r="J206" i="4" s="1"/>
  <c r="H205" i="4"/>
  <c r="I206" i="4" s="1"/>
  <c r="J207" i="4" s="1"/>
  <c r="H206" i="4"/>
  <c r="I207" i="4" s="1"/>
  <c r="J208" i="4" s="1"/>
  <c r="H207" i="4"/>
  <c r="I208" i="4" s="1"/>
  <c r="J209" i="4" s="1"/>
  <c r="H208" i="4"/>
  <c r="I209" i="4" s="1"/>
  <c r="J210" i="4" s="1"/>
  <c r="H209" i="4"/>
  <c r="I210" i="4" s="1"/>
  <c r="J211" i="4" s="1"/>
  <c r="H210" i="4"/>
  <c r="I211" i="4" s="1"/>
  <c r="J212" i="4" s="1"/>
  <c r="H211" i="4"/>
  <c r="I212" i="4" s="1"/>
  <c r="J213" i="4" s="1"/>
  <c r="H212" i="4"/>
  <c r="I213" i="4" s="1"/>
  <c r="J214" i="4" s="1"/>
  <c r="H213" i="4"/>
  <c r="I214" i="4" s="1"/>
  <c r="H214" i="4"/>
  <c r="I215" i="4" s="1"/>
  <c r="J216" i="4" s="1"/>
  <c r="H215" i="4"/>
  <c r="I216" i="4" s="1"/>
  <c r="J217" i="4" s="1"/>
  <c r="H216" i="4"/>
  <c r="I217" i="4" s="1"/>
  <c r="J218" i="4" s="1"/>
  <c r="H217" i="4"/>
  <c r="I218" i="4" s="1"/>
  <c r="J219" i="4" s="1"/>
  <c r="H218" i="4"/>
  <c r="I219" i="4" s="1"/>
  <c r="J220" i="4" s="1"/>
  <c r="H219" i="4"/>
  <c r="H220" i="4"/>
  <c r="I221" i="4" s="1"/>
  <c r="J222" i="4" s="1"/>
  <c r="H221" i="4"/>
  <c r="I222" i="4" s="1"/>
  <c r="J223" i="4" s="1"/>
  <c r="H222" i="4"/>
  <c r="I223" i="4" s="1"/>
  <c r="J224" i="4" s="1"/>
  <c r="H223" i="4"/>
  <c r="H224" i="4"/>
  <c r="H225" i="4"/>
  <c r="I226" i="4" s="1"/>
  <c r="H226" i="4"/>
  <c r="H227" i="4"/>
  <c r="I228" i="4" s="1"/>
  <c r="J229" i="4" s="1"/>
  <c r="H228" i="4"/>
  <c r="I229" i="4" s="1"/>
  <c r="J230" i="4" s="1"/>
  <c r="H229" i="4"/>
  <c r="I230" i="4" s="1"/>
  <c r="J231" i="4" s="1"/>
  <c r="H230" i="4"/>
  <c r="I231" i="4" s="1"/>
  <c r="J232" i="4" s="1"/>
  <c r="H231" i="4"/>
  <c r="I232" i="4" s="1"/>
  <c r="J233" i="4" s="1"/>
  <c r="H232" i="4"/>
  <c r="I233" i="4" s="1"/>
  <c r="J234" i="4" s="1"/>
  <c r="H233" i="4"/>
  <c r="I234" i="4" s="1"/>
  <c r="J235" i="4" s="1"/>
  <c r="H234" i="4"/>
  <c r="I235" i="4" s="1"/>
  <c r="J236" i="4" s="1"/>
  <c r="H235" i="4"/>
  <c r="I236" i="4" s="1"/>
  <c r="J237" i="4" s="1"/>
  <c r="H236" i="4"/>
  <c r="I237" i="4" s="1"/>
  <c r="J238" i="4" s="1"/>
  <c r="H237" i="4"/>
  <c r="I238" i="4" s="1"/>
  <c r="J239" i="4" s="1"/>
  <c r="H238" i="4"/>
  <c r="I239" i="4" s="1"/>
  <c r="J240" i="4" s="1"/>
  <c r="H239" i="4"/>
  <c r="I240" i="4" s="1"/>
  <c r="J241" i="4" s="1"/>
  <c r="H240" i="4"/>
  <c r="I241" i="4" s="1"/>
  <c r="J242" i="4" s="1"/>
  <c r="H241" i="4"/>
  <c r="I242" i="4" s="1"/>
  <c r="J243" i="4" s="1"/>
  <c r="H242" i="4"/>
  <c r="I243" i="4" s="1"/>
  <c r="J244" i="4" s="1"/>
  <c r="H243" i="4"/>
  <c r="I244" i="4" s="1"/>
  <c r="J245" i="4" s="1"/>
  <c r="H244" i="4"/>
  <c r="I245" i="4" s="1"/>
  <c r="J246" i="4" s="1"/>
  <c r="H245" i="4"/>
  <c r="H246" i="4"/>
  <c r="I247" i="4" s="1"/>
  <c r="J248" i="4" s="1"/>
  <c r="H247" i="4"/>
  <c r="I248" i="4" s="1"/>
  <c r="J249" i="4" s="1"/>
  <c r="H248" i="4"/>
  <c r="I249" i="4" s="1"/>
  <c r="J250" i="4" s="1"/>
  <c r="H249" i="4"/>
  <c r="I250" i="4" s="1"/>
  <c r="J251" i="4" s="1"/>
  <c r="H250" i="4"/>
  <c r="I251" i="4" s="1"/>
  <c r="J252" i="4" s="1"/>
  <c r="H251" i="4"/>
  <c r="I252" i="4" s="1"/>
  <c r="J253" i="4" s="1"/>
  <c r="H252" i="4"/>
  <c r="I253" i="4" s="1"/>
  <c r="J254" i="4" s="1"/>
  <c r="H253" i="4"/>
  <c r="I254" i="4" s="1"/>
  <c r="H254" i="4"/>
  <c r="I255" i="4" s="1"/>
  <c r="H255" i="4"/>
  <c r="I256" i="4" s="1"/>
  <c r="J257" i="4" s="1"/>
  <c r="H256" i="4"/>
  <c r="I257" i="4" s="1"/>
  <c r="J258" i="4" s="1"/>
  <c r="H257" i="4"/>
  <c r="I258" i="4" s="1"/>
  <c r="J259" i="4" s="1"/>
  <c r="H258" i="4"/>
  <c r="I259" i="4" s="1"/>
  <c r="J260" i="4" s="1"/>
  <c r="H259" i="4"/>
  <c r="I260" i="4" s="1"/>
  <c r="J261" i="4" s="1"/>
  <c r="H260" i="4"/>
  <c r="I261" i="4" s="1"/>
  <c r="J262" i="4" s="1"/>
  <c r="H261" i="4"/>
  <c r="I262" i="4" s="1"/>
  <c r="J263" i="4" s="1"/>
  <c r="H262" i="4"/>
  <c r="I263" i="4" s="1"/>
  <c r="J264" i="4" s="1"/>
  <c r="H263" i="4"/>
  <c r="I264" i="4" s="1"/>
  <c r="J265" i="4" s="1"/>
  <c r="H264" i="4"/>
  <c r="I265" i="4" s="1"/>
  <c r="J266" i="4" s="1"/>
  <c r="H265" i="4"/>
  <c r="H266" i="4"/>
  <c r="I267" i="4" s="1"/>
  <c r="J268" i="4" s="1"/>
  <c r="H267" i="4"/>
  <c r="I268" i="4" s="1"/>
  <c r="J269" i="4" s="1"/>
  <c r="H268" i="4"/>
  <c r="H269" i="4"/>
  <c r="I270" i="4" s="1"/>
  <c r="J271" i="4" s="1"/>
  <c r="H270" i="4"/>
  <c r="I271" i="4" s="1"/>
  <c r="J272" i="4" s="1"/>
  <c r="H271" i="4"/>
  <c r="I272" i="4" s="1"/>
  <c r="J273" i="4" s="1"/>
  <c r="H272" i="4"/>
  <c r="H273" i="4"/>
  <c r="I274" i="4" s="1"/>
  <c r="H274" i="4"/>
  <c r="H275" i="4"/>
  <c r="I276" i="4" s="1"/>
  <c r="J277" i="4" s="1"/>
  <c r="H276" i="4"/>
  <c r="I277" i="4" s="1"/>
  <c r="J278" i="4" s="1"/>
  <c r="H277" i="4"/>
  <c r="I278" i="4" s="1"/>
  <c r="J279" i="4" s="1"/>
  <c r="H278" i="4"/>
  <c r="I279" i="4" s="1"/>
  <c r="J280" i="4" s="1"/>
  <c r="H279" i="4"/>
  <c r="I280" i="4" s="1"/>
  <c r="J281" i="4" s="1"/>
  <c r="H280" i="4"/>
  <c r="I281" i="4" s="1"/>
  <c r="J282" i="4" s="1"/>
  <c r="H281" i="4"/>
  <c r="I282" i="4" s="1"/>
  <c r="J283" i="4" s="1"/>
  <c r="H282" i="4"/>
  <c r="I283" i="4" s="1"/>
  <c r="J284" i="4" s="1"/>
  <c r="H283" i="4"/>
  <c r="H284" i="4"/>
  <c r="I285" i="4" s="1"/>
  <c r="H285" i="4"/>
  <c r="H286" i="4"/>
  <c r="I287" i="4" s="1"/>
  <c r="J288" i="4" s="1"/>
  <c r="H287" i="4"/>
  <c r="I288" i="4" s="1"/>
  <c r="J289" i="4" s="1"/>
  <c r="H288" i="4"/>
  <c r="I289" i="4" s="1"/>
  <c r="J290" i="4" s="1"/>
  <c r="H289" i="4"/>
  <c r="I290" i="4" s="1"/>
  <c r="J291" i="4" s="1"/>
  <c r="H290" i="4"/>
  <c r="I291" i="4" s="1"/>
  <c r="J292" i="4" s="1"/>
  <c r="H291" i="4"/>
  <c r="H292" i="4"/>
  <c r="H293" i="4"/>
  <c r="H294" i="4"/>
  <c r="I295" i="4" s="1"/>
  <c r="J296" i="4" s="1"/>
  <c r="H295" i="4"/>
  <c r="I296" i="4" s="1"/>
  <c r="J297" i="4" s="1"/>
  <c r="H296" i="4"/>
  <c r="I297" i="4" s="1"/>
  <c r="J298" i="4" s="1"/>
  <c r="H297" i="4"/>
  <c r="I298" i="4" s="1"/>
  <c r="J299" i="4" s="1"/>
  <c r="H298" i="4"/>
  <c r="I299" i="4" s="1"/>
  <c r="J300" i="4" s="1"/>
  <c r="H299" i="4"/>
  <c r="I300" i="4" s="1"/>
  <c r="J301" i="4" s="1"/>
  <c r="H300" i="4"/>
  <c r="I301" i="4" s="1"/>
  <c r="J302" i="4" s="1"/>
  <c r="H301" i="4"/>
  <c r="I302" i="4" s="1"/>
  <c r="J303" i="4" s="1"/>
  <c r="H302" i="4"/>
  <c r="I303" i="4" s="1"/>
  <c r="J304" i="4" s="1"/>
  <c r="H303" i="4"/>
  <c r="I304" i="4" s="1"/>
  <c r="J305" i="4" s="1"/>
  <c r="H304" i="4"/>
  <c r="I305" i="4" s="1"/>
  <c r="J306" i="4" s="1"/>
  <c r="H305" i="4"/>
  <c r="I306" i="4" s="1"/>
  <c r="H306" i="4"/>
  <c r="I307" i="4" s="1"/>
  <c r="J308" i="4" s="1"/>
  <c r="H307" i="4"/>
  <c r="I308" i="4" s="1"/>
  <c r="J309" i="4" s="1"/>
  <c r="H308" i="4"/>
  <c r="I309" i="4" s="1"/>
  <c r="J310" i="4" s="1"/>
  <c r="H309" i="4"/>
  <c r="I310" i="4" s="1"/>
  <c r="J311" i="4" s="1"/>
  <c r="H310" i="4"/>
  <c r="I311" i="4" s="1"/>
  <c r="J312" i="4" s="1"/>
  <c r="H311" i="4"/>
  <c r="I312" i="4" s="1"/>
  <c r="J313" i="4" s="1"/>
  <c r="H312" i="4"/>
  <c r="I313" i="4" s="1"/>
  <c r="J314" i="4" s="1"/>
  <c r="H313" i="4"/>
  <c r="I314" i="4" s="1"/>
  <c r="J315" i="4" s="1"/>
  <c r="H314" i="4"/>
  <c r="H315" i="4"/>
  <c r="I316" i="4" s="1"/>
  <c r="J317" i="4" s="1"/>
  <c r="H316" i="4"/>
  <c r="I317" i="4" s="1"/>
  <c r="J318" i="4" s="1"/>
  <c r="H317" i="4"/>
  <c r="I318" i="4" s="1"/>
  <c r="J319" i="4" s="1"/>
  <c r="H318" i="4"/>
  <c r="I319" i="4" s="1"/>
  <c r="J320" i="4" s="1"/>
  <c r="H319" i="4"/>
  <c r="I320" i="4" s="1"/>
  <c r="J321" i="4" s="1"/>
  <c r="H320" i="4"/>
  <c r="I321" i="4" s="1"/>
  <c r="J322" i="4" s="1"/>
  <c r="H321" i="4"/>
  <c r="I322" i="4" s="1"/>
  <c r="J323" i="4" s="1"/>
  <c r="H322" i="4"/>
  <c r="I323" i="4" s="1"/>
  <c r="J324" i="4" s="1"/>
  <c r="H323" i="4"/>
  <c r="H324" i="4"/>
  <c r="H325" i="4"/>
  <c r="I326" i="4" s="1"/>
  <c r="J327" i="4" s="1"/>
  <c r="H326" i="4"/>
  <c r="I327" i="4" s="1"/>
  <c r="J328" i="4" s="1"/>
  <c r="H327" i="4"/>
  <c r="I328" i="4" s="1"/>
  <c r="J329" i="4" s="1"/>
  <c r="H328" i="4"/>
  <c r="I329" i="4" s="1"/>
  <c r="J330" i="4" s="1"/>
  <c r="H329" i="4"/>
  <c r="I330" i="4" s="1"/>
  <c r="J331" i="4" s="1"/>
  <c r="H330" i="4"/>
  <c r="I331" i="4" s="1"/>
  <c r="J332" i="4" s="1"/>
  <c r="H331" i="4"/>
  <c r="I332" i="4" s="1"/>
  <c r="J333" i="4" s="1"/>
  <c r="H332" i="4"/>
  <c r="I333" i="4" s="1"/>
  <c r="H333" i="4"/>
  <c r="I334" i="4" s="1"/>
  <c r="J335" i="4" s="1"/>
  <c r="H334" i="4"/>
  <c r="H335" i="4"/>
  <c r="I336" i="4" s="1"/>
  <c r="J337" i="4" s="1"/>
  <c r="H336" i="4"/>
  <c r="I337" i="4" s="1"/>
  <c r="J338" i="4" s="1"/>
  <c r="H337" i="4"/>
  <c r="I338" i="4" s="1"/>
  <c r="J339" i="4" s="1"/>
  <c r="H338" i="4"/>
  <c r="I339" i="4" s="1"/>
  <c r="J340" i="4" s="1"/>
  <c r="H339" i="4"/>
  <c r="I340" i="4" s="1"/>
  <c r="J341" i="4" s="1"/>
  <c r="H340" i="4"/>
  <c r="I341" i="4" s="1"/>
  <c r="J342" i="4" s="1"/>
  <c r="H341" i="4"/>
  <c r="I342" i="4" s="1"/>
  <c r="J343" i="4" s="1"/>
  <c r="H342" i="4"/>
  <c r="I343" i="4" s="1"/>
  <c r="J344" i="4" s="1"/>
  <c r="H343" i="4"/>
  <c r="H344" i="4"/>
  <c r="I345" i="4" s="1"/>
  <c r="J346" i="4" s="1"/>
  <c r="H345" i="4"/>
  <c r="H346" i="4"/>
  <c r="I347" i="4" s="1"/>
  <c r="J348" i="4" s="1"/>
  <c r="H347" i="4"/>
  <c r="I348" i="4" s="1"/>
  <c r="J349" i="4" s="1"/>
  <c r="H348" i="4"/>
  <c r="I349" i="4" s="1"/>
  <c r="J350" i="4" s="1"/>
  <c r="H349" i="4"/>
  <c r="I350" i="4" s="1"/>
  <c r="J351" i="4" s="1"/>
  <c r="H350" i="4"/>
  <c r="I351" i="4" s="1"/>
  <c r="J352" i="4" s="1"/>
  <c r="H351" i="4"/>
  <c r="I352" i="4" s="1"/>
  <c r="J353" i="4" s="1"/>
  <c r="H352" i="4"/>
  <c r="H353" i="4"/>
  <c r="I354" i="4" s="1"/>
  <c r="J355" i="4" s="1"/>
  <c r="H354" i="4"/>
  <c r="H355" i="4"/>
  <c r="I356" i="4" s="1"/>
  <c r="J357" i="4" s="1"/>
  <c r="H356" i="4"/>
  <c r="I357" i="4" s="1"/>
  <c r="J358" i="4" s="1"/>
  <c r="H357" i="4"/>
  <c r="I358" i="4" s="1"/>
  <c r="J359" i="4" s="1"/>
  <c r="H358" i="4"/>
  <c r="I359" i="4" s="1"/>
  <c r="J360" i="4" s="1"/>
  <c r="H359" i="4"/>
  <c r="I360" i="4" s="1"/>
  <c r="J361" i="4" s="1"/>
  <c r="H360" i="4"/>
  <c r="I361" i="4" s="1"/>
  <c r="J362" i="4" s="1"/>
  <c r="H361" i="4"/>
  <c r="I362" i="4" s="1"/>
  <c r="J363" i="4" s="1"/>
  <c r="H362" i="4"/>
  <c r="I363" i="4" s="1"/>
  <c r="J364" i="4" s="1"/>
  <c r="H363" i="4"/>
  <c r="I364" i="4" s="1"/>
  <c r="J365" i="4" s="1"/>
  <c r="H364" i="4"/>
  <c r="I365" i="4" s="1"/>
  <c r="J366" i="4" s="1"/>
  <c r="H365" i="4"/>
  <c r="H366" i="4"/>
  <c r="I367" i="4" s="1"/>
  <c r="J368" i="4" s="1"/>
  <c r="H367" i="4"/>
  <c r="H368" i="4"/>
  <c r="H369" i="4"/>
  <c r="H370" i="4"/>
  <c r="I371" i="4" s="1"/>
  <c r="J372" i="4" s="1"/>
  <c r="H371" i="4"/>
  <c r="I372" i="4" s="1"/>
  <c r="J373" i="4" s="1"/>
  <c r="H372" i="4"/>
  <c r="I373" i="4" s="1"/>
  <c r="J374" i="4" s="1"/>
  <c r="H373" i="4"/>
  <c r="I374" i="4" s="1"/>
  <c r="J375" i="4" s="1"/>
  <c r="H374" i="4"/>
  <c r="I375" i="4" s="1"/>
  <c r="H375" i="4"/>
  <c r="I376" i="4" s="1"/>
  <c r="J377" i="4" s="1"/>
  <c r="H376" i="4"/>
  <c r="I377" i="4" s="1"/>
  <c r="J378" i="4" s="1"/>
  <c r="H377" i="4"/>
  <c r="I378" i="4" s="1"/>
  <c r="J379" i="4" s="1"/>
  <c r="H378" i="4"/>
  <c r="H379" i="4"/>
  <c r="I380" i="4" s="1"/>
  <c r="J381" i="4" s="1"/>
  <c r="H380" i="4"/>
  <c r="I381" i="4" s="1"/>
  <c r="J382" i="4" s="1"/>
  <c r="H381" i="4"/>
  <c r="I382" i="4" s="1"/>
  <c r="J383" i="4" s="1"/>
  <c r="H382" i="4"/>
  <c r="I383" i="4" s="1"/>
  <c r="J384" i="4" s="1"/>
  <c r="H383" i="4"/>
  <c r="I384" i="4" s="1"/>
  <c r="H384" i="4"/>
  <c r="I385" i="4" s="1"/>
  <c r="J386" i="4" s="1"/>
  <c r="H385" i="4"/>
  <c r="H386" i="4"/>
  <c r="I387" i="4" s="1"/>
  <c r="J388" i="4" s="1"/>
  <c r="H387" i="4"/>
  <c r="I388" i="4" s="1"/>
  <c r="J389" i="4" s="1"/>
  <c r="H388" i="4"/>
  <c r="H389" i="4"/>
  <c r="I390" i="4" s="1"/>
  <c r="J391" i="4" s="1"/>
  <c r="H390" i="4"/>
  <c r="I391" i="4" s="1"/>
  <c r="J392" i="4" s="1"/>
  <c r="H391" i="4"/>
  <c r="I392" i="4" s="1"/>
  <c r="J393" i="4" s="1"/>
  <c r="H392" i="4"/>
  <c r="I393" i="4" s="1"/>
  <c r="J394" i="4" s="1"/>
  <c r="H393" i="4"/>
  <c r="I394" i="4" s="1"/>
  <c r="J395" i="4" s="1"/>
  <c r="H394" i="4"/>
  <c r="H395" i="4"/>
  <c r="I396" i="4" s="1"/>
  <c r="J397" i="4" s="1"/>
  <c r="H396" i="4"/>
  <c r="I397" i="4" s="1"/>
  <c r="J398" i="4" s="1"/>
  <c r="H397" i="4"/>
  <c r="I398" i="4" s="1"/>
  <c r="J399" i="4" s="1"/>
  <c r="H398" i="4"/>
  <c r="I399" i="4" s="1"/>
  <c r="J400" i="4" s="1"/>
  <c r="H399" i="4"/>
  <c r="I400" i="4" s="1"/>
  <c r="J401" i="4" s="1"/>
  <c r="H400" i="4"/>
  <c r="I401" i="4" s="1"/>
  <c r="J402" i="4" s="1"/>
  <c r="H401" i="4"/>
  <c r="I402" i="4" s="1"/>
  <c r="J403" i="4" s="1"/>
  <c r="H402" i="4"/>
  <c r="I403" i="4" s="1"/>
  <c r="J404" i="4" s="1"/>
  <c r="H403" i="4"/>
  <c r="H404" i="4"/>
  <c r="H405" i="4"/>
  <c r="I406" i="4" s="1"/>
  <c r="J407" i="4" s="1"/>
  <c r="H406" i="4"/>
  <c r="I407" i="4" s="1"/>
  <c r="J408" i="4" s="1"/>
  <c r="H407" i="4"/>
  <c r="I408" i="4" s="1"/>
  <c r="J409" i="4" s="1"/>
  <c r="H408" i="4"/>
  <c r="I409" i="4" s="1"/>
  <c r="J410" i="4" s="1"/>
  <c r="H409" i="4"/>
  <c r="H410" i="4"/>
  <c r="I411" i="4" s="1"/>
  <c r="J412" i="4" s="1"/>
  <c r="H411" i="4"/>
  <c r="I412" i="4" s="1"/>
  <c r="J413" i="4" s="1"/>
  <c r="H412" i="4"/>
  <c r="H413" i="4"/>
  <c r="I414" i="4" s="1"/>
  <c r="J415" i="4" s="1"/>
  <c r="H414" i="4"/>
  <c r="I415" i="4" s="1"/>
  <c r="H415" i="4"/>
  <c r="I416" i="4" s="1"/>
  <c r="J417" i="4" s="1"/>
  <c r="H416" i="4"/>
  <c r="I417" i="4" s="1"/>
  <c r="J418" i="4" s="1"/>
  <c r="H417" i="4"/>
  <c r="I418" i="4" s="1"/>
  <c r="J419" i="4" s="1"/>
  <c r="H418" i="4"/>
  <c r="I419" i="4" s="1"/>
  <c r="J420" i="4" s="1"/>
  <c r="H419" i="4"/>
  <c r="I420" i="4" s="1"/>
  <c r="J421" i="4" s="1"/>
  <c r="H420" i="4"/>
  <c r="I421" i="4" s="1"/>
  <c r="J422" i="4" s="1"/>
  <c r="H421" i="4"/>
  <c r="I422" i="4" s="1"/>
  <c r="J423" i="4" s="1"/>
  <c r="H422" i="4"/>
  <c r="I423" i="4" s="1"/>
  <c r="J424" i="4" s="1"/>
  <c r="H423" i="4"/>
  <c r="I424" i="4" s="1"/>
  <c r="J425" i="4" s="1"/>
  <c r="H424" i="4"/>
  <c r="I425" i="4" s="1"/>
  <c r="J426" i="4" s="1"/>
  <c r="H425" i="4"/>
  <c r="H426" i="4"/>
  <c r="I427" i="4" s="1"/>
  <c r="J428" i="4" s="1"/>
  <c r="H427" i="4"/>
  <c r="H428" i="4"/>
  <c r="I429" i="4" s="1"/>
  <c r="J430" i="4" s="1"/>
  <c r="H429" i="4"/>
  <c r="I430" i="4" s="1"/>
  <c r="J431" i="4" s="1"/>
  <c r="H430" i="4"/>
  <c r="I431" i="4" s="1"/>
  <c r="J432" i="4" s="1"/>
  <c r="H431" i="4"/>
  <c r="I432" i="4" s="1"/>
  <c r="J433" i="4" s="1"/>
  <c r="H432" i="4"/>
  <c r="H433" i="4"/>
  <c r="I434" i="4" s="1"/>
  <c r="J435" i="4" s="1"/>
  <c r="H434" i="4"/>
  <c r="I435" i="4" s="1"/>
  <c r="J436" i="4" s="1"/>
  <c r="H435" i="4"/>
  <c r="I436" i="4" s="1"/>
  <c r="J437" i="4" s="1"/>
  <c r="H436" i="4"/>
  <c r="I437" i="4" s="1"/>
  <c r="J438" i="4" s="1"/>
  <c r="H437" i="4"/>
  <c r="I438" i="4" s="1"/>
  <c r="J439" i="4" s="1"/>
  <c r="H438" i="4"/>
  <c r="I439" i="4" s="1"/>
  <c r="J440" i="4" s="1"/>
  <c r="H439" i="4"/>
  <c r="I440" i="4" s="1"/>
  <c r="J441" i="4" s="1"/>
  <c r="H440" i="4"/>
  <c r="I441" i="4" s="1"/>
  <c r="J442" i="4" s="1"/>
  <c r="H441" i="4"/>
  <c r="I442" i="4" s="1"/>
  <c r="J443" i="4" s="1"/>
  <c r="H442" i="4"/>
  <c r="I443" i="4" s="1"/>
  <c r="J444" i="4" s="1"/>
  <c r="H443" i="4"/>
  <c r="I444" i="4" s="1"/>
  <c r="J445" i="4" s="1"/>
  <c r="H444" i="4"/>
  <c r="I445" i="4" s="1"/>
  <c r="J446" i="4" s="1"/>
  <c r="H445" i="4"/>
  <c r="H446" i="4"/>
  <c r="H447" i="4"/>
  <c r="I448" i="4" s="1"/>
  <c r="J449" i="4" s="1"/>
  <c r="H448" i="4"/>
  <c r="I449" i="4" s="1"/>
  <c r="J450" i="4" s="1"/>
  <c r="H449" i="4"/>
  <c r="I450" i="4" s="1"/>
  <c r="J451" i="4" s="1"/>
  <c r="H450" i="4"/>
  <c r="I451" i="4" s="1"/>
  <c r="J452" i="4" s="1"/>
  <c r="H451" i="4"/>
  <c r="I452" i="4" s="1"/>
  <c r="J453" i="4" s="1"/>
  <c r="H452" i="4"/>
  <c r="I453" i="4" s="1"/>
  <c r="J454" i="4" s="1"/>
  <c r="H453" i="4"/>
  <c r="I454" i="4" s="1"/>
  <c r="J455" i="4" s="1"/>
  <c r="H454" i="4"/>
  <c r="I455" i="4" s="1"/>
  <c r="J456" i="4" s="1"/>
  <c r="H455" i="4"/>
  <c r="I456" i="4" s="1"/>
  <c r="J457" i="4" s="1"/>
  <c r="H456" i="4"/>
  <c r="I457" i="4" s="1"/>
  <c r="J458" i="4" s="1"/>
  <c r="H457" i="4"/>
  <c r="I458" i="4" s="1"/>
  <c r="J459" i="4" s="1"/>
  <c r="H458" i="4"/>
  <c r="I459" i="4" s="1"/>
  <c r="J460" i="4" s="1"/>
  <c r="H459" i="4"/>
  <c r="I460" i="4" s="1"/>
  <c r="J461" i="4" s="1"/>
  <c r="H460" i="4"/>
  <c r="I461" i="4" s="1"/>
  <c r="J462" i="4" s="1"/>
  <c r="H461" i="4"/>
  <c r="I462" i="4" s="1"/>
  <c r="J463" i="4" s="1"/>
  <c r="H462" i="4"/>
  <c r="I463" i="4" s="1"/>
  <c r="J464" i="4" s="1"/>
  <c r="H463" i="4"/>
  <c r="I464" i="4" s="1"/>
  <c r="J465" i="4" s="1"/>
  <c r="H464" i="4"/>
  <c r="I465" i="4" s="1"/>
  <c r="J466" i="4" s="1"/>
  <c r="H465" i="4"/>
  <c r="I466" i="4" s="1"/>
  <c r="J467" i="4" s="1"/>
  <c r="H466" i="4"/>
  <c r="I467" i="4" s="1"/>
  <c r="J468" i="4" s="1"/>
  <c r="H467" i="4"/>
  <c r="I468" i="4" s="1"/>
  <c r="J469" i="4" s="1"/>
  <c r="H468" i="4"/>
  <c r="I469" i="4" s="1"/>
  <c r="J470" i="4" s="1"/>
  <c r="H469" i="4"/>
  <c r="I470" i="4" s="1"/>
  <c r="J471" i="4" s="1"/>
  <c r="H470" i="4"/>
  <c r="I471" i="4" s="1"/>
  <c r="J472" i="4" s="1"/>
  <c r="H471" i="4"/>
  <c r="I472" i="4" s="1"/>
  <c r="J473" i="4" s="1"/>
  <c r="H472" i="4"/>
  <c r="I473" i="4" s="1"/>
  <c r="J474" i="4" s="1"/>
  <c r="H473" i="4"/>
  <c r="I474" i="4" s="1"/>
  <c r="H474" i="4"/>
  <c r="I475" i="4" s="1"/>
  <c r="H475" i="4"/>
  <c r="I476" i="4" s="1"/>
  <c r="J477" i="4" s="1"/>
  <c r="H476" i="4"/>
  <c r="I477" i="4" s="1"/>
  <c r="J478" i="4" s="1"/>
  <c r="H477" i="4"/>
  <c r="I478" i="4" s="1"/>
  <c r="J479" i="4" s="1"/>
  <c r="H478" i="4"/>
  <c r="I479" i="4" s="1"/>
  <c r="J480" i="4" s="1"/>
  <c r="H479" i="4"/>
  <c r="I480" i="4" s="1"/>
  <c r="J481" i="4" s="1"/>
  <c r="H480" i="4"/>
  <c r="I481" i="4" s="1"/>
  <c r="J482" i="4" s="1"/>
  <c r="H481" i="4"/>
  <c r="I482" i="4" s="1"/>
  <c r="J483" i="4" s="1"/>
  <c r="H482" i="4"/>
  <c r="I483" i="4" s="1"/>
  <c r="J484" i="4" s="1"/>
  <c r="H483" i="4"/>
  <c r="H484" i="4"/>
  <c r="I485" i="4" s="1"/>
  <c r="J486" i="4" s="1"/>
  <c r="H485" i="4"/>
  <c r="I486" i="4" s="1"/>
  <c r="H486" i="4"/>
  <c r="I487" i="4" s="1"/>
  <c r="H487" i="4"/>
  <c r="I488" i="4" s="1"/>
  <c r="J489" i="4" s="1"/>
  <c r="H488" i="4"/>
  <c r="H489" i="4"/>
  <c r="H490" i="4"/>
  <c r="H491" i="4"/>
  <c r="H492" i="4"/>
  <c r="H493" i="4"/>
  <c r="I494" i="4" s="1"/>
  <c r="J495" i="4" s="1"/>
  <c r="H494" i="4"/>
  <c r="I495" i="4" s="1"/>
  <c r="J496" i="4" s="1"/>
  <c r="H495" i="4"/>
  <c r="I496" i="4" s="1"/>
  <c r="J497" i="4" s="1"/>
  <c r="H496" i="4"/>
  <c r="I497" i="4" s="1"/>
  <c r="J498" i="4" s="1"/>
  <c r="H497" i="4"/>
  <c r="I498" i="4" s="1"/>
  <c r="J499" i="4" s="1"/>
  <c r="H498" i="4"/>
  <c r="I499" i="4" s="1"/>
  <c r="J500" i="4" s="1"/>
  <c r="H499" i="4"/>
  <c r="I500" i="4" s="1"/>
  <c r="J501" i="4" s="1"/>
  <c r="H500" i="4"/>
  <c r="I501" i="4" s="1"/>
  <c r="J502" i="4" s="1"/>
  <c r="H501" i="4"/>
  <c r="I502" i="4" s="1"/>
  <c r="J503" i="4" s="1"/>
  <c r="H502" i="4"/>
  <c r="I503" i="4" s="1"/>
  <c r="J504" i="4" s="1"/>
  <c r="H503" i="4"/>
  <c r="I504" i="4" s="1"/>
  <c r="J505" i="4" s="1"/>
  <c r="H504" i="4"/>
  <c r="I505" i="4" s="1"/>
  <c r="J506" i="4" s="1"/>
  <c r="H505" i="4"/>
  <c r="H506" i="4"/>
  <c r="H507" i="4"/>
  <c r="I508" i="4" s="1"/>
  <c r="J509" i="4" s="1"/>
  <c r="H508" i="4"/>
  <c r="I509" i="4" s="1"/>
  <c r="J510" i="4" s="1"/>
  <c r="H509" i="4"/>
  <c r="I510" i="4" s="1"/>
  <c r="J511" i="4" s="1"/>
  <c r="H510" i="4"/>
  <c r="I511" i="4" s="1"/>
  <c r="J512" i="4" s="1"/>
  <c r="H511" i="4"/>
  <c r="I512" i="4" s="1"/>
  <c r="J513" i="4" s="1"/>
  <c r="H512" i="4"/>
  <c r="H513" i="4"/>
  <c r="I514" i="4" s="1"/>
  <c r="J515" i="4" s="1"/>
  <c r="H514" i="4"/>
  <c r="I515" i="4" s="1"/>
  <c r="J516" i="4" s="1"/>
  <c r="H515" i="4"/>
  <c r="I516" i="4" s="1"/>
  <c r="J517" i="4" s="1"/>
  <c r="H516" i="4"/>
  <c r="I517" i="4" s="1"/>
  <c r="J518" i="4" s="1"/>
  <c r="H517" i="4"/>
  <c r="I518" i="4" s="1"/>
  <c r="J519" i="4" s="1"/>
  <c r="H518" i="4"/>
  <c r="I519" i="4" s="1"/>
  <c r="J520" i="4" s="1"/>
  <c r="H519" i="4"/>
  <c r="I520" i="4" s="1"/>
  <c r="J521" i="4" s="1"/>
  <c r="H520" i="4"/>
  <c r="I521" i="4" s="1"/>
  <c r="J522" i="4" s="1"/>
  <c r="H521" i="4"/>
  <c r="H522" i="4"/>
  <c r="H523" i="4"/>
  <c r="I524" i="4" s="1"/>
  <c r="J525" i="4" s="1"/>
  <c r="H524" i="4"/>
  <c r="I525" i="4" s="1"/>
  <c r="J526" i="4" s="1"/>
  <c r="H525" i="4"/>
  <c r="I526" i="4" s="1"/>
  <c r="J527" i="4" s="1"/>
  <c r="H526" i="4"/>
  <c r="I527" i="4" s="1"/>
  <c r="J528" i="4" s="1"/>
  <c r="H527" i="4"/>
  <c r="I528" i="4" s="1"/>
  <c r="J529" i="4" s="1"/>
  <c r="H528" i="4"/>
  <c r="I529" i="4" s="1"/>
  <c r="J530" i="4" s="1"/>
  <c r="H529" i="4"/>
  <c r="I530" i="4" s="1"/>
  <c r="J531" i="4" s="1"/>
  <c r="H530" i="4"/>
  <c r="I531" i="4" s="1"/>
  <c r="J532" i="4" s="1"/>
  <c r="H531" i="4"/>
  <c r="I532" i="4" s="1"/>
  <c r="J533" i="4" s="1"/>
  <c r="H532" i="4"/>
  <c r="I533" i="4" s="1"/>
  <c r="H533" i="4"/>
  <c r="I534" i="4" s="1"/>
  <c r="J535" i="4" s="1"/>
  <c r="H534" i="4"/>
  <c r="I535" i="4" s="1"/>
  <c r="J536" i="4" s="1"/>
  <c r="H535" i="4"/>
  <c r="I536" i="4" s="1"/>
  <c r="J537" i="4" s="1"/>
  <c r="H536" i="4"/>
  <c r="I537" i="4" s="1"/>
  <c r="J538" i="4" s="1"/>
  <c r="H537" i="4"/>
  <c r="I538" i="4" s="1"/>
  <c r="J539" i="4" s="1"/>
  <c r="H538" i="4"/>
  <c r="I539" i="4" s="1"/>
  <c r="J540" i="4" s="1"/>
  <c r="H539" i="4"/>
  <c r="I540" i="4" s="1"/>
  <c r="J541" i="4" s="1"/>
  <c r="H540" i="4"/>
  <c r="I541" i="4" s="1"/>
  <c r="J542" i="4" s="1"/>
  <c r="H541" i="4"/>
  <c r="I542" i="4" s="1"/>
  <c r="J543" i="4" s="1"/>
  <c r="H542" i="4"/>
  <c r="I543" i="4" s="1"/>
  <c r="J544" i="4" s="1"/>
  <c r="H543" i="4"/>
  <c r="H544" i="4"/>
  <c r="I545" i="4" s="1"/>
  <c r="H545" i="4"/>
  <c r="H546" i="4"/>
  <c r="I547" i="4" s="1"/>
  <c r="J548" i="4" s="1"/>
  <c r="H547" i="4"/>
  <c r="I548" i="4" s="1"/>
  <c r="J549" i="4" s="1"/>
  <c r="H548" i="4"/>
  <c r="I549" i="4" s="1"/>
  <c r="J550" i="4" s="1"/>
  <c r="H549" i="4"/>
  <c r="I550" i="4" s="1"/>
  <c r="J551" i="4" s="1"/>
  <c r="H550" i="4"/>
  <c r="I551" i="4" s="1"/>
  <c r="J552" i="4" s="1"/>
  <c r="H551" i="4"/>
  <c r="I552" i="4" s="1"/>
  <c r="J553" i="4" s="1"/>
  <c r="H552" i="4"/>
  <c r="I553" i="4" s="1"/>
  <c r="J554" i="4" s="1"/>
  <c r="H553" i="4"/>
  <c r="I554" i="4" s="1"/>
  <c r="J555" i="4" s="1"/>
  <c r="H554" i="4"/>
  <c r="I555" i="4" s="1"/>
  <c r="J556" i="4" s="1"/>
  <c r="H555" i="4"/>
  <c r="I556" i="4" s="1"/>
  <c r="J557" i="4" s="1"/>
  <c r="H556" i="4"/>
  <c r="I557" i="4" s="1"/>
  <c r="J558" i="4" s="1"/>
  <c r="H557" i="4"/>
  <c r="I558" i="4" s="1"/>
  <c r="J559" i="4" s="1"/>
  <c r="H558" i="4"/>
  <c r="I559" i="4" s="1"/>
  <c r="J560" i="4" s="1"/>
  <c r="H559" i="4"/>
  <c r="I560" i="4" s="1"/>
  <c r="J561" i="4" s="1"/>
  <c r="H560" i="4"/>
  <c r="I561" i="4" s="1"/>
  <c r="J562" i="4" s="1"/>
  <c r="H561" i="4"/>
  <c r="I562" i="4" s="1"/>
  <c r="J563" i="4" s="1"/>
  <c r="H562" i="4"/>
  <c r="I563" i="4" s="1"/>
  <c r="J564" i="4" s="1"/>
  <c r="H563" i="4"/>
  <c r="H564" i="4"/>
  <c r="H565" i="4"/>
  <c r="H566" i="4"/>
  <c r="I567" i="4" s="1"/>
  <c r="J568" i="4" s="1"/>
  <c r="H567" i="4"/>
  <c r="I568" i="4" s="1"/>
  <c r="J569" i="4" s="1"/>
  <c r="H568" i="4"/>
  <c r="I569" i="4" s="1"/>
  <c r="J570" i="4" s="1"/>
  <c r="H569" i="4"/>
  <c r="I570" i="4" s="1"/>
  <c r="J571" i="4" s="1"/>
  <c r="H570" i="4"/>
  <c r="I571" i="4" s="1"/>
  <c r="J572" i="4" s="1"/>
  <c r="H571" i="4"/>
  <c r="I572" i="4" s="1"/>
  <c r="J573" i="4" s="1"/>
  <c r="H572" i="4"/>
  <c r="H573" i="4"/>
  <c r="I574" i="4" s="1"/>
  <c r="H574" i="4"/>
  <c r="I575" i="4" s="1"/>
  <c r="J576" i="4" s="1"/>
  <c r="H575" i="4"/>
  <c r="I576" i="4" s="1"/>
  <c r="J577" i="4" s="1"/>
  <c r="H576" i="4"/>
  <c r="I577" i="4" s="1"/>
  <c r="J578" i="4" s="1"/>
  <c r="H577" i="4"/>
  <c r="I578" i="4" s="1"/>
  <c r="J579" i="4" s="1"/>
  <c r="H578" i="4"/>
  <c r="I579" i="4" s="1"/>
  <c r="H579" i="4"/>
  <c r="I580" i="4" s="1"/>
  <c r="J581" i="4" s="1"/>
  <c r="H580" i="4"/>
  <c r="I581" i="4" s="1"/>
  <c r="J582" i="4" s="1"/>
  <c r="H581" i="4"/>
  <c r="I582" i="4" s="1"/>
  <c r="J583" i="4" s="1"/>
  <c r="H582" i="4"/>
  <c r="I583" i="4" s="1"/>
  <c r="J584" i="4" s="1"/>
  <c r="H583" i="4"/>
  <c r="I584" i="4" s="1"/>
  <c r="J585" i="4" s="1"/>
  <c r="H584" i="4"/>
  <c r="I585" i="4" s="1"/>
  <c r="J586" i="4" s="1"/>
  <c r="H585" i="4"/>
  <c r="I586" i="4" s="1"/>
  <c r="J587" i="4" s="1"/>
  <c r="H586" i="4"/>
  <c r="I587" i="4" s="1"/>
  <c r="J588" i="4" s="1"/>
  <c r="H587" i="4"/>
  <c r="H588" i="4"/>
  <c r="I589" i="4" s="1"/>
  <c r="J590" i="4" s="1"/>
  <c r="H589" i="4"/>
  <c r="I590" i="4" s="1"/>
  <c r="J591" i="4" s="1"/>
  <c r="H590" i="4"/>
  <c r="I591" i="4" s="1"/>
  <c r="J592" i="4" s="1"/>
  <c r="H591" i="4"/>
  <c r="I592" i="4" s="1"/>
  <c r="J593" i="4" s="1"/>
  <c r="H592" i="4"/>
  <c r="H593" i="4"/>
  <c r="H594" i="4"/>
  <c r="I595" i="4" s="1"/>
  <c r="J596" i="4" s="1"/>
  <c r="H595" i="4"/>
  <c r="I596" i="4" s="1"/>
  <c r="J597" i="4" s="1"/>
  <c r="H596" i="4"/>
  <c r="I597" i="4" s="1"/>
  <c r="J598" i="4" s="1"/>
  <c r="H597" i="4"/>
  <c r="I598" i="4" s="1"/>
  <c r="J599" i="4" s="1"/>
  <c r="H598" i="4"/>
  <c r="I599" i="4" s="1"/>
  <c r="J600" i="4" s="1"/>
  <c r="H599" i="4"/>
  <c r="I600" i="4" s="1"/>
  <c r="J601" i="4" s="1"/>
  <c r="H600" i="4"/>
  <c r="I601" i="4" s="1"/>
  <c r="J602" i="4" s="1"/>
  <c r="H601" i="4"/>
  <c r="I602" i="4" s="1"/>
  <c r="J603" i="4" s="1"/>
  <c r="H602" i="4"/>
  <c r="I603" i="4" s="1"/>
  <c r="J604" i="4" s="1"/>
  <c r="H603" i="4"/>
  <c r="I604" i="4" s="1"/>
  <c r="J605" i="4" s="1"/>
  <c r="H604" i="4"/>
  <c r="I605" i="4" s="1"/>
  <c r="J606" i="4" s="1"/>
  <c r="H605" i="4"/>
  <c r="I606" i="4" s="1"/>
  <c r="J607" i="4" s="1"/>
  <c r="H606" i="4"/>
  <c r="I607" i="4" s="1"/>
  <c r="J608" i="4" s="1"/>
  <c r="H607" i="4"/>
  <c r="I608" i="4" s="1"/>
  <c r="J609" i="4" s="1"/>
  <c r="H608" i="4"/>
  <c r="I609" i="4" s="1"/>
  <c r="J610" i="4" s="1"/>
  <c r="H609" i="4"/>
  <c r="I610" i="4" s="1"/>
  <c r="J611" i="4" s="1"/>
  <c r="H610" i="4"/>
  <c r="I611" i="4" s="1"/>
  <c r="J612" i="4" s="1"/>
  <c r="H611" i="4"/>
  <c r="I612" i="4" s="1"/>
  <c r="J613" i="4" s="1"/>
  <c r="H612" i="4"/>
  <c r="I613" i="4" s="1"/>
  <c r="J614" i="4" s="1"/>
  <c r="H613" i="4"/>
  <c r="I614" i="4" s="1"/>
  <c r="J615" i="4" s="1"/>
  <c r="H614" i="4"/>
  <c r="I615" i="4" s="1"/>
  <c r="J616" i="4" s="1"/>
  <c r="H615" i="4"/>
  <c r="I616" i="4" s="1"/>
  <c r="J617" i="4" s="1"/>
  <c r="H616" i="4"/>
  <c r="I617" i="4" s="1"/>
  <c r="J618" i="4" s="1"/>
  <c r="H617" i="4"/>
  <c r="I618" i="4" s="1"/>
  <c r="J619" i="4" s="1"/>
  <c r="H618" i="4"/>
  <c r="I619" i="4" s="1"/>
  <c r="J620" i="4" s="1"/>
  <c r="H619" i="4"/>
  <c r="I620" i="4" s="1"/>
  <c r="J621" i="4" s="1"/>
  <c r="H620" i="4"/>
  <c r="I621" i="4" s="1"/>
  <c r="J622" i="4" s="1"/>
  <c r="H621" i="4"/>
  <c r="H622" i="4"/>
  <c r="I623" i="4" s="1"/>
  <c r="J624" i="4" s="1"/>
  <c r="H623" i="4"/>
  <c r="I624" i="4" s="1"/>
  <c r="J625" i="4" s="1"/>
  <c r="H624" i="4"/>
  <c r="I625" i="4" s="1"/>
  <c r="J626" i="4" s="1"/>
  <c r="H625" i="4"/>
  <c r="H626" i="4"/>
  <c r="I627" i="4" s="1"/>
  <c r="J628" i="4" s="1"/>
  <c r="H627" i="4"/>
  <c r="I628" i="4" s="1"/>
  <c r="J629" i="4" s="1"/>
  <c r="H628" i="4"/>
  <c r="I629" i="4" s="1"/>
  <c r="J630" i="4" s="1"/>
  <c r="H629" i="4"/>
  <c r="I630" i="4" s="1"/>
  <c r="J631" i="4" s="1"/>
  <c r="H630" i="4"/>
  <c r="I631" i="4" s="1"/>
  <c r="J632" i="4" s="1"/>
  <c r="H631" i="4"/>
  <c r="I632" i="4" s="1"/>
  <c r="J633" i="4" s="1"/>
  <c r="H632" i="4"/>
  <c r="I633" i="4" s="1"/>
  <c r="J634" i="4" s="1"/>
  <c r="H633" i="4"/>
  <c r="H634" i="4"/>
  <c r="I635" i="4" s="1"/>
  <c r="H635" i="4"/>
  <c r="I636" i="4" s="1"/>
  <c r="J637" i="4" s="1"/>
  <c r="H636" i="4"/>
  <c r="I637" i="4" s="1"/>
  <c r="J638" i="4" s="1"/>
  <c r="H637" i="4"/>
  <c r="I638" i="4" s="1"/>
  <c r="J639" i="4" s="1"/>
  <c r="H638" i="4"/>
  <c r="I639" i="4" s="1"/>
  <c r="J640" i="4" s="1"/>
  <c r="H639" i="4"/>
  <c r="I640" i="4" s="1"/>
  <c r="J641" i="4" s="1"/>
  <c r="H640" i="4"/>
  <c r="I641" i="4" s="1"/>
  <c r="J642" i="4" s="1"/>
  <c r="H641" i="4"/>
  <c r="I642" i="4" s="1"/>
  <c r="J643" i="4" s="1"/>
  <c r="H642" i="4"/>
  <c r="I643" i="4" s="1"/>
  <c r="J644" i="4" s="1"/>
  <c r="H643" i="4"/>
  <c r="H644" i="4"/>
  <c r="I645" i="4" s="1"/>
  <c r="J646" i="4" s="1"/>
  <c r="H645" i="4"/>
  <c r="H646" i="4"/>
  <c r="I647" i="4" s="1"/>
  <c r="J648" i="4" s="1"/>
  <c r="H647" i="4"/>
  <c r="I648" i="4" s="1"/>
  <c r="J649" i="4" s="1"/>
  <c r="H648" i="4"/>
  <c r="I649" i="4" s="1"/>
  <c r="J650" i="4" s="1"/>
  <c r="H649" i="4"/>
  <c r="I650" i="4" s="1"/>
  <c r="J651" i="4" s="1"/>
  <c r="H650" i="4"/>
  <c r="I651" i="4" s="1"/>
  <c r="J652" i="4" s="1"/>
  <c r="H651" i="4"/>
  <c r="I652" i="4" s="1"/>
  <c r="J653" i="4" s="1"/>
  <c r="H652" i="4"/>
  <c r="I653" i="4" s="1"/>
  <c r="J654" i="4" s="1"/>
  <c r="H653" i="4"/>
  <c r="H654" i="4"/>
  <c r="I655" i="4" s="1"/>
  <c r="J656" i="4" s="1"/>
  <c r="H655" i="4"/>
  <c r="I656" i="4" s="1"/>
  <c r="J657" i="4" s="1"/>
  <c r="H656" i="4"/>
  <c r="I657" i="4" s="1"/>
  <c r="J658" i="4" s="1"/>
  <c r="H657" i="4"/>
  <c r="I658" i="4" s="1"/>
  <c r="J659" i="4" s="1"/>
  <c r="H658" i="4"/>
  <c r="I659" i="4" s="1"/>
  <c r="J660" i="4" s="1"/>
  <c r="H659" i="4"/>
  <c r="I660" i="4" s="1"/>
  <c r="J661" i="4" s="1"/>
  <c r="H660" i="4"/>
  <c r="I661" i="4" s="1"/>
  <c r="J662" i="4" s="1"/>
  <c r="H661" i="4"/>
  <c r="I662" i="4" s="1"/>
  <c r="J663" i="4" s="1"/>
  <c r="H662" i="4"/>
  <c r="I663" i="4" s="1"/>
  <c r="J664" i="4" s="1"/>
  <c r="H663" i="4"/>
  <c r="I664" i="4" s="1"/>
  <c r="J665" i="4" s="1"/>
  <c r="H664" i="4"/>
  <c r="I665" i="4" s="1"/>
  <c r="J666" i="4" s="1"/>
  <c r="H665" i="4"/>
  <c r="I666" i="4" s="1"/>
  <c r="J667" i="4" s="1"/>
  <c r="H666" i="4"/>
  <c r="H667" i="4"/>
  <c r="H668" i="4"/>
  <c r="I669" i="4" s="1"/>
  <c r="J670" i="4" s="1"/>
  <c r="H669" i="4"/>
  <c r="I670" i="4" s="1"/>
  <c r="J671" i="4" s="1"/>
  <c r="H670" i="4"/>
  <c r="I671" i="4" s="1"/>
  <c r="J672" i="4" s="1"/>
  <c r="H671" i="4"/>
  <c r="I672" i="4" s="1"/>
  <c r="J673" i="4" s="1"/>
  <c r="H672" i="4"/>
  <c r="H673" i="4"/>
  <c r="I674" i="4" s="1"/>
  <c r="J675" i="4" s="1"/>
  <c r="H674" i="4"/>
  <c r="H675" i="4"/>
  <c r="I676" i="4" s="1"/>
  <c r="J677" i="4" s="1"/>
  <c r="H676" i="4"/>
  <c r="I677" i="4" s="1"/>
  <c r="J678" i="4" s="1"/>
  <c r="H677" i="4"/>
  <c r="I678" i="4" s="1"/>
  <c r="J679" i="4" s="1"/>
  <c r="H678" i="4"/>
  <c r="I679" i="4" s="1"/>
  <c r="J680" i="4" s="1"/>
  <c r="H679" i="4"/>
  <c r="I680" i="4" s="1"/>
  <c r="J681" i="4" s="1"/>
  <c r="H680" i="4"/>
  <c r="I681" i="4" s="1"/>
  <c r="J682" i="4" s="1"/>
  <c r="H681" i="4"/>
  <c r="I682" i="4" s="1"/>
  <c r="J683" i="4" s="1"/>
  <c r="H682" i="4"/>
  <c r="I683" i="4" s="1"/>
  <c r="J684" i="4" s="1"/>
  <c r="H683" i="4"/>
  <c r="H684" i="4"/>
  <c r="I685" i="4" s="1"/>
  <c r="J686" i="4" s="1"/>
  <c r="H685" i="4"/>
  <c r="H686" i="4"/>
  <c r="I687" i="4" s="1"/>
  <c r="J688" i="4" s="1"/>
  <c r="H687" i="4"/>
  <c r="H688" i="4"/>
  <c r="I689" i="4" s="1"/>
  <c r="J690" i="4" s="1"/>
  <c r="H689" i="4"/>
  <c r="I690" i="4" s="1"/>
  <c r="J691" i="4" s="1"/>
  <c r="H690" i="4"/>
  <c r="I691" i="4" s="1"/>
  <c r="J692" i="4" s="1"/>
  <c r="H691" i="4"/>
  <c r="I692" i="4" s="1"/>
  <c r="J693" i="4" s="1"/>
  <c r="H692" i="4"/>
  <c r="H693" i="4"/>
  <c r="H694" i="4"/>
  <c r="I695" i="4" s="1"/>
  <c r="J696" i="4" s="1"/>
  <c r="H695" i="4"/>
  <c r="I696" i="4" s="1"/>
  <c r="J697" i="4" s="1"/>
  <c r="H696" i="4"/>
  <c r="I697" i="4" s="1"/>
  <c r="J698" i="4" s="1"/>
  <c r="H697" i="4"/>
  <c r="I698" i="4" s="1"/>
  <c r="J699" i="4" s="1"/>
  <c r="H698" i="4"/>
  <c r="I699" i="4" s="1"/>
  <c r="J700" i="4" s="1"/>
  <c r="H699" i="4"/>
  <c r="I700" i="4" s="1"/>
  <c r="J701" i="4" s="1"/>
  <c r="H700" i="4"/>
  <c r="I701" i="4" s="1"/>
  <c r="J702" i="4" s="1"/>
  <c r="H701" i="4"/>
  <c r="I702" i="4" s="1"/>
  <c r="J703" i="4" s="1"/>
  <c r="H702" i="4"/>
  <c r="I703" i="4" s="1"/>
  <c r="J704" i="4" s="1"/>
  <c r="H703" i="4"/>
  <c r="I704" i="4" s="1"/>
  <c r="J705" i="4" s="1"/>
  <c r="H704" i="4"/>
  <c r="I705" i="4" s="1"/>
  <c r="J706" i="4" s="1"/>
  <c r="H705" i="4"/>
  <c r="H706" i="4"/>
  <c r="I707" i="4" s="1"/>
  <c r="J708" i="4" s="1"/>
  <c r="H707" i="4"/>
  <c r="I708" i="4" s="1"/>
  <c r="J709" i="4" s="1"/>
  <c r="H708" i="4"/>
  <c r="H709" i="4"/>
  <c r="I710" i="4" s="1"/>
  <c r="J711" i="4" s="1"/>
  <c r="H710" i="4"/>
  <c r="I711" i="4" s="1"/>
  <c r="J712" i="4" s="1"/>
  <c r="H711" i="4"/>
  <c r="I712" i="4" s="1"/>
  <c r="J713" i="4" s="1"/>
  <c r="H712" i="4"/>
  <c r="I713" i="4" s="1"/>
  <c r="J714" i="4" s="1"/>
  <c r="H713" i="4"/>
  <c r="I714" i="4" s="1"/>
  <c r="J715" i="4" s="1"/>
  <c r="H714" i="4"/>
  <c r="I715" i="4" s="1"/>
  <c r="H715" i="4"/>
  <c r="I716" i="4" s="1"/>
  <c r="J717" i="4" s="1"/>
  <c r="H716" i="4"/>
  <c r="I717" i="4" s="1"/>
  <c r="J718" i="4" s="1"/>
  <c r="H717" i="4"/>
  <c r="I718" i="4" s="1"/>
  <c r="J719" i="4" s="1"/>
  <c r="H718" i="4"/>
  <c r="I719" i="4" s="1"/>
  <c r="J720" i="4" s="1"/>
  <c r="H719" i="4"/>
  <c r="I720" i="4" s="1"/>
  <c r="J721" i="4" s="1"/>
  <c r="H720" i="4"/>
  <c r="I721" i="4" s="1"/>
  <c r="J722" i="4" s="1"/>
  <c r="H721" i="4"/>
  <c r="I722" i="4" s="1"/>
  <c r="J723" i="4" s="1"/>
  <c r="H722" i="4"/>
  <c r="I723" i="4" s="1"/>
  <c r="J724" i="4" s="1"/>
  <c r="H723" i="4"/>
  <c r="I724" i="4" s="1"/>
  <c r="J725" i="4" s="1"/>
  <c r="H724" i="4"/>
  <c r="I725" i="4" s="1"/>
  <c r="J726" i="4" s="1"/>
  <c r="H725" i="4"/>
  <c r="H726" i="4"/>
  <c r="I727" i="4" s="1"/>
  <c r="J728" i="4" s="1"/>
  <c r="H727" i="4"/>
  <c r="H728" i="4"/>
  <c r="H729" i="4"/>
  <c r="I730" i="4" s="1"/>
  <c r="J731" i="4" s="1"/>
  <c r="H730" i="4"/>
  <c r="I731" i="4" s="1"/>
  <c r="J732" i="4" s="1"/>
  <c r="H731" i="4"/>
  <c r="I732" i="4" s="1"/>
  <c r="J733" i="4" s="1"/>
  <c r="H732" i="4"/>
  <c r="H733" i="4"/>
  <c r="I734" i="4" s="1"/>
  <c r="J735" i="4" s="1"/>
  <c r="H734" i="4"/>
  <c r="I735" i="4" s="1"/>
  <c r="J736" i="4" s="1"/>
  <c r="H735" i="4"/>
  <c r="I736" i="4" s="1"/>
  <c r="J737" i="4" s="1"/>
  <c r="H736" i="4"/>
  <c r="I737" i="4" s="1"/>
  <c r="J738" i="4" s="1"/>
  <c r="H737" i="4"/>
  <c r="I738" i="4" s="1"/>
  <c r="J739" i="4" s="1"/>
  <c r="H738" i="4"/>
  <c r="I739" i="4" s="1"/>
  <c r="J740" i="4" s="1"/>
  <c r="H739" i="4"/>
  <c r="I740" i="4" s="1"/>
  <c r="J741" i="4" s="1"/>
  <c r="H740" i="4"/>
  <c r="I741" i="4" s="1"/>
  <c r="J742" i="4" s="1"/>
  <c r="H741" i="4"/>
  <c r="I742" i="4" s="1"/>
  <c r="J743" i="4" s="1"/>
  <c r="H742" i="4"/>
  <c r="I743" i="4" s="1"/>
  <c r="J744" i="4" s="1"/>
  <c r="H743" i="4"/>
  <c r="I744" i="4" s="1"/>
  <c r="J745" i="4" s="1"/>
  <c r="H744" i="4"/>
  <c r="I745" i="4" s="1"/>
  <c r="J746" i="4" s="1"/>
  <c r="H745" i="4"/>
  <c r="I746" i="4" s="1"/>
  <c r="J747" i="4" s="1"/>
  <c r="H746" i="4"/>
  <c r="I747" i="4" s="1"/>
  <c r="J748" i="4" s="1"/>
  <c r="H747" i="4"/>
  <c r="I748" i="4" s="1"/>
  <c r="J749" i="4" s="1"/>
  <c r="H748" i="4"/>
  <c r="I749" i="4" s="1"/>
  <c r="J750" i="4" s="1"/>
  <c r="H749" i="4"/>
  <c r="H750" i="4"/>
  <c r="I751" i="4" s="1"/>
  <c r="J752" i="4" s="1"/>
  <c r="H751" i="4"/>
  <c r="I752" i="4" s="1"/>
  <c r="J753" i="4" s="1"/>
  <c r="H752" i="4"/>
  <c r="H753" i="4"/>
  <c r="I754" i="4" s="1"/>
  <c r="J755" i="4" s="1"/>
  <c r="H754" i="4"/>
  <c r="I755" i="4" s="1"/>
  <c r="J756" i="4" s="1"/>
  <c r="H755" i="4"/>
  <c r="I756" i="4" s="1"/>
  <c r="J757" i="4" s="1"/>
  <c r="H756" i="4"/>
  <c r="I757" i="4" s="1"/>
  <c r="J758" i="4" s="1"/>
  <c r="H757" i="4"/>
  <c r="I758" i="4" s="1"/>
  <c r="J759" i="4" s="1"/>
  <c r="H758" i="4"/>
  <c r="I759" i="4" s="1"/>
  <c r="J760" i="4" s="1"/>
  <c r="H759" i="4"/>
  <c r="I760" i="4" s="1"/>
  <c r="J761" i="4" s="1"/>
  <c r="H760" i="4"/>
  <c r="I761" i="4" s="1"/>
  <c r="J762" i="4" s="1"/>
  <c r="H761" i="4"/>
  <c r="I762" i="4" s="1"/>
  <c r="J763" i="4" s="1"/>
  <c r="H762" i="4"/>
  <c r="I763" i="4" s="1"/>
  <c r="J764" i="4" s="1"/>
  <c r="H763" i="4"/>
  <c r="I764" i="4" s="1"/>
  <c r="J765" i="4" s="1"/>
  <c r="H764" i="4"/>
  <c r="I765" i="4" s="1"/>
  <c r="J766" i="4" s="1"/>
  <c r="H765" i="4"/>
  <c r="I766" i="4" s="1"/>
  <c r="J767" i="4" s="1"/>
  <c r="H766" i="4"/>
  <c r="I767" i="4" s="1"/>
  <c r="J768" i="4" s="1"/>
  <c r="H767" i="4"/>
  <c r="I768" i="4" s="1"/>
  <c r="J769" i="4" s="1"/>
  <c r="H768" i="4"/>
  <c r="I769" i="4" s="1"/>
  <c r="J770" i="4" s="1"/>
  <c r="H769" i="4"/>
  <c r="H770" i="4"/>
  <c r="I771" i="4" s="1"/>
  <c r="J772" i="4" s="1"/>
  <c r="H771" i="4"/>
  <c r="I772" i="4" s="1"/>
  <c r="J773" i="4" s="1"/>
  <c r="H772" i="4"/>
  <c r="H773" i="4"/>
  <c r="H774" i="4"/>
  <c r="H775" i="4"/>
  <c r="I776" i="4" s="1"/>
  <c r="J777" i="4" s="1"/>
  <c r="H776" i="4"/>
  <c r="I777" i="4" s="1"/>
  <c r="J778" i="4" s="1"/>
  <c r="H777" i="4"/>
  <c r="I778" i="4" s="1"/>
  <c r="J779" i="4" s="1"/>
  <c r="H778" i="4"/>
  <c r="I779" i="4" s="1"/>
  <c r="J780" i="4" s="1"/>
  <c r="H779" i="4"/>
  <c r="I780" i="4" s="1"/>
  <c r="J781" i="4" s="1"/>
  <c r="H780" i="4"/>
  <c r="I781" i="4" s="1"/>
  <c r="J782" i="4" s="1"/>
  <c r="H781" i="4"/>
  <c r="I782" i="4" s="1"/>
  <c r="J783" i="4" s="1"/>
  <c r="H782" i="4"/>
  <c r="I783" i="4" s="1"/>
  <c r="J784" i="4" s="1"/>
  <c r="H783" i="4"/>
  <c r="I784" i="4" s="1"/>
  <c r="J785" i="4" s="1"/>
  <c r="H784" i="4"/>
  <c r="I785" i="4" s="1"/>
  <c r="J786" i="4" s="1"/>
  <c r="H785" i="4"/>
  <c r="I786" i="4" s="1"/>
  <c r="J787" i="4" s="1"/>
  <c r="H786" i="4"/>
  <c r="I787" i="4" s="1"/>
  <c r="H787" i="4"/>
  <c r="I788" i="4" s="1"/>
  <c r="J789" i="4" s="1"/>
  <c r="H788" i="4"/>
  <c r="I789" i="4" s="1"/>
  <c r="J790" i="4" s="1"/>
  <c r="H789" i="4"/>
  <c r="I790" i="4" s="1"/>
  <c r="J791" i="4" s="1"/>
  <c r="H790" i="4"/>
  <c r="I791" i="4" s="1"/>
  <c r="J792" i="4" s="1"/>
  <c r="H791" i="4"/>
  <c r="I792" i="4" s="1"/>
  <c r="J793" i="4" s="1"/>
  <c r="H792" i="4"/>
  <c r="I793" i="4" s="1"/>
  <c r="H793" i="4"/>
  <c r="I794" i="4" s="1"/>
  <c r="J795" i="4" s="1"/>
  <c r="H794" i="4"/>
  <c r="I795" i="4" s="1"/>
  <c r="J796" i="4" s="1"/>
  <c r="H795" i="4"/>
  <c r="I796" i="4" s="1"/>
  <c r="J797" i="4" s="1"/>
  <c r="H796" i="4"/>
  <c r="I797" i="4" s="1"/>
  <c r="J798" i="4" s="1"/>
  <c r="H797" i="4"/>
  <c r="I798" i="4" s="1"/>
  <c r="J799" i="4" s="1"/>
  <c r="H798" i="4"/>
  <c r="I799" i="4" s="1"/>
  <c r="J800" i="4" s="1"/>
  <c r="H799" i="4"/>
  <c r="I800" i="4" s="1"/>
  <c r="J801" i="4" s="1"/>
  <c r="H800" i="4"/>
  <c r="I801" i="4" s="1"/>
  <c r="J802" i="4" s="1"/>
  <c r="H801" i="4"/>
  <c r="I802" i="4" s="1"/>
  <c r="J803" i="4" s="1"/>
  <c r="H802" i="4"/>
  <c r="I803" i="4" s="1"/>
  <c r="J804" i="4" s="1"/>
  <c r="H803" i="4"/>
  <c r="I804" i="4" s="1"/>
  <c r="H804" i="4"/>
  <c r="I805" i="4" s="1"/>
  <c r="J806" i="4" s="1"/>
  <c r="H805" i="4"/>
  <c r="I806" i="4" s="1"/>
  <c r="H806" i="4"/>
  <c r="I807" i="4" s="1"/>
  <c r="J808" i="4" s="1"/>
  <c r="H807" i="4"/>
  <c r="I808" i="4" s="1"/>
  <c r="J809" i="4" s="1"/>
  <c r="H808" i="4"/>
  <c r="I809" i="4" s="1"/>
  <c r="J810" i="4" s="1"/>
  <c r="H809" i="4"/>
  <c r="I810" i="4" s="1"/>
  <c r="J811" i="4" s="1"/>
  <c r="H810" i="4"/>
  <c r="I811" i="4" s="1"/>
  <c r="J812" i="4" s="1"/>
  <c r="H811" i="4"/>
  <c r="I812" i="4" s="1"/>
  <c r="J813" i="4" s="1"/>
  <c r="H812" i="4"/>
  <c r="I813" i="4" s="1"/>
  <c r="J814" i="4" s="1"/>
  <c r="H813" i="4"/>
  <c r="I814" i="4" s="1"/>
  <c r="J815" i="4" s="1"/>
  <c r="H814" i="4"/>
  <c r="I815" i="4" s="1"/>
  <c r="J816" i="4" s="1"/>
  <c r="H815" i="4"/>
  <c r="I816" i="4" s="1"/>
  <c r="J817" i="4" s="1"/>
  <c r="H816" i="4"/>
  <c r="I817" i="4" s="1"/>
  <c r="J818" i="4" s="1"/>
  <c r="H817" i="4"/>
  <c r="I818" i="4" s="1"/>
  <c r="J819" i="4" s="1"/>
  <c r="H818" i="4"/>
  <c r="I819" i="4" s="1"/>
  <c r="J820" i="4" s="1"/>
  <c r="H819" i="4"/>
  <c r="I820" i="4" s="1"/>
  <c r="J821" i="4" s="1"/>
  <c r="H820" i="4"/>
  <c r="I821" i="4" s="1"/>
  <c r="J822" i="4" s="1"/>
  <c r="H821" i="4"/>
  <c r="I822" i="4" s="1"/>
  <c r="J823" i="4" s="1"/>
  <c r="H822" i="4"/>
  <c r="I823" i="4" s="1"/>
  <c r="J824" i="4" s="1"/>
  <c r="H823" i="4"/>
  <c r="I824" i="4" s="1"/>
  <c r="J825" i="4" s="1"/>
  <c r="H824" i="4"/>
  <c r="I825" i="4" s="1"/>
  <c r="J826" i="4" s="1"/>
  <c r="H825" i="4"/>
  <c r="I826" i="4" s="1"/>
  <c r="J827" i="4" s="1"/>
  <c r="H826" i="4"/>
  <c r="I827" i="4" s="1"/>
  <c r="J828" i="4" s="1"/>
  <c r="H827" i="4"/>
  <c r="H828" i="4"/>
  <c r="I829" i="4" s="1"/>
  <c r="J830" i="4" s="1"/>
  <c r="H829" i="4"/>
  <c r="I830" i="4" s="1"/>
  <c r="J831" i="4" s="1"/>
  <c r="H830" i="4"/>
  <c r="I831" i="4" s="1"/>
  <c r="J832" i="4" s="1"/>
  <c r="H831" i="4"/>
  <c r="I832" i="4" s="1"/>
  <c r="J833" i="4" s="1"/>
  <c r="H832" i="4"/>
  <c r="I833" i="4" s="1"/>
  <c r="H833" i="4"/>
  <c r="H834" i="4"/>
  <c r="H835" i="4"/>
  <c r="I836" i="4" s="1"/>
  <c r="J837" i="4" s="1"/>
  <c r="H836" i="4"/>
  <c r="I837" i="4" s="1"/>
  <c r="J838" i="4" s="1"/>
  <c r="H837" i="4"/>
  <c r="I838" i="4" s="1"/>
  <c r="J839" i="4" s="1"/>
  <c r="H838" i="4"/>
  <c r="I839" i="4" s="1"/>
  <c r="J840" i="4" s="1"/>
  <c r="H839" i="4"/>
  <c r="I840" i="4" s="1"/>
  <c r="J841" i="4" s="1"/>
  <c r="H840" i="4"/>
  <c r="I841" i="4" s="1"/>
  <c r="J842" i="4" s="1"/>
  <c r="H841" i="4"/>
  <c r="I842" i="4" s="1"/>
  <c r="J843" i="4" s="1"/>
  <c r="H842" i="4"/>
  <c r="I843" i="4" s="1"/>
  <c r="J844" i="4" s="1"/>
  <c r="H843" i="4"/>
  <c r="I844" i="4" s="1"/>
  <c r="H844" i="4"/>
  <c r="I845" i="4" s="1"/>
  <c r="J846" i="4" s="1"/>
  <c r="H845" i="4"/>
  <c r="I846" i="4" s="1"/>
  <c r="H846" i="4"/>
  <c r="I847" i="4" s="1"/>
  <c r="J848" i="4" s="1"/>
  <c r="H847" i="4"/>
  <c r="I848" i="4" s="1"/>
  <c r="J849" i="4" s="1"/>
  <c r="H848" i="4"/>
  <c r="H849" i="4"/>
  <c r="H850" i="4"/>
  <c r="I851" i="4" s="1"/>
  <c r="J852" i="4" s="1"/>
  <c r="H851" i="4"/>
  <c r="I852" i="4" s="1"/>
  <c r="J853" i="4" s="1"/>
  <c r="H852" i="4"/>
  <c r="I853" i="4" s="1"/>
  <c r="J854" i="4" s="1"/>
  <c r="H853" i="4"/>
  <c r="I854" i="4" s="1"/>
  <c r="J855" i="4" s="1"/>
  <c r="H854" i="4"/>
  <c r="I855" i="4" s="1"/>
  <c r="J856" i="4" s="1"/>
  <c r="H855" i="4"/>
  <c r="I856" i="4" s="1"/>
  <c r="J857" i="4" s="1"/>
  <c r="H856" i="4"/>
  <c r="I857" i="4" s="1"/>
  <c r="J858" i="4" s="1"/>
  <c r="H857" i="4"/>
  <c r="I858" i="4" s="1"/>
  <c r="J859" i="4" s="1"/>
  <c r="H858" i="4"/>
  <c r="I859" i="4" s="1"/>
  <c r="J860" i="4" s="1"/>
  <c r="H859" i="4"/>
  <c r="I860" i="4" s="1"/>
  <c r="J861" i="4" s="1"/>
  <c r="H860" i="4"/>
  <c r="I861" i="4" s="1"/>
  <c r="J862" i="4" s="1"/>
  <c r="H861" i="4"/>
  <c r="I862" i="4" s="1"/>
  <c r="J863" i="4" s="1"/>
  <c r="H862" i="4"/>
  <c r="H863" i="4"/>
  <c r="I864" i="4" s="1"/>
  <c r="J865" i="4" s="1"/>
  <c r="H864" i="4"/>
  <c r="I865" i="4" s="1"/>
  <c r="J866" i="4" s="1"/>
  <c r="H865" i="4"/>
  <c r="I866" i="4" s="1"/>
  <c r="J867" i="4" s="1"/>
  <c r="H866" i="4"/>
  <c r="I867" i="4" s="1"/>
  <c r="J868" i="4" s="1"/>
  <c r="H867" i="4"/>
  <c r="I868" i="4" s="1"/>
  <c r="J869" i="4" s="1"/>
  <c r="H868" i="4"/>
  <c r="I869" i="4" s="1"/>
  <c r="J870" i="4" s="1"/>
  <c r="H869" i="4"/>
  <c r="I870" i="4" s="1"/>
  <c r="J871" i="4" s="1"/>
  <c r="H870" i="4"/>
  <c r="I871" i="4" s="1"/>
  <c r="J872" i="4" s="1"/>
  <c r="H871" i="4"/>
  <c r="I872" i="4" s="1"/>
  <c r="J873" i="4" s="1"/>
  <c r="H872" i="4"/>
  <c r="H873" i="4"/>
  <c r="I874" i="4" s="1"/>
  <c r="J875" i="4" s="1"/>
  <c r="H874" i="4"/>
  <c r="H875" i="4"/>
  <c r="I876" i="4" s="1"/>
  <c r="J877" i="4" s="1"/>
  <c r="H876" i="4"/>
  <c r="I877" i="4" s="1"/>
  <c r="J878" i="4" s="1"/>
  <c r="H877" i="4"/>
  <c r="I878" i="4" s="1"/>
  <c r="J879" i="4" s="1"/>
  <c r="H878" i="4"/>
  <c r="I879" i="4" s="1"/>
  <c r="J880" i="4" s="1"/>
  <c r="H879" i="4"/>
  <c r="I880" i="4" s="1"/>
  <c r="J881" i="4" s="1"/>
  <c r="H880" i="4"/>
  <c r="I881" i="4" s="1"/>
  <c r="J882" i="4" s="1"/>
  <c r="H881" i="4"/>
  <c r="I882" i="4" s="1"/>
  <c r="J883" i="4" s="1"/>
  <c r="H882" i="4"/>
  <c r="I883" i="4" s="1"/>
  <c r="J884" i="4" s="1"/>
  <c r="H883" i="4"/>
  <c r="I884" i="4" s="1"/>
  <c r="H884" i="4"/>
  <c r="I885" i="4" s="1"/>
  <c r="J886" i="4" s="1"/>
  <c r="H885" i="4"/>
  <c r="I886" i="4" s="1"/>
  <c r="H886" i="4"/>
  <c r="I887" i="4" s="1"/>
  <c r="J888" i="4" s="1"/>
  <c r="H887" i="4"/>
  <c r="I888" i="4" s="1"/>
  <c r="J889" i="4" s="1"/>
  <c r="H888" i="4"/>
  <c r="I889" i="4" s="1"/>
  <c r="J890" i="4" s="1"/>
  <c r="H889" i="4"/>
  <c r="I890" i="4" s="1"/>
  <c r="J891" i="4" s="1"/>
  <c r="H890" i="4"/>
  <c r="I891" i="4" s="1"/>
  <c r="J892" i="4" s="1"/>
  <c r="H891" i="4"/>
  <c r="I892" i="4" s="1"/>
  <c r="J893" i="4" s="1"/>
  <c r="H892" i="4"/>
  <c r="I893" i="4" s="1"/>
  <c r="J894" i="4" s="1"/>
  <c r="H893" i="4"/>
  <c r="H894" i="4"/>
  <c r="H895" i="4"/>
  <c r="I896" i="4" s="1"/>
  <c r="J897" i="4" s="1"/>
  <c r="H896" i="4"/>
  <c r="I897" i="4" s="1"/>
  <c r="J898" i="4" s="1"/>
  <c r="H897" i="4"/>
  <c r="I898" i="4" s="1"/>
  <c r="J899" i="4" s="1"/>
  <c r="H898" i="4"/>
  <c r="I899" i="4" s="1"/>
  <c r="J900" i="4" s="1"/>
  <c r="H899" i="4"/>
  <c r="I900" i="4" s="1"/>
  <c r="J901" i="4" s="1"/>
  <c r="H900" i="4"/>
  <c r="I901" i="4" s="1"/>
  <c r="J902" i="4" s="1"/>
  <c r="H901" i="4"/>
  <c r="I902" i="4" s="1"/>
  <c r="J903" i="4" s="1"/>
  <c r="H902" i="4"/>
  <c r="I903" i="4" s="1"/>
  <c r="J904" i="4" s="1"/>
  <c r="H903" i="4"/>
  <c r="I904" i="4" s="1"/>
  <c r="J905" i="4" s="1"/>
  <c r="H904" i="4"/>
  <c r="I905" i="4" s="1"/>
  <c r="J906" i="4" s="1"/>
  <c r="H905" i="4"/>
  <c r="I906" i="4" s="1"/>
  <c r="J907" i="4" s="1"/>
  <c r="H906" i="4"/>
  <c r="H907" i="4"/>
  <c r="I908" i="4" s="1"/>
  <c r="J909" i="4" s="1"/>
  <c r="H908" i="4"/>
  <c r="I909" i="4" s="1"/>
  <c r="J910" i="4" s="1"/>
  <c r="H909" i="4"/>
  <c r="I910" i="4" s="1"/>
  <c r="J911" i="4" s="1"/>
  <c r="H910" i="4"/>
  <c r="H911" i="4"/>
  <c r="I912" i="4" s="1"/>
  <c r="J913" i="4" s="1"/>
  <c r="H912" i="4"/>
  <c r="I913" i="4" s="1"/>
  <c r="J914" i="4" s="1"/>
  <c r="H913" i="4"/>
  <c r="H914" i="4"/>
  <c r="H915" i="4"/>
  <c r="I916" i="4" s="1"/>
  <c r="J917" i="4" s="1"/>
  <c r="H916" i="4"/>
  <c r="I917" i="4" s="1"/>
  <c r="J918" i="4" s="1"/>
  <c r="H917" i="4"/>
  <c r="I918" i="4" s="1"/>
  <c r="J919" i="4" s="1"/>
  <c r="H918" i="4"/>
  <c r="I919" i="4" s="1"/>
  <c r="J920" i="4" s="1"/>
  <c r="H919" i="4"/>
  <c r="I920" i="4" s="1"/>
  <c r="J921" i="4" s="1"/>
  <c r="H920" i="4"/>
  <c r="I921" i="4" s="1"/>
  <c r="J922" i="4" s="1"/>
  <c r="H921" i="4"/>
  <c r="I922" i="4" s="1"/>
  <c r="J923" i="4" s="1"/>
  <c r="H922" i="4"/>
  <c r="I923" i="4" s="1"/>
  <c r="J924" i="4" s="1"/>
  <c r="H923" i="4"/>
  <c r="I924" i="4" s="1"/>
  <c r="J925" i="4" s="1"/>
  <c r="H924" i="4"/>
  <c r="I925" i="4" s="1"/>
  <c r="J926" i="4" s="1"/>
  <c r="H925" i="4"/>
  <c r="I926" i="4" s="1"/>
  <c r="H926" i="4"/>
  <c r="I927" i="4" s="1"/>
  <c r="J928" i="4" s="1"/>
  <c r="H927" i="4"/>
  <c r="I928" i="4" s="1"/>
  <c r="J929" i="4" s="1"/>
  <c r="H928" i="4"/>
  <c r="I929" i="4" s="1"/>
  <c r="J930" i="4" s="1"/>
  <c r="H929" i="4"/>
  <c r="I930" i="4" s="1"/>
  <c r="J931" i="4" s="1"/>
  <c r="H930" i="4"/>
  <c r="I931" i="4" s="1"/>
  <c r="J932" i="4" s="1"/>
  <c r="H931" i="4"/>
  <c r="I932" i="4" s="1"/>
  <c r="J933" i="4" s="1"/>
  <c r="H932" i="4"/>
  <c r="H933" i="4"/>
  <c r="H934" i="4"/>
  <c r="H935" i="4"/>
  <c r="I936" i="4" s="1"/>
  <c r="J937" i="4" s="1"/>
  <c r="H936" i="4"/>
  <c r="I937" i="4" s="1"/>
  <c r="J938" i="4" s="1"/>
  <c r="H937" i="4"/>
  <c r="I938" i="4" s="1"/>
  <c r="J939" i="4" s="1"/>
  <c r="H938" i="4"/>
  <c r="H939" i="4"/>
  <c r="H940" i="4"/>
  <c r="H941" i="4"/>
  <c r="I942" i="4" s="1"/>
  <c r="J943" i="4" s="1"/>
  <c r="H942" i="4"/>
  <c r="H943" i="4"/>
  <c r="I944" i="4" s="1"/>
  <c r="J945" i="4" s="1"/>
  <c r="H944" i="4"/>
  <c r="I945" i="4" s="1"/>
  <c r="H945" i="4"/>
  <c r="I946" i="4" s="1"/>
  <c r="H946" i="4"/>
  <c r="H947" i="4"/>
  <c r="I948" i="4" s="1"/>
  <c r="J949" i="4" s="1"/>
  <c r="H948" i="4"/>
  <c r="I949" i="4" s="1"/>
  <c r="J950" i="4" s="1"/>
  <c r="H949" i="4"/>
  <c r="I950" i="4" s="1"/>
  <c r="J951" i="4" s="1"/>
  <c r="H950" i="4"/>
  <c r="I951" i="4" s="1"/>
  <c r="J952" i="4" s="1"/>
  <c r="H951" i="4"/>
  <c r="I952" i="4" s="1"/>
  <c r="J953" i="4" s="1"/>
  <c r="H952" i="4"/>
  <c r="I953" i="4" s="1"/>
  <c r="J954" i="4" s="1"/>
  <c r="H953" i="4"/>
  <c r="I954" i="4" s="1"/>
  <c r="J955" i="4" s="1"/>
  <c r="H954" i="4"/>
  <c r="I955" i="4" s="1"/>
  <c r="J956" i="4" s="1"/>
  <c r="H955" i="4"/>
  <c r="I956" i="4" s="1"/>
  <c r="J957" i="4" s="1"/>
  <c r="H956" i="4"/>
  <c r="I957" i="4" s="1"/>
  <c r="J958" i="4" s="1"/>
  <c r="H957" i="4"/>
  <c r="I958" i="4" s="1"/>
  <c r="J959" i="4" s="1"/>
  <c r="H958" i="4"/>
  <c r="I959" i="4" s="1"/>
  <c r="J960" i="4" s="1"/>
  <c r="H959" i="4"/>
  <c r="I960" i="4" s="1"/>
  <c r="J961" i="4" s="1"/>
  <c r="H960" i="4"/>
  <c r="I961" i="4" s="1"/>
  <c r="J962" i="4" s="1"/>
  <c r="H961" i="4"/>
  <c r="I962" i="4" s="1"/>
  <c r="J963" i="4" s="1"/>
  <c r="H962" i="4"/>
  <c r="I963" i="4" s="1"/>
  <c r="J964" i="4" s="1"/>
  <c r="H963" i="4"/>
  <c r="I964" i="4" s="1"/>
  <c r="J965" i="4" s="1"/>
  <c r="H964" i="4"/>
  <c r="I965" i="4" s="1"/>
  <c r="J966" i="4" s="1"/>
  <c r="H965" i="4"/>
  <c r="I966" i="4" s="1"/>
  <c r="H966" i="4"/>
  <c r="I967" i="4" s="1"/>
  <c r="J968" i="4" s="1"/>
  <c r="H967" i="4"/>
  <c r="I968" i="4" s="1"/>
  <c r="J969" i="4" s="1"/>
  <c r="H968" i="4"/>
  <c r="I969" i="4" s="1"/>
  <c r="J970" i="4" s="1"/>
  <c r="H969" i="4"/>
  <c r="I970" i="4" s="1"/>
  <c r="J971" i="4" s="1"/>
  <c r="H970" i="4"/>
  <c r="I971" i="4" s="1"/>
  <c r="J972" i="4" s="1"/>
  <c r="H971" i="4"/>
  <c r="I972" i="4" s="1"/>
  <c r="J973" i="4" s="1"/>
  <c r="H972" i="4"/>
  <c r="I973" i="4" s="1"/>
  <c r="J974" i="4" s="1"/>
  <c r="H973" i="4"/>
  <c r="I974" i="4" s="1"/>
  <c r="J975" i="4" s="1"/>
  <c r="H974" i="4"/>
  <c r="I975" i="4" s="1"/>
  <c r="J976" i="4" s="1"/>
  <c r="H975" i="4"/>
  <c r="I976" i="4" s="1"/>
  <c r="J977" i="4" s="1"/>
  <c r="H976" i="4"/>
  <c r="I977" i="4" s="1"/>
  <c r="J978" i="4" s="1"/>
  <c r="H977" i="4"/>
  <c r="I978" i="4" s="1"/>
  <c r="J979" i="4" s="1"/>
  <c r="H978" i="4"/>
  <c r="I979" i="4" s="1"/>
  <c r="J980" i="4" s="1"/>
  <c r="H979" i="4"/>
  <c r="I980" i="4" s="1"/>
  <c r="J981" i="4" s="1"/>
  <c r="H980" i="4"/>
  <c r="I981" i="4" s="1"/>
  <c r="J982" i="4" s="1"/>
  <c r="H981" i="4"/>
  <c r="I982" i="4" s="1"/>
  <c r="J983" i="4" s="1"/>
  <c r="H982" i="4"/>
  <c r="I983" i="4" s="1"/>
  <c r="J984" i="4" s="1"/>
  <c r="H983" i="4"/>
  <c r="I984" i="4" s="1"/>
  <c r="J985" i="4" s="1"/>
  <c r="H984" i="4"/>
  <c r="I985" i="4" s="1"/>
  <c r="J986" i="4" s="1"/>
  <c r="H985" i="4"/>
  <c r="I986" i="4" s="1"/>
  <c r="J987" i="4" s="1"/>
  <c r="H986" i="4"/>
  <c r="I987" i="4" s="1"/>
  <c r="J988" i="4" s="1"/>
  <c r="H987" i="4"/>
  <c r="I988" i="4" s="1"/>
  <c r="J989" i="4" s="1"/>
  <c r="H988" i="4"/>
  <c r="I989" i="4" s="1"/>
  <c r="J990" i="4" s="1"/>
  <c r="H989" i="4"/>
  <c r="I990" i="4" s="1"/>
  <c r="J991" i="4" s="1"/>
  <c r="H990" i="4"/>
  <c r="I991" i="4" s="1"/>
  <c r="J992" i="4" s="1"/>
  <c r="H991" i="4"/>
  <c r="I992" i="4" s="1"/>
  <c r="J993" i="4" s="1"/>
  <c r="H992" i="4"/>
  <c r="I993" i="4" s="1"/>
  <c r="J994" i="4" s="1"/>
  <c r="H993" i="4"/>
  <c r="H994" i="4"/>
  <c r="H995" i="4"/>
  <c r="I996" i="4" s="1"/>
  <c r="H996" i="4"/>
  <c r="I997" i="4" s="1"/>
  <c r="J998" i="4" s="1"/>
  <c r="H997" i="4"/>
  <c r="I998" i="4" s="1"/>
  <c r="J999" i="4" s="1"/>
  <c r="H998" i="4"/>
  <c r="I999" i="4" s="1"/>
  <c r="J1000" i="4" s="1"/>
  <c r="H999" i="4"/>
  <c r="I1000" i="4" s="1"/>
  <c r="H1000" i="4"/>
  <c r="I1001" i="4" s="1"/>
  <c r="H1001" i="4"/>
  <c r="I1002" i="4" s="1"/>
  <c r="J1003" i="4" s="1"/>
  <c r="H1002" i="4"/>
  <c r="I1003" i="4" s="1"/>
  <c r="J1004" i="4" s="1"/>
  <c r="H1003" i="4"/>
  <c r="I1004" i="4" s="1"/>
  <c r="J1005" i="4" s="1"/>
  <c r="H1004" i="4"/>
  <c r="I1005" i="4" s="1"/>
  <c r="J1006" i="4" s="1"/>
  <c r="H1005" i="4"/>
  <c r="I1006" i="4" s="1"/>
  <c r="H1006" i="4"/>
  <c r="H1007" i="4"/>
  <c r="H1008" i="4"/>
  <c r="I1009" i="4" s="1"/>
  <c r="J1010" i="4" s="1"/>
  <c r="H1009" i="4"/>
  <c r="I1010" i="4" s="1"/>
  <c r="J1011" i="4" s="1"/>
  <c r="H1010" i="4"/>
  <c r="I1011" i="4" s="1"/>
  <c r="J1012" i="4" s="1"/>
  <c r="H1011" i="4"/>
  <c r="I1012" i="4" s="1"/>
  <c r="J1013" i="4" s="1"/>
  <c r="H1012" i="4"/>
  <c r="H1013" i="4"/>
  <c r="H1014" i="4"/>
  <c r="H1015" i="4"/>
  <c r="I1016" i="4" s="1"/>
  <c r="J1017" i="4" s="1"/>
  <c r="H1016" i="4"/>
  <c r="I1017" i="4" s="1"/>
  <c r="J1018" i="4" s="1"/>
  <c r="H1017" i="4"/>
  <c r="I1018" i="4" s="1"/>
  <c r="J1019" i="4" s="1"/>
  <c r="H1018" i="4"/>
  <c r="H1019" i="4"/>
  <c r="I1020" i="4" s="1"/>
  <c r="J1021" i="4" s="1"/>
  <c r="H1020" i="4"/>
  <c r="H1021" i="4"/>
  <c r="H1022" i="4"/>
  <c r="I1023" i="4" s="1"/>
  <c r="J1024" i="4" s="1"/>
  <c r="H1023" i="4"/>
  <c r="I1024" i="4" s="1"/>
  <c r="H1024" i="4"/>
  <c r="I1025" i="4" s="1"/>
  <c r="H1025" i="4"/>
  <c r="I1026" i="4" s="1"/>
  <c r="J1027" i="4" s="1"/>
  <c r="H1026" i="4"/>
  <c r="I1027" i="4" s="1"/>
  <c r="J1028" i="4" s="1"/>
  <c r="H1027" i="4"/>
  <c r="I1028" i="4" s="1"/>
  <c r="J1029" i="4" s="1"/>
  <c r="H1028" i="4"/>
  <c r="I1029" i="4" s="1"/>
  <c r="J1030" i="4" s="1"/>
  <c r="H1029" i="4"/>
  <c r="I1030" i="4" s="1"/>
  <c r="J1031" i="4" s="1"/>
  <c r="H1030" i="4"/>
  <c r="I1031" i="4" s="1"/>
  <c r="J1032" i="4" s="1"/>
  <c r="H1031" i="4"/>
  <c r="I1032" i="4" s="1"/>
  <c r="J1033" i="4" s="1"/>
  <c r="H1032" i="4"/>
  <c r="I1033" i="4" s="1"/>
  <c r="J1034" i="4" s="1"/>
  <c r="H1033" i="4"/>
  <c r="H1034" i="4"/>
  <c r="I1035" i="4" s="1"/>
  <c r="J1036" i="4" s="1"/>
  <c r="H1035" i="4"/>
  <c r="I1036" i="4" s="1"/>
  <c r="J1037" i="4" s="1"/>
  <c r="H1036" i="4"/>
  <c r="I1037" i="4" s="1"/>
  <c r="J1038" i="4" s="1"/>
  <c r="H1037" i="4"/>
  <c r="I1038" i="4" s="1"/>
  <c r="J1039" i="4" s="1"/>
  <c r="H1038" i="4"/>
  <c r="I1039" i="4" s="1"/>
  <c r="J1040" i="4" s="1"/>
  <c r="H1039" i="4"/>
  <c r="I1040" i="4" s="1"/>
  <c r="J1041" i="4" s="1"/>
  <c r="H1040" i="4"/>
  <c r="I1041" i="4" s="1"/>
  <c r="J1042" i="4" s="1"/>
  <c r="H1041" i="4"/>
  <c r="I1042" i="4" s="1"/>
  <c r="J1043" i="4" s="1"/>
  <c r="H1042" i="4"/>
  <c r="I1043" i="4" s="1"/>
  <c r="J1044" i="4" s="1"/>
  <c r="H1043" i="4"/>
  <c r="I1044" i="4" s="1"/>
  <c r="J1045" i="4" s="1"/>
  <c r="H1044" i="4"/>
  <c r="I1045" i="4" s="1"/>
  <c r="J1046" i="4" s="1"/>
  <c r="H1045" i="4"/>
  <c r="I1046" i="4" s="1"/>
  <c r="J1047" i="4" s="1"/>
  <c r="H1046" i="4"/>
  <c r="I1047" i="4" s="1"/>
  <c r="J1048" i="4" s="1"/>
  <c r="H1047" i="4"/>
  <c r="I1048" i="4" s="1"/>
  <c r="J1049" i="4" s="1"/>
  <c r="H1048" i="4"/>
  <c r="I1049" i="4" s="1"/>
  <c r="J1050" i="4" s="1"/>
  <c r="H1049" i="4"/>
  <c r="I1050" i="4" s="1"/>
  <c r="J1051" i="4" s="1"/>
  <c r="H1050" i="4"/>
  <c r="I1051" i="4" s="1"/>
  <c r="J1052" i="4" s="1"/>
  <c r="H1051" i="4"/>
  <c r="I1052" i="4" s="1"/>
  <c r="J1053" i="4" s="1"/>
  <c r="H1052" i="4"/>
  <c r="I1053" i="4" s="1"/>
  <c r="J1054" i="4" s="1"/>
  <c r="H1053" i="4"/>
  <c r="I1054" i="4" s="1"/>
  <c r="J1055" i="4" s="1"/>
  <c r="H1054" i="4"/>
  <c r="I1055" i="4" s="1"/>
  <c r="J1056" i="4" s="1"/>
  <c r="H1055" i="4"/>
  <c r="I1056" i="4" s="1"/>
  <c r="J1057" i="4" s="1"/>
  <c r="H1056" i="4"/>
  <c r="I1057" i="4" s="1"/>
  <c r="J1058" i="4" s="1"/>
  <c r="H1057" i="4"/>
  <c r="I1058" i="4" s="1"/>
  <c r="J1059" i="4" s="1"/>
  <c r="H1058" i="4"/>
  <c r="I1059" i="4" s="1"/>
  <c r="J1060" i="4" s="1"/>
  <c r="H1059" i="4"/>
  <c r="I1060" i="4" s="1"/>
  <c r="J1061" i="4" s="1"/>
  <c r="H1060" i="4"/>
  <c r="I1061" i="4" s="1"/>
  <c r="J1062" i="4" s="1"/>
  <c r="H1061" i="4"/>
  <c r="I1062" i="4" s="1"/>
  <c r="J1063" i="4" s="1"/>
  <c r="H1062" i="4"/>
  <c r="I1063" i="4" s="1"/>
  <c r="J1064" i="4" s="1"/>
  <c r="H1063" i="4"/>
  <c r="I1064" i="4" s="1"/>
  <c r="H1064" i="4"/>
  <c r="I1065" i="4" s="1"/>
  <c r="J1066" i="4" s="1"/>
  <c r="H1065" i="4"/>
  <c r="I1066" i="4" s="1"/>
  <c r="H1066" i="4"/>
  <c r="I1067" i="4" s="1"/>
  <c r="H1067" i="4"/>
  <c r="H1068" i="4"/>
  <c r="H1069" i="4"/>
  <c r="I1070" i="4" s="1"/>
  <c r="J1071" i="4" s="1"/>
  <c r="H1070" i="4"/>
  <c r="I1071" i="4" s="1"/>
  <c r="J1072" i="4" s="1"/>
  <c r="H1071" i="4"/>
  <c r="I1072" i="4" s="1"/>
  <c r="J1073" i="4" s="1"/>
  <c r="H1072" i="4"/>
  <c r="H1073" i="4"/>
  <c r="I1074" i="4" s="1"/>
  <c r="J1075" i="4" s="1"/>
  <c r="H1074" i="4"/>
  <c r="H1075" i="4"/>
  <c r="I1076" i="4" s="1"/>
  <c r="J1077" i="4" s="1"/>
  <c r="H1076" i="4"/>
  <c r="I1077" i="4" s="1"/>
  <c r="J1078" i="4" s="1"/>
  <c r="H1077" i="4"/>
  <c r="I1078" i="4" s="1"/>
  <c r="J1079" i="4" s="1"/>
  <c r="H1078" i="4"/>
  <c r="I1079" i="4" s="1"/>
  <c r="J1080" i="4" s="1"/>
  <c r="H1079" i="4"/>
  <c r="I1080" i="4" s="1"/>
  <c r="J1081" i="4" s="1"/>
  <c r="H1080" i="4"/>
  <c r="I1081" i="4" s="1"/>
  <c r="J1082" i="4" s="1"/>
  <c r="H1081" i="4"/>
  <c r="I1082" i="4" s="1"/>
  <c r="J1083" i="4" s="1"/>
  <c r="H1082" i="4"/>
  <c r="I1083" i="4" s="1"/>
  <c r="J1084" i="4" s="1"/>
  <c r="H1083" i="4"/>
  <c r="I1084" i="4" s="1"/>
  <c r="J1085" i="4" s="1"/>
  <c r="H1084" i="4"/>
  <c r="I1085" i="4" s="1"/>
  <c r="J1086" i="4" s="1"/>
  <c r="H1085" i="4"/>
  <c r="I1086" i="4" s="1"/>
  <c r="J1087" i="4" s="1"/>
  <c r="H1086" i="4"/>
  <c r="I1087" i="4" s="1"/>
  <c r="J1088" i="4" s="1"/>
  <c r="H1087" i="4"/>
  <c r="I1088" i="4" s="1"/>
  <c r="J1089" i="4" s="1"/>
  <c r="H1088" i="4"/>
  <c r="I1089" i="4" s="1"/>
  <c r="J1090" i="4" s="1"/>
  <c r="H1089" i="4"/>
  <c r="I1090" i="4" s="1"/>
  <c r="J1091" i="4" s="1"/>
  <c r="H1090" i="4"/>
  <c r="I1091" i="4" s="1"/>
  <c r="J1092" i="4" s="1"/>
  <c r="H1091" i="4"/>
  <c r="I1092" i="4" s="1"/>
  <c r="J1093" i="4" s="1"/>
  <c r="H1092" i="4"/>
  <c r="H1093" i="4"/>
  <c r="H1094" i="4"/>
  <c r="I1095" i="4" s="1"/>
  <c r="J1096" i="4" s="1"/>
  <c r="H1095" i="4"/>
  <c r="I1096" i="4" s="1"/>
  <c r="J1097" i="4" s="1"/>
  <c r="H1096" i="4"/>
  <c r="I1097" i="4" s="1"/>
  <c r="J1098" i="4" s="1"/>
  <c r="H1097" i="4"/>
  <c r="I1098" i="4" s="1"/>
  <c r="J1099" i="4" s="1"/>
  <c r="H1098" i="4"/>
  <c r="H1099" i="4"/>
  <c r="I1100" i="4" s="1"/>
  <c r="J1101" i="4" s="1"/>
  <c r="H1100" i="4"/>
  <c r="I1101" i="4" s="1"/>
  <c r="J1102" i="4" s="1"/>
  <c r="H1101" i="4"/>
  <c r="I1102" i="4" s="1"/>
  <c r="J1103" i="4" s="1"/>
  <c r="H1102" i="4"/>
  <c r="I1103" i="4" s="1"/>
  <c r="J1104" i="4" s="1"/>
  <c r="H1103" i="4"/>
  <c r="I1104" i="4" s="1"/>
  <c r="J1105" i="4" s="1"/>
  <c r="H1104" i="4"/>
  <c r="I1105" i="4" s="1"/>
  <c r="J1106" i="4" s="1"/>
  <c r="H1105" i="4"/>
  <c r="I1106" i="4" s="1"/>
  <c r="H1106" i="4"/>
  <c r="I1107" i="4" s="1"/>
  <c r="J1108" i="4" s="1"/>
  <c r="H1107" i="4"/>
  <c r="I1108" i="4" s="1"/>
  <c r="J1109" i="4" s="1"/>
  <c r="H1108" i="4"/>
  <c r="I1109" i="4" s="1"/>
  <c r="J1110" i="4" s="1"/>
  <c r="H1109" i="4"/>
  <c r="H1110" i="4"/>
  <c r="I1111" i="4" s="1"/>
  <c r="J1112" i="4" s="1"/>
  <c r="H1111" i="4"/>
  <c r="I1112" i="4" s="1"/>
  <c r="J1113" i="4" s="1"/>
  <c r="H1112" i="4"/>
  <c r="I1113" i="4" s="1"/>
  <c r="J1114" i="4" s="1"/>
  <c r="H1113" i="4"/>
  <c r="H1114" i="4"/>
  <c r="I1115" i="4" s="1"/>
  <c r="J1116" i="4" s="1"/>
  <c r="H1115" i="4"/>
  <c r="I1116" i="4" s="1"/>
  <c r="J1117" i="4" s="1"/>
  <c r="H1116" i="4"/>
  <c r="I1117" i="4" s="1"/>
  <c r="J1118" i="4" s="1"/>
  <c r="H1117" i="4"/>
  <c r="I1118" i="4" s="1"/>
  <c r="J1119" i="4" s="1"/>
  <c r="H1118" i="4"/>
  <c r="I1119" i="4" s="1"/>
  <c r="J1120" i="4" s="1"/>
  <c r="H1119" i="4"/>
  <c r="I1120" i="4" s="1"/>
  <c r="J1121" i="4" s="1"/>
  <c r="H1120" i="4"/>
  <c r="I1121" i="4" s="1"/>
  <c r="J1122" i="4" s="1"/>
  <c r="H1121" i="4"/>
  <c r="I1122" i="4" s="1"/>
  <c r="J1123" i="4" s="1"/>
  <c r="H1122" i="4"/>
  <c r="I1123" i="4" s="1"/>
  <c r="J1124" i="4" s="1"/>
  <c r="H1123" i="4"/>
  <c r="I1124" i="4" s="1"/>
  <c r="H1124" i="4"/>
  <c r="I1125" i="4" s="1"/>
  <c r="J1126" i="4" s="1"/>
  <c r="H1125" i="4"/>
  <c r="I1126" i="4" s="1"/>
  <c r="J1127" i="4" s="1"/>
  <c r="H1126" i="4"/>
  <c r="I1127" i="4" s="1"/>
  <c r="J1128" i="4" s="1"/>
  <c r="H1127" i="4"/>
  <c r="I1128" i="4" s="1"/>
  <c r="J1129" i="4" s="1"/>
  <c r="H1128" i="4"/>
  <c r="I1129" i="4" s="1"/>
  <c r="J1130" i="4" s="1"/>
  <c r="H1129" i="4"/>
  <c r="I1130" i="4" s="1"/>
  <c r="J1131" i="4" s="1"/>
  <c r="H1130" i="4"/>
  <c r="I1131" i="4" s="1"/>
  <c r="J1132" i="4" s="1"/>
  <c r="H1131" i="4"/>
  <c r="I1132" i="4" s="1"/>
  <c r="J1133" i="4" s="1"/>
  <c r="H1132" i="4"/>
  <c r="I1133" i="4" s="1"/>
  <c r="J1134" i="4" s="1"/>
  <c r="H1133" i="4"/>
  <c r="H1134" i="4"/>
  <c r="I1135" i="4" s="1"/>
  <c r="J1136" i="4" s="1"/>
  <c r="H1135" i="4"/>
  <c r="I1136" i="4" s="1"/>
  <c r="J1137" i="4" s="1"/>
  <c r="H1136" i="4"/>
  <c r="I1137" i="4" s="1"/>
  <c r="J1138" i="4" s="1"/>
  <c r="H1137" i="4"/>
  <c r="I1138" i="4" s="1"/>
  <c r="J1139" i="4" s="1"/>
  <c r="H1138" i="4"/>
  <c r="I1139" i="4" s="1"/>
  <c r="J1140" i="4" s="1"/>
  <c r="H1139" i="4"/>
  <c r="I1140" i="4" s="1"/>
  <c r="J1141" i="4" s="1"/>
  <c r="H1140" i="4"/>
  <c r="I1141" i="4" s="1"/>
  <c r="J1142" i="4" s="1"/>
  <c r="H1141" i="4"/>
  <c r="I1142" i="4" s="1"/>
  <c r="J1143" i="4" s="1"/>
  <c r="H1142" i="4"/>
  <c r="I1143" i="4" s="1"/>
  <c r="J1144" i="4" s="1"/>
  <c r="H1143" i="4"/>
  <c r="I1144" i="4" s="1"/>
  <c r="H1144" i="4"/>
  <c r="I1145" i="4" s="1"/>
  <c r="J1146" i="4" s="1"/>
  <c r="H1145" i="4"/>
  <c r="I1146" i="4" s="1"/>
  <c r="H1146" i="4"/>
  <c r="I1147" i="4" s="1"/>
  <c r="J1148" i="4" s="1"/>
  <c r="H1147" i="4"/>
  <c r="I1148" i="4" s="1"/>
  <c r="J1149" i="4" s="1"/>
  <c r="H1148" i="4"/>
  <c r="I1149" i="4" s="1"/>
  <c r="J1150" i="4" s="1"/>
  <c r="H1149" i="4"/>
  <c r="I1150" i="4" s="1"/>
  <c r="J1151" i="4" s="1"/>
  <c r="H1150" i="4"/>
  <c r="I1151" i="4" s="1"/>
  <c r="J1152" i="4" s="1"/>
  <c r="H1151" i="4"/>
  <c r="I1152" i="4" s="1"/>
  <c r="J1153" i="4" s="1"/>
  <c r="H1152" i="4"/>
  <c r="I1153" i="4" s="1"/>
  <c r="J1154" i="4" s="1"/>
  <c r="H1153" i="4"/>
  <c r="H1154" i="4"/>
  <c r="H1155" i="4"/>
  <c r="I1156" i="4" s="1"/>
  <c r="J1157" i="4" s="1"/>
  <c r="H1156" i="4"/>
  <c r="I1157" i="4" s="1"/>
  <c r="J1158" i="4" s="1"/>
  <c r="H1157" i="4"/>
  <c r="I1158" i="4" s="1"/>
  <c r="J1159" i="4" s="1"/>
  <c r="H1158" i="4"/>
  <c r="I1159" i="4" s="1"/>
  <c r="J1160" i="4" s="1"/>
  <c r="H1159" i="4"/>
  <c r="I1160" i="4" s="1"/>
  <c r="J1161" i="4" s="1"/>
  <c r="H1160" i="4"/>
  <c r="I1161" i="4" s="1"/>
  <c r="J1162" i="4" s="1"/>
  <c r="H1161" i="4"/>
  <c r="I1162" i="4" s="1"/>
  <c r="J1163" i="4" s="1"/>
  <c r="H1162" i="4"/>
  <c r="I1163" i="4" s="1"/>
  <c r="J1164" i="4" s="1"/>
  <c r="H1163" i="4"/>
  <c r="I1164" i="4" s="1"/>
  <c r="J1165" i="4" s="1"/>
  <c r="H1164" i="4"/>
  <c r="I1165" i="4" s="1"/>
  <c r="J1166" i="4" s="1"/>
  <c r="H1165" i="4"/>
  <c r="I1166" i="4" s="1"/>
  <c r="H1166" i="4"/>
  <c r="I1167" i="4" s="1"/>
  <c r="H1167" i="4"/>
  <c r="H1168" i="4"/>
  <c r="I1169" i="4" s="1"/>
  <c r="J1170" i="4" s="1"/>
  <c r="H1169" i="4"/>
  <c r="I1170" i="4" s="1"/>
  <c r="J1171" i="4" s="1"/>
  <c r="H1170" i="4"/>
  <c r="I1171" i="4" s="1"/>
  <c r="J1172" i="4" s="1"/>
  <c r="H1171" i="4"/>
  <c r="I1172" i="4" s="1"/>
  <c r="H1172" i="4"/>
  <c r="I1173" i="4" s="1"/>
  <c r="H1173" i="4"/>
  <c r="I1174" i="4" s="1"/>
  <c r="J1175" i="4" s="1"/>
  <c r="H1174" i="4"/>
  <c r="I1175" i="4" s="1"/>
  <c r="J1176" i="4" s="1"/>
  <c r="H1175" i="4"/>
  <c r="I1176" i="4" s="1"/>
  <c r="J1177" i="4" s="1"/>
  <c r="H1176" i="4"/>
  <c r="I1177" i="4" s="1"/>
  <c r="J1178" i="4" s="1"/>
  <c r="H1177" i="4"/>
  <c r="I1178" i="4" s="1"/>
  <c r="J1179" i="4" s="1"/>
  <c r="H1178" i="4"/>
  <c r="I1179" i="4" s="1"/>
  <c r="J1180" i="4" s="1"/>
  <c r="H1179" i="4"/>
  <c r="I1180" i="4" s="1"/>
  <c r="H1180" i="4"/>
  <c r="I1181" i="4" s="1"/>
  <c r="J1182" i="4" s="1"/>
  <c r="H1181" i="4"/>
  <c r="I1182" i="4" s="1"/>
  <c r="J1183" i="4" s="1"/>
  <c r="H1182" i="4"/>
  <c r="I1183" i="4" s="1"/>
  <c r="J1184" i="4" s="1"/>
  <c r="H1183" i="4"/>
  <c r="I1184" i="4" s="1"/>
  <c r="J1185" i="4" s="1"/>
  <c r="H1184" i="4"/>
  <c r="I1185" i="4" s="1"/>
  <c r="J1186" i="4" s="1"/>
  <c r="H1185" i="4"/>
  <c r="I1186" i="4" s="1"/>
  <c r="J1187" i="4" s="1"/>
  <c r="H1186" i="4"/>
  <c r="I1187" i="4" s="1"/>
  <c r="J1188" i="4" s="1"/>
  <c r="H1187" i="4"/>
  <c r="I1188" i="4" s="1"/>
  <c r="J1189" i="4" s="1"/>
  <c r="H1188" i="4"/>
  <c r="I1189" i="4" s="1"/>
  <c r="J1190" i="4" s="1"/>
  <c r="H1189" i="4"/>
  <c r="I1190" i="4" s="1"/>
  <c r="J1191" i="4" s="1"/>
  <c r="H1190" i="4"/>
  <c r="I1191" i="4" s="1"/>
  <c r="J1192" i="4" s="1"/>
  <c r="H1191" i="4"/>
  <c r="I1192" i="4" s="1"/>
  <c r="J1193" i="4" s="1"/>
  <c r="H1192" i="4"/>
  <c r="H1193" i="4"/>
  <c r="H1194" i="4"/>
  <c r="I1195" i="4" s="1"/>
  <c r="J1196" i="4" s="1"/>
  <c r="H1195" i="4"/>
  <c r="I1196" i="4" s="1"/>
  <c r="J1197" i="4" s="1"/>
  <c r="H1196" i="4"/>
  <c r="I1197" i="4" s="1"/>
  <c r="J1198" i="4" s="1"/>
  <c r="H1197" i="4"/>
  <c r="I1198" i="4" s="1"/>
  <c r="J1199" i="4" s="1"/>
  <c r="H1198" i="4"/>
  <c r="I1199" i="4" s="1"/>
  <c r="J1200" i="4" s="1"/>
  <c r="H1199" i="4"/>
  <c r="I1200" i="4" s="1"/>
  <c r="J1201" i="4" s="1"/>
  <c r="H1200" i="4"/>
  <c r="I1201" i="4" s="1"/>
  <c r="J1202" i="4" s="1"/>
  <c r="H1201" i="4"/>
  <c r="I1202" i="4" s="1"/>
  <c r="J1203" i="4" s="1"/>
  <c r="H1202" i="4"/>
  <c r="I1203" i="4" s="1"/>
  <c r="J1204" i="4" s="1"/>
  <c r="H1203" i="4"/>
  <c r="I1204" i="4" s="1"/>
  <c r="H1204" i="4"/>
  <c r="I1205" i="4" s="1"/>
  <c r="J1206" i="4" s="1"/>
  <c r="H1205" i="4"/>
  <c r="I1206" i="4" s="1"/>
  <c r="H1206" i="4"/>
  <c r="I1207" i="4" s="1"/>
  <c r="J1208" i="4" s="1"/>
  <c r="H1207" i="4"/>
  <c r="I1208" i="4" s="1"/>
  <c r="J1209" i="4" s="1"/>
  <c r="H1208" i="4"/>
  <c r="I1209" i="4" s="1"/>
  <c r="J1210" i="4" s="1"/>
  <c r="H1209" i="4"/>
  <c r="I1210" i="4" s="1"/>
  <c r="J1211" i="4" s="1"/>
  <c r="H1210" i="4"/>
  <c r="I1211" i="4" s="1"/>
  <c r="J1212" i="4" s="1"/>
  <c r="H1211" i="4"/>
  <c r="I1212" i="4" s="1"/>
  <c r="J1213" i="4" s="1"/>
  <c r="H1212" i="4"/>
  <c r="I1213" i="4" s="1"/>
  <c r="J1214" i="4" s="1"/>
  <c r="H1213" i="4"/>
  <c r="I1214" i="4" s="1"/>
  <c r="J1215" i="4" s="1"/>
  <c r="H1214" i="4"/>
  <c r="I1215" i="4" s="1"/>
  <c r="J1216" i="4" s="1"/>
  <c r="H1215" i="4"/>
  <c r="I1216" i="4" s="1"/>
  <c r="J1217" i="4" s="1"/>
  <c r="H1216" i="4"/>
  <c r="I1217" i="4" s="1"/>
  <c r="J1218" i="4" s="1"/>
  <c r="H1217" i="4"/>
  <c r="I1218" i="4" s="1"/>
  <c r="J1219" i="4" s="1"/>
  <c r="H1218" i="4"/>
  <c r="I1219" i="4" s="1"/>
  <c r="J1220" i="4" s="1"/>
  <c r="H1219" i="4"/>
  <c r="I1220" i="4" s="1"/>
  <c r="J1221" i="4" s="1"/>
  <c r="H1220" i="4"/>
  <c r="I1221" i="4" s="1"/>
  <c r="J1222" i="4" s="1"/>
  <c r="H1221" i="4"/>
  <c r="I1222" i="4" s="1"/>
  <c r="J1223" i="4" s="1"/>
  <c r="H1222" i="4"/>
  <c r="I1223" i="4" s="1"/>
  <c r="J1224" i="4" s="1"/>
  <c r="H1223" i="4"/>
  <c r="I1224" i="4" s="1"/>
  <c r="H1224" i="4"/>
  <c r="I1225" i="4" s="1"/>
  <c r="J1226" i="4" s="1"/>
  <c r="H1225" i="4"/>
  <c r="I1226" i="4" s="1"/>
  <c r="J1227" i="4" s="1"/>
  <c r="H1226" i="4"/>
  <c r="I1227" i="4" s="1"/>
  <c r="J1228" i="4" s="1"/>
  <c r="H1227" i="4"/>
  <c r="I1228" i="4" s="1"/>
  <c r="J1229" i="4" s="1"/>
  <c r="H1228" i="4"/>
  <c r="I1229" i="4" s="1"/>
  <c r="J1230" i="4" s="1"/>
  <c r="H1229" i="4"/>
  <c r="I1230" i="4" s="1"/>
  <c r="J1231" i="4" s="1"/>
  <c r="H1230" i="4"/>
  <c r="I1231" i="4" s="1"/>
  <c r="J1232" i="4" s="1"/>
  <c r="H1231" i="4"/>
  <c r="I1232" i="4" s="1"/>
  <c r="J1233" i="4" s="1"/>
  <c r="H1232" i="4"/>
  <c r="H1233" i="4"/>
  <c r="I1234" i="4" s="1"/>
  <c r="J1235" i="4" s="1"/>
  <c r="H1234" i="4"/>
  <c r="I1235" i="4" s="1"/>
  <c r="J1236" i="4" s="1"/>
  <c r="H1235" i="4"/>
  <c r="I1236" i="4" s="1"/>
  <c r="J1237" i="4" s="1"/>
  <c r="H1236" i="4"/>
  <c r="I1237" i="4" s="1"/>
  <c r="J1238" i="4" s="1"/>
  <c r="H1237" i="4"/>
  <c r="I1238" i="4" s="1"/>
  <c r="J1239" i="4" s="1"/>
  <c r="H1238" i="4"/>
  <c r="I1239" i="4" s="1"/>
  <c r="J1240" i="4" s="1"/>
  <c r="H1239" i="4"/>
  <c r="I1240" i="4" s="1"/>
  <c r="J1241" i="4" s="1"/>
  <c r="H1240" i="4"/>
  <c r="I1241" i="4" s="1"/>
  <c r="J1242" i="4" s="1"/>
  <c r="H1241" i="4"/>
  <c r="I1242" i="4" s="1"/>
  <c r="J1243" i="4" s="1"/>
  <c r="H1242" i="4"/>
  <c r="I1243" i="4" s="1"/>
  <c r="J1244" i="4" s="1"/>
  <c r="H1243" i="4"/>
  <c r="I1244" i="4" s="1"/>
  <c r="J1245" i="4" s="1"/>
  <c r="H1244" i="4"/>
  <c r="I1245" i="4" s="1"/>
  <c r="J1246" i="4" s="1"/>
  <c r="H1245" i="4"/>
  <c r="I1246" i="4" s="1"/>
  <c r="J1247" i="4" s="1"/>
  <c r="H1246" i="4"/>
  <c r="I1247" i="4" s="1"/>
  <c r="J1248" i="4" s="1"/>
  <c r="H1247" i="4"/>
  <c r="I1248" i="4" s="1"/>
  <c r="J1249" i="4" s="1"/>
  <c r="H1248" i="4"/>
  <c r="H1249" i="4"/>
  <c r="H1250" i="4"/>
  <c r="I1251" i="4" s="1"/>
  <c r="J1252" i="4" s="1"/>
  <c r="H1251" i="4"/>
  <c r="I1252" i="4" s="1"/>
  <c r="J1253" i="4" s="1"/>
  <c r="H1252" i="4"/>
  <c r="H1253" i="4"/>
  <c r="I1254" i="4" s="1"/>
  <c r="J1255" i="4" s="1"/>
  <c r="H1254" i="4"/>
  <c r="I1255" i="4" s="1"/>
  <c r="J1256" i="4" s="1"/>
  <c r="H1255" i="4"/>
  <c r="I1256" i="4" s="1"/>
  <c r="J1257" i="4" s="1"/>
  <c r="H1256" i="4"/>
  <c r="I1257" i="4" s="1"/>
  <c r="J1258" i="4" s="1"/>
  <c r="H1257" i="4"/>
  <c r="I1258" i="4" s="1"/>
  <c r="J1259" i="4" s="1"/>
  <c r="H1258" i="4"/>
  <c r="I1259" i="4" s="1"/>
  <c r="J1260" i="4" s="1"/>
  <c r="H1259" i="4"/>
  <c r="I1260" i="4" s="1"/>
  <c r="J1261" i="4" s="1"/>
  <c r="H1260" i="4"/>
  <c r="I1261" i="4" s="1"/>
  <c r="J1262" i="4" s="1"/>
  <c r="H1261" i="4"/>
  <c r="I1262" i="4" s="1"/>
  <c r="J1263" i="4" s="1"/>
  <c r="H1262" i="4"/>
  <c r="I1263" i="4" s="1"/>
  <c r="J1264" i="4" s="1"/>
  <c r="H1263" i="4"/>
  <c r="I1264" i="4" s="1"/>
  <c r="H1264" i="4"/>
  <c r="I1265" i="4" s="1"/>
  <c r="J1266" i="4" s="1"/>
  <c r="H1265" i="4"/>
  <c r="I1266" i="4" s="1"/>
  <c r="J1267" i="4" s="1"/>
  <c r="H1266" i="4"/>
  <c r="I1267" i="4" s="1"/>
  <c r="J1268" i="4" s="1"/>
  <c r="H1267" i="4"/>
  <c r="H1268" i="4"/>
  <c r="H1269" i="4"/>
  <c r="I1270" i="4" s="1"/>
  <c r="J1271" i="4" s="1"/>
  <c r="H1270" i="4"/>
  <c r="I1271" i="4" s="1"/>
  <c r="J1272" i="4" s="1"/>
  <c r="H1271" i="4"/>
  <c r="I1272" i="4" s="1"/>
  <c r="J1273" i="4" s="1"/>
  <c r="H1272" i="4"/>
  <c r="I1273" i="4" s="1"/>
  <c r="J1274" i="4" s="1"/>
  <c r="H1273" i="4"/>
  <c r="H1274" i="4"/>
  <c r="H1275" i="4"/>
  <c r="I1276" i="4" s="1"/>
  <c r="J1277" i="4" s="1"/>
  <c r="H1276" i="4"/>
  <c r="I1277" i="4" s="1"/>
  <c r="J1278" i="4" s="1"/>
  <c r="H1277" i="4"/>
  <c r="I1278" i="4" s="1"/>
  <c r="J1279" i="4" s="1"/>
  <c r="H1278" i="4"/>
  <c r="I1279" i="4" s="1"/>
  <c r="J1280" i="4" s="1"/>
  <c r="H1279" i="4"/>
  <c r="I1280" i="4" s="1"/>
  <c r="J1281" i="4" s="1"/>
  <c r="H1280" i="4"/>
  <c r="I1281" i="4" s="1"/>
  <c r="J1282" i="4" s="1"/>
  <c r="H1281" i="4"/>
  <c r="I1282" i="4" s="1"/>
  <c r="J1283" i="4" s="1"/>
  <c r="H1282" i="4"/>
  <c r="I1283" i="4" s="1"/>
  <c r="J1284" i="4" s="1"/>
  <c r="H1283" i="4"/>
  <c r="I1284" i="4" s="1"/>
  <c r="H1284" i="4"/>
  <c r="I1285" i="4" s="1"/>
  <c r="J1286" i="4" s="1"/>
  <c r="H1285" i="4"/>
  <c r="I1286" i="4" s="1"/>
  <c r="J1287" i="4" s="1"/>
  <c r="H1286" i="4"/>
  <c r="I1287" i="4" s="1"/>
  <c r="J1288" i="4" s="1"/>
  <c r="H1287" i="4"/>
  <c r="I1288" i="4" s="1"/>
  <c r="J1289" i="4" s="1"/>
  <c r="H1288" i="4"/>
  <c r="I1289" i="4" s="1"/>
  <c r="J1290" i="4" s="1"/>
  <c r="H1289" i="4"/>
  <c r="I1290" i="4" s="1"/>
  <c r="J1291" i="4" s="1"/>
  <c r="H1290" i="4"/>
  <c r="I1291" i="4" s="1"/>
  <c r="J1292" i="4" s="1"/>
  <c r="H1291" i="4"/>
  <c r="I1292" i="4" s="1"/>
  <c r="J1293" i="4" s="1"/>
  <c r="H1292" i="4"/>
  <c r="I1293" i="4" s="1"/>
  <c r="J1294" i="4" s="1"/>
  <c r="H1293" i="4"/>
  <c r="H1294" i="4"/>
  <c r="I1295" i="4" s="1"/>
  <c r="J1296" i="4" s="1"/>
  <c r="H1295" i="4"/>
  <c r="I1296" i="4" s="1"/>
  <c r="J1297" i="4" s="1"/>
  <c r="H1296" i="4"/>
  <c r="I1297" i="4" s="1"/>
  <c r="J1298" i="4" s="1"/>
  <c r="H1297" i="4"/>
  <c r="I1298" i="4" s="1"/>
  <c r="J1299" i="4" s="1"/>
  <c r="H1298" i="4"/>
  <c r="I1299" i="4" s="1"/>
  <c r="J1300" i="4" s="1"/>
  <c r="H1299" i="4"/>
  <c r="I1300" i="4" s="1"/>
  <c r="J1301" i="4" s="1"/>
  <c r="H1300" i="4"/>
  <c r="I1301" i="4" s="1"/>
  <c r="J1302" i="4" s="1"/>
  <c r="H1301" i="4"/>
  <c r="I1302" i="4" s="1"/>
  <c r="J1303" i="4" s="1"/>
  <c r="H1302" i="4"/>
  <c r="I1303" i="4" s="1"/>
  <c r="J1304" i="4" s="1"/>
  <c r="H1303" i="4"/>
  <c r="I1304" i="4" s="1"/>
  <c r="J1305" i="4" s="1"/>
  <c r="H1304" i="4"/>
  <c r="I1305" i="4" s="1"/>
  <c r="J1306" i="4" s="1"/>
  <c r="H1305" i="4"/>
  <c r="I1306" i="4" s="1"/>
  <c r="J1307" i="4" s="1"/>
  <c r="H1306" i="4"/>
  <c r="I1307" i="4" s="1"/>
  <c r="J1308" i="4" s="1"/>
  <c r="H1307" i="4"/>
  <c r="I1308" i="4" s="1"/>
  <c r="J1309" i="4" s="1"/>
  <c r="H1308" i="4"/>
  <c r="I1309" i="4" s="1"/>
  <c r="J1310" i="4" s="1"/>
  <c r="H1309" i="4"/>
  <c r="I1310" i="4" s="1"/>
  <c r="J1311" i="4" s="1"/>
  <c r="H1310" i="4"/>
  <c r="I1311" i="4" s="1"/>
  <c r="J1312" i="4" s="1"/>
  <c r="H1311" i="4"/>
  <c r="I1312" i="4" s="1"/>
  <c r="J1313" i="4" s="1"/>
  <c r="H1312" i="4"/>
  <c r="I1313" i="4" s="1"/>
  <c r="H1313" i="4"/>
  <c r="I1314" i="4" s="1"/>
  <c r="J1315" i="4" s="1"/>
  <c r="H1314" i="4"/>
  <c r="I1315" i="4" s="1"/>
  <c r="J1316" i="4" s="1"/>
  <c r="H1315" i="4"/>
  <c r="I1316" i="4" s="1"/>
  <c r="J1317" i="4" s="1"/>
  <c r="H1316" i="4"/>
  <c r="I1317" i="4" s="1"/>
  <c r="J1318" i="4" s="1"/>
  <c r="H1317" i="4"/>
  <c r="I1318" i="4" s="1"/>
  <c r="J1319" i="4" s="1"/>
  <c r="H1318" i="4"/>
  <c r="I1319" i="4" s="1"/>
  <c r="J1320" i="4" s="1"/>
  <c r="H1319" i="4"/>
  <c r="I1320" i="4" s="1"/>
  <c r="J1321" i="4" s="1"/>
  <c r="H1320" i="4"/>
  <c r="I1321" i="4" s="1"/>
  <c r="J1322" i="4" s="1"/>
  <c r="H1321" i="4"/>
  <c r="I1322" i="4" s="1"/>
  <c r="J1323" i="4" s="1"/>
  <c r="H1322" i="4"/>
  <c r="I1323" i="4" s="1"/>
  <c r="J1324" i="4" s="1"/>
  <c r="H1323" i="4"/>
  <c r="I1324" i="4" s="1"/>
  <c r="J1325" i="4" s="1"/>
  <c r="H1324" i="4"/>
  <c r="I1325" i="4" s="1"/>
  <c r="J1326" i="4" s="1"/>
  <c r="H1325" i="4"/>
  <c r="I1326" i="4" s="1"/>
  <c r="J1327" i="4" s="1"/>
  <c r="H1326" i="4"/>
  <c r="I1327" i="4" s="1"/>
  <c r="J1328" i="4" s="1"/>
  <c r="H1327" i="4"/>
  <c r="H1328" i="4"/>
  <c r="H1329" i="4"/>
  <c r="H1330" i="4"/>
  <c r="I1331" i="4" s="1"/>
  <c r="J1332" i="4" s="1"/>
  <c r="H1331" i="4"/>
  <c r="I1332" i="4" s="1"/>
  <c r="J1333" i="4" s="1"/>
  <c r="H1332" i="4"/>
  <c r="H1333" i="4"/>
  <c r="I1334" i="4" s="1"/>
  <c r="J1335" i="4" s="1"/>
  <c r="H1334" i="4"/>
  <c r="I1335" i="4" s="1"/>
  <c r="J1336" i="4" s="1"/>
  <c r="H1335" i="4"/>
  <c r="I1336" i="4" s="1"/>
  <c r="J1337" i="4" s="1"/>
  <c r="H1336" i="4"/>
  <c r="I1337" i="4" s="1"/>
  <c r="J1338" i="4" s="1"/>
  <c r="H1337" i="4"/>
  <c r="I1338" i="4" s="1"/>
  <c r="J1339" i="4" s="1"/>
  <c r="H1338" i="4"/>
  <c r="I1339" i="4" s="1"/>
  <c r="J1340" i="4" s="1"/>
  <c r="H1339" i="4"/>
  <c r="I1340" i="4" s="1"/>
  <c r="J1341" i="4" s="1"/>
  <c r="H1340" i="4"/>
  <c r="I1341" i="4" s="1"/>
  <c r="J1342" i="4" s="1"/>
  <c r="H1341" i="4"/>
  <c r="I1342" i="4" s="1"/>
  <c r="J1343" i="4" s="1"/>
  <c r="H1342" i="4"/>
  <c r="I1343" i="4" s="1"/>
  <c r="J1344" i="4" s="1"/>
  <c r="H1343" i="4"/>
  <c r="I1344" i="4" s="1"/>
  <c r="H1344" i="4"/>
  <c r="I1345" i="4" s="1"/>
  <c r="J1346" i="4" s="1"/>
  <c r="H1345" i="4"/>
  <c r="I1346" i="4" s="1"/>
  <c r="H1346" i="4"/>
  <c r="I1347" i="4" s="1"/>
  <c r="J1348" i="4" s="1"/>
  <c r="H1347" i="4"/>
  <c r="H1348" i="4"/>
  <c r="H1349" i="4"/>
  <c r="I1350" i="4" s="1"/>
  <c r="J1351" i="4" s="1"/>
  <c r="H1350" i="4"/>
  <c r="I1351" i="4" s="1"/>
  <c r="J1352" i="4" s="1"/>
  <c r="H1351" i="4"/>
  <c r="I1352" i="4" s="1"/>
  <c r="J1353" i="4" s="1"/>
  <c r="H1352" i="4"/>
  <c r="I1353" i="4" s="1"/>
  <c r="J1354" i="4" s="1"/>
  <c r="H1353" i="4"/>
  <c r="I1354" i="4" s="1"/>
  <c r="H1354" i="4"/>
  <c r="I1355" i="4" s="1"/>
  <c r="J1356" i="4" s="1"/>
  <c r="H1355" i="4"/>
  <c r="I1356" i="4" s="1"/>
  <c r="J1357" i="4" s="1"/>
  <c r="H1356" i="4"/>
  <c r="I1357" i="4" s="1"/>
  <c r="J1358" i="4" s="1"/>
  <c r="H1357" i="4"/>
  <c r="I1358" i="4" s="1"/>
  <c r="J1359" i="4" s="1"/>
  <c r="H1358" i="4"/>
  <c r="I1359" i="4" s="1"/>
  <c r="J1360" i="4" s="1"/>
  <c r="H1359" i="4"/>
  <c r="I1360" i="4" s="1"/>
  <c r="J1361" i="4" s="1"/>
  <c r="H1360" i="4"/>
  <c r="I1361" i="4" s="1"/>
  <c r="J1362" i="4" s="1"/>
  <c r="H1361" i="4"/>
  <c r="I1362" i="4" s="1"/>
  <c r="J1363" i="4" s="1"/>
  <c r="H1362" i="4"/>
  <c r="I1363" i="4" s="1"/>
  <c r="J1364" i="4" s="1"/>
  <c r="H1363" i="4"/>
  <c r="I1364" i="4" s="1"/>
  <c r="H1364" i="4"/>
  <c r="I1365" i="4" s="1"/>
  <c r="J1366" i="4" s="1"/>
  <c r="H1365" i="4"/>
  <c r="I1366" i="4" s="1"/>
  <c r="J1367" i="4" s="1"/>
  <c r="H1366" i="4"/>
  <c r="I1367" i="4" s="1"/>
  <c r="J1368" i="4" s="1"/>
  <c r="H1367" i="4"/>
  <c r="I1368" i="4" s="1"/>
  <c r="H1368" i="4"/>
  <c r="I1369" i="4" s="1"/>
  <c r="J1370" i="4" s="1"/>
  <c r="H1369" i="4"/>
  <c r="I1370" i="4" s="1"/>
  <c r="J1371" i="4" s="1"/>
  <c r="H1370" i="4"/>
  <c r="I1371" i="4" s="1"/>
  <c r="J1372" i="4" s="1"/>
  <c r="H1371" i="4"/>
  <c r="I1372" i="4" s="1"/>
  <c r="J1373" i="4" s="1"/>
  <c r="H1372" i="4"/>
  <c r="I1373" i="4" s="1"/>
  <c r="J1374" i="4" s="1"/>
  <c r="H1373" i="4"/>
  <c r="H1374" i="4"/>
  <c r="H1375" i="4"/>
  <c r="I1376" i="4" s="1"/>
  <c r="J1377" i="4" s="1"/>
  <c r="H1376" i="4"/>
  <c r="I1377" i="4" s="1"/>
  <c r="J1378" i="4" s="1"/>
  <c r="H1377" i="4"/>
  <c r="I1378" i="4" s="1"/>
  <c r="J1379" i="4" s="1"/>
  <c r="H1378" i="4"/>
  <c r="I1379" i="4" s="1"/>
  <c r="J1380" i="4" s="1"/>
  <c r="H1379" i="4"/>
  <c r="I1380" i="4" s="1"/>
  <c r="J1381" i="4" s="1"/>
  <c r="H1380" i="4"/>
  <c r="I1381" i="4" s="1"/>
  <c r="J1382" i="4" s="1"/>
  <c r="H1381" i="4"/>
  <c r="I1382" i="4" s="1"/>
  <c r="J1383" i="4" s="1"/>
  <c r="H1382" i="4"/>
  <c r="I1383" i="4" s="1"/>
  <c r="J1384" i="4" s="1"/>
  <c r="H1383" i="4"/>
  <c r="I1384" i="4" s="1"/>
  <c r="J1385" i="4" s="1"/>
  <c r="H1384" i="4"/>
  <c r="I1385" i="4" s="1"/>
  <c r="J1386" i="4" s="1"/>
  <c r="H1385" i="4"/>
  <c r="I1386" i="4" s="1"/>
  <c r="J1387" i="4" s="1"/>
  <c r="H1386" i="4"/>
  <c r="I1387" i="4" s="1"/>
  <c r="J1388" i="4" s="1"/>
  <c r="H1387" i="4"/>
  <c r="I1388" i="4" s="1"/>
  <c r="J1389" i="4" s="1"/>
  <c r="H1388" i="4"/>
  <c r="I1389" i="4" s="1"/>
  <c r="J1390" i="4" s="1"/>
  <c r="H1389" i="4"/>
  <c r="I1390" i="4" s="1"/>
  <c r="J1391" i="4" s="1"/>
  <c r="H1390" i="4"/>
  <c r="I1391" i="4" s="1"/>
  <c r="J1392" i="4" s="1"/>
  <c r="H1391" i="4"/>
  <c r="I1392" i="4" s="1"/>
  <c r="J1393" i="4" s="1"/>
  <c r="H1392" i="4"/>
  <c r="I1393" i="4" s="1"/>
  <c r="J1394" i="4" s="1"/>
  <c r="H1393" i="4"/>
  <c r="H1394" i="4"/>
  <c r="I1395" i="4" s="1"/>
  <c r="J1396" i="4" s="1"/>
  <c r="H1395" i="4"/>
  <c r="I1396" i="4" s="1"/>
  <c r="J1397" i="4" s="1"/>
  <c r="H1396" i="4"/>
  <c r="I1397" i="4" s="1"/>
  <c r="J1398" i="4" s="1"/>
  <c r="H1397" i="4"/>
  <c r="I1398" i="4" s="1"/>
  <c r="J1399" i="4" s="1"/>
  <c r="H1398" i="4"/>
  <c r="I1399" i="4" s="1"/>
  <c r="J1400" i="4" s="1"/>
  <c r="H1399" i="4"/>
  <c r="I1400" i="4" s="1"/>
  <c r="J1401" i="4" s="1"/>
  <c r="H1400" i="4"/>
  <c r="I1401" i="4" s="1"/>
  <c r="J1402" i="4" s="1"/>
  <c r="H1401" i="4"/>
  <c r="I1402" i="4" s="1"/>
  <c r="J1403" i="4" s="1"/>
  <c r="H1402" i="4"/>
  <c r="I1403" i="4" s="1"/>
  <c r="J1404" i="4" s="1"/>
  <c r="H1403" i="4"/>
  <c r="I1404" i="4" s="1"/>
  <c r="H1404" i="4"/>
  <c r="I1405" i="4" s="1"/>
  <c r="J1406" i="4" s="1"/>
  <c r="H1405" i="4"/>
  <c r="I1406" i="4" s="1"/>
  <c r="H1406" i="4"/>
  <c r="I1407" i="4" s="1"/>
  <c r="J1408" i="4" s="1"/>
  <c r="H1407" i="4"/>
  <c r="H1408" i="4"/>
  <c r="H1409" i="4"/>
  <c r="H1410" i="4"/>
  <c r="I1411" i="4" s="1"/>
  <c r="J1412" i="4" s="1"/>
  <c r="H1411" i="4"/>
  <c r="I1412" i="4" s="1"/>
  <c r="J1413" i="4" s="1"/>
  <c r="H1412" i="4"/>
  <c r="H1413" i="4"/>
  <c r="I1414" i="4" s="1"/>
  <c r="J1415" i="4" s="1"/>
  <c r="H1414" i="4"/>
  <c r="I1415" i="4" s="1"/>
  <c r="J1416" i="4" s="1"/>
  <c r="H1415" i="4"/>
  <c r="I1416" i="4" s="1"/>
  <c r="J1417" i="4" s="1"/>
  <c r="H1416" i="4"/>
  <c r="I1417" i="4" s="1"/>
  <c r="J1418" i="4" s="1"/>
  <c r="H1417" i="4"/>
  <c r="I1418" i="4" s="1"/>
  <c r="J1419" i="4" s="1"/>
  <c r="H1418" i="4"/>
  <c r="I1419" i="4" s="1"/>
  <c r="J1420" i="4" s="1"/>
  <c r="H1419" i="4"/>
  <c r="I1420" i="4" s="1"/>
  <c r="J1421" i="4" s="1"/>
  <c r="H1420" i="4"/>
  <c r="I1421" i="4" s="1"/>
  <c r="J1422" i="4" s="1"/>
  <c r="H1421" i="4"/>
  <c r="I1422" i="4" s="1"/>
  <c r="J1423" i="4" s="1"/>
  <c r="H1422" i="4"/>
  <c r="I1423" i="4" s="1"/>
  <c r="J1424" i="4" s="1"/>
  <c r="H1423" i="4"/>
  <c r="I1424" i="4" s="1"/>
  <c r="J1425" i="4" s="1"/>
  <c r="H1424" i="4"/>
  <c r="I1425" i="4" s="1"/>
  <c r="H1425" i="4"/>
  <c r="I1426" i="4" s="1"/>
  <c r="J1427" i="4" s="1"/>
  <c r="H1426" i="4"/>
  <c r="I1427" i="4" s="1"/>
  <c r="J1428" i="4" s="1"/>
  <c r="H1427" i="4"/>
  <c r="I1428" i="4" s="1"/>
  <c r="J1429" i="4" s="1"/>
  <c r="H1428" i="4"/>
  <c r="I1429" i="4" s="1"/>
  <c r="J1430" i="4" s="1"/>
  <c r="H1429" i="4"/>
  <c r="I1430" i="4" s="1"/>
  <c r="J1431" i="4" s="1"/>
  <c r="H1430" i="4"/>
  <c r="I1431" i="4" s="1"/>
  <c r="J1432" i="4" s="1"/>
  <c r="H1431" i="4"/>
  <c r="H1432" i="4"/>
  <c r="H1433" i="4"/>
  <c r="I1434" i="4" s="1"/>
  <c r="J1435" i="4" s="1"/>
  <c r="H1434" i="4"/>
  <c r="I1435" i="4" s="1"/>
  <c r="J1436" i="4" s="1"/>
  <c r="H1435" i="4"/>
  <c r="I1436" i="4" s="1"/>
  <c r="J1437" i="4" s="1"/>
  <c r="H1436" i="4"/>
  <c r="I1437" i="4" s="1"/>
  <c r="J1438" i="4" s="1"/>
  <c r="H1437" i="4"/>
  <c r="I1438" i="4" s="1"/>
  <c r="J1439" i="4" s="1"/>
  <c r="H1438" i="4"/>
  <c r="I1439" i="4" s="1"/>
  <c r="J1440" i="4" s="1"/>
  <c r="H1439" i="4"/>
  <c r="I1440" i="4" s="1"/>
  <c r="J1441" i="4" s="1"/>
  <c r="H1440" i="4"/>
  <c r="I1441" i="4" s="1"/>
  <c r="J1442" i="4" s="1"/>
  <c r="H1441" i="4"/>
  <c r="I1442" i="4" s="1"/>
  <c r="J1443" i="4" s="1"/>
  <c r="H1442" i="4"/>
  <c r="I1443" i="4" s="1"/>
  <c r="J1444" i="4" s="1"/>
  <c r="H1443" i="4"/>
  <c r="I1444" i="4" s="1"/>
  <c r="J1445" i="4" s="1"/>
  <c r="H1444" i="4"/>
  <c r="I1445" i="4" s="1"/>
  <c r="J1446" i="4" s="1"/>
  <c r="H1445" i="4"/>
  <c r="I1446" i="4" s="1"/>
  <c r="H1446" i="4"/>
  <c r="I1447" i="4" s="1"/>
  <c r="J1448" i="4" s="1"/>
  <c r="H1447" i="4"/>
  <c r="I1448" i="4" s="1"/>
  <c r="H1448" i="4"/>
  <c r="I1449" i="4" s="1"/>
  <c r="J1450" i="4" s="1"/>
  <c r="H1449" i="4"/>
  <c r="I1450" i="4" s="1"/>
  <c r="J1451" i="4" s="1"/>
  <c r="H1450" i="4"/>
  <c r="I1451" i="4" s="1"/>
  <c r="J1452" i="4" s="1"/>
  <c r="H1451" i="4"/>
  <c r="I1452" i="4" s="1"/>
  <c r="J1453" i="4" s="1"/>
  <c r="H1452" i="4"/>
  <c r="I1453" i="4" s="1"/>
  <c r="J1454" i="4" s="1"/>
  <c r="H1453" i="4"/>
  <c r="H1454" i="4"/>
  <c r="H1455" i="4"/>
  <c r="I1456" i="4" s="1"/>
  <c r="J1457" i="4" s="1"/>
  <c r="H1456" i="4"/>
  <c r="I1457" i="4" s="1"/>
  <c r="J1458" i="4" s="1"/>
  <c r="H1457" i="4"/>
  <c r="I1458" i="4" s="1"/>
  <c r="J1459" i="4" s="1"/>
  <c r="H1458" i="4"/>
  <c r="I1459" i="4" s="1"/>
  <c r="J1460" i="4" s="1"/>
  <c r="H1459" i="4"/>
  <c r="I1460" i="4" s="1"/>
  <c r="J1461" i="4" s="1"/>
  <c r="H1460" i="4"/>
  <c r="I1461" i="4" s="1"/>
  <c r="J1462" i="4" s="1"/>
  <c r="H1461" i="4"/>
  <c r="I1462" i="4" s="1"/>
  <c r="J1463" i="4" s="1"/>
  <c r="H1462" i="4"/>
  <c r="I1463" i="4" s="1"/>
  <c r="J1464" i="4" s="1"/>
  <c r="H1463" i="4"/>
  <c r="I1464" i="4" s="1"/>
  <c r="J1465" i="4" s="1"/>
  <c r="H1464" i="4"/>
  <c r="I1465" i="4" s="1"/>
  <c r="J1466" i="4" s="1"/>
  <c r="H1465" i="4"/>
  <c r="I1466" i="4" s="1"/>
  <c r="J1467" i="4" s="1"/>
  <c r="H1466" i="4"/>
  <c r="I1467" i="4" s="1"/>
  <c r="J1468" i="4" s="1"/>
  <c r="H1467" i="4"/>
  <c r="I1468" i="4" s="1"/>
  <c r="J1469" i="4" s="1"/>
  <c r="H1468" i="4"/>
  <c r="H1469" i="4"/>
  <c r="I1470" i="4" s="1"/>
  <c r="J1471" i="4" s="1"/>
  <c r="H1470" i="4"/>
  <c r="I1471" i="4" s="1"/>
  <c r="H1471" i="4"/>
  <c r="I1472" i="4" s="1"/>
  <c r="J1473" i="4" s="1"/>
  <c r="H1472" i="4"/>
  <c r="I1473" i="4" s="1"/>
  <c r="J1474" i="4" s="1"/>
  <c r="H1473" i="4"/>
  <c r="H1474" i="4"/>
  <c r="H1475" i="4"/>
  <c r="I1476" i="4" s="1"/>
  <c r="J1477" i="4" s="1"/>
  <c r="H1476" i="4"/>
  <c r="I1477" i="4" s="1"/>
  <c r="J1478" i="4" s="1"/>
  <c r="H1477" i="4"/>
  <c r="I1478" i="4" s="1"/>
  <c r="J1479" i="4" s="1"/>
  <c r="H1478" i="4"/>
  <c r="I1479" i="4" s="1"/>
  <c r="J1480" i="4" s="1"/>
  <c r="H1479" i="4"/>
  <c r="I1480" i="4" s="1"/>
  <c r="J1481" i="4" s="1"/>
  <c r="H1480" i="4"/>
  <c r="I1481" i="4" s="1"/>
  <c r="J1482" i="4" s="1"/>
  <c r="H1481" i="4"/>
  <c r="I1482" i="4" s="1"/>
  <c r="J1483" i="4" s="1"/>
  <c r="H1482" i="4"/>
  <c r="I1483" i="4" s="1"/>
  <c r="J1484" i="4" s="1"/>
  <c r="H1483" i="4"/>
  <c r="I1484" i="4" s="1"/>
  <c r="H1484" i="4"/>
  <c r="H1485" i="4"/>
  <c r="I1486" i="4" s="1"/>
  <c r="H1486" i="4"/>
  <c r="I1487" i="4" s="1"/>
  <c r="J1488" i="4" s="1"/>
  <c r="H1487" i="4"/>
  <c r="I1488" i="4" s="1"/>
  <c r="J1489" i="4" s="1"/>
  <c r="H1488" i="4"/>
  <c r="I1489" i="4" s="1"/>
  <c r="J1490" i="4" s="1"/>
  <c r="H1489" i="4"/>
  <c r="I1490" i="4" s="1"/>
  <c r="J1491" i="4" s="1"/>
  <c r="H1490" i="4"/>
  <c r="I1491" i="4" s="1"/>
  <c r="J1492" i="4" s="1"/>
  <c r="H1491" i="4"/>
  <c r="I1492" i="4" s="1"/>
  <c r="J1493" i="4" s="1"/>
  <c r="H1492" i="4"/>
  <c r="H1493" i="4"/>
  <c r="H1494" i="4"/>
  <c r="I1495" i="4" s="1"/>
  <c r="J1496" i="4" s="1"/>
  <c r="H1495" i="4"/>
  <c r="H1496" i="4"/>
  <c r="I1497" i="4" s="1"/>
  <c r="J1498" i="4" s="1"/>
  <c r="H1497" i="4"/>
  <c r="I1498" i="4" s="1"/>
  <c r="J1499" i="4" s="1"/>
  <c r="H1498" i="4"/>
  <c r="H1499" i="4"/>
  <c r="H1500" i="4"/>
  <c r="I1501" i="4" s="1"/>
  <c r="J1502" i="4" s="1"/>
  <c r="H1501" i="4"/>
  <c r="I1502" i="4" s="1"/>
  <c r="J1503" i="4" s="1"/>
  <c r="H1502" i="4"/>
  <c r="I1503" i="4" s="1"/>
  <c r="J1504" i="4" s="1"/>
  <c r="H1503" i="4"/>
  <c r="I1504" i="4" s="1"/>
  <c r="H1504" i="4"/>
  <c r="I1505" i="4" s="1"/>
  <c r="J1506" i="4" s="1"/>
  <c r="H1505" i="4"/>
  <c r="I1506" i="4" s="1"/>
  <c r="J1507" i="4" s="1"/>
  <c r="H1506" i="4"/>
  <c r="I1507" i="4" s="1"/>
  <c r="J1508" i="4" s="1"/>
  <c r="H1507" i="4"/>
  <c r="I1508" i="4" s="1"/>
  <c r="J1509" i="4" s="1"/>
  <c r="H1508" i="4"/>
  <c r="I1509" i="4" s="1"/>
  <c r="J1510" i="4" s="1"/>
  <c r="H1509" i="4"/>
  <c r="I1510" i="4" s="1"/>
  <c r="J1511" i="4" s="1"/>
  <c r="H1510" i="4"/>
  <c r="I1511" i="4" s="1"/>
  <c r="J1512" i="4" s="1"/>
  <c r="H1511" i="4"/>
  <c r="I1512" i="4" s="1"/>
  <c r="J1513" i="4" s="1"/>
  <c r="H1512" i="4"/>
  <c r="I1513" i="4" s="1"/>
  <c r="H1513" i="4"/>
  <c r="H1514" i="4"/>
  <c r="I1515" i="4" s="1"/>
  <c r="H1515" i="4"/>
  <c r="I1516" i="4" s="1"/>
  <c r="J1517" i="4" s="1"/>
  <c r="H1516" i="4"/>
  <c r="I1517" i="4" s="1"/>
  <c r="H1517" i="4"/>
  <c r="H6" i="4"/>
  <c r="I7" i="4" s="1"/>
  <c r="J8" i="4" s="1"/>
  <c r="AE10" i="4" l="1"/>
  <c r="AF11" i="4" s="1"/>
  <c r="AG12" i="4" s="1"/>
  <c r="AF10" i="4"/>
  <c r="AG11" i="4" s="1"/>
  <c r="AK9" i="4"/>
  <c r="AE11" i="4"/>
  <c r="AF12" i="4" s="1"/>
  <c r="AG13" i="4" s="1"/>
  <c r="AK10" i="4"/>
  <c r="AE12" i="4" l="1"/>
  <c r="AF13" i="4" s="1"/>
  <c r="AG14" i="4" s="1"/>
  <c r="AK11" i="4"/>
  <c r="AE13" i="4" l="1"/>
  <c r="AF14" i="4" s="1"/>
  <c r="AG15" i="4" s="1"/>
  <c r="AK12" i="4"/>
  <c r="AE14" i="4" l="1"/>
  <c r="AF15" i="4" s="1"/>
  <c r="AG16" i="4" s="1"/>
  <c r="AK13" i="4"/>
  <c r="AE15" i="4" l="1"/>
  <c r="AF16" i="4" s="1"/>
  <c r="AG17" i="4" s="1"/>
  <c r="AK14" i="4"/>
  <c r="AE16" i="4" l="1"/>
  <c r="AF17" i="4" s="1"/>
  <c r="AG18" i="4" s="1"/>
  <c r="AK15" i="4"/>
  <c r="AE17" i="4" l="1"/>
  <c r="AF18" i="4" s="1"/>
  <c r="AG19" i="4" s="1"/>
  <c r="AK16" i="4"/>
  <c r="AE18" i="4" l="1"/>
  <c r="AF19" i="4" s="1"/>
  <c r="AG20" i="4" s="1"/>
  <c r="AK17" i="4"/>
  <c r="AE19" i="4" l="1"/>
  <c r="AF20" i="4" s="1"/>
  <c r="AG21" i="4" s="1"/>
  <c r="AK18" i="4"/>
  <c r="AE20" i="4" l="1"/>
  <c r="AF21" i="4" s="1"/>
  <c r="AG22" i="4" s="1"/>
  <c r="AK19" i="4"/>
  <c r="AE21" i="4" l="1"/>
  <c r="AF22" i="4" s="1"/>
  <c r="AG23" i="4" s="1"/>
  <c r="AK20" i="4"/>
  <c r="AE22" i="4" l="1"/>
  <c r="AF23" i="4" s="1"/>
  <c r="AG24" i="4" s="1"/>
  <c r="AK21" i="4"/>
  <c r="AE23" i="4" l="1"/>
  <c r="AF24" i="4" s="1"/>
  <c r="AG25" i="4" s="1"/>
  <c r="AK22" i="4"/>
  <c r="AE24" i="4" l="1"/>
  <c r="AF25" i="4" s="1"/>
  <c r="AG26" i="4" s="1"/>
  <c r="AK23" i="4"/>
  <c r="AE25" i="4" l="1"/>
  <c r="AF26" i="4" s="1"/>
  <c r="AG27" i="4" s="1"/>
  <c r="AK24" i="4"/>
  <c r="AE26" i="4" l="1"/>
  <c r="AF27" i="4" s="1"/>
  <c r="AG28" i="4" s="1"/>
  <c r="AK25" i="4"/>
  <c r="AE27" i="4" l="1"/>
  <c r="AF28" i="4" s="1"/>
  <c r="AG29" i="4" s="1"/>
  <c r="AK26" i="4"/>
  <c r="AE28" i="4" l="1"/>
  <c r="AF29" i="4" s="1"/>
  <c r="AG30" i="4" s="1"/>
  <c r="AK27" i="4"/>
  <c r="AE29" i="4" l="1"/>
  <c r="AF30" i="4" s="1"/>
  <c r="AG31" i="4" s="1"/>
  <c r="AK28" i="4"/>
  <c r="AE30" i="4" l="1"/>
  <c r="AF31" i="4" s="1"/>
  <c r="AG32" i="4" s="1"/>
  <c r="AK29" i="4"/>
  <c r="AE31" i="4" l="1"/>
  <c r="AF32" i="4" s="1"/>
  <c r="AG33" i="4" s="1"/>
  <c r="AK30" i="4"/>
  <c r="AE32" i="4" l="1"/>
  <c r="AF33" i="4" s="1"/>
  <c r="AG34" i="4" s="1"/>
  <c r="AK31" i="4"/>
  <c r="AE33" i="4" l="1"/>
  <c r="AF34" i="4" s="1"/>
  <c r="AG35" i="4" s="1"/>
  <c r="AK32" i="4"/>
  <c r="AE34" i="4" l="1"/>
  <c r="AF35" i="4" s="1"/>
  <c r="AG36" i="4" s="1"/>
  <c r="AK33" i="4"/>
  <c r="AE35" i="4" l="1"/>
  <c r="AF36" i="4" s="1"/>
  <c r="AG37" i="4" s="1"/>
  <c r="AK34" i="4"/>
  <c r="AE36" i="4" l="1"/>
  <c r="AF37" i="4" s="1"/>
  <c r="AG38" i="4" s="1"/>
  <c r="AK35" i="4"/>
  <c r="AE37" i="4" l="1"/>
  <c r="AF38" i="4" s="1"/>
  <c r="AG39" i="4" s="1"/>
  <c r="AK36" i="4"/>
  <c r="AE38" i="4" l="1"/>
  <c r="AF39" i="4" s="1"/>
  <c r="AG40" i="4" s="1"/>
  <c r="AK37" i="4"/>
  <c r="AE39" i="4" l="1"/>
  <c r="AF40" i="4" s="1"/>
  <c r="AG41" i="4" s="1"/>
  <c r="AK38" i="4"/>
  <c r="AE40" i="4" l="1"/>
  <c r="AF41" i="4" s="1"/>
  <c r="AG42" i="4" s="1"/>
  <c r="AK39" i="4"/>
  <c r="AE41" i="4" l="1"/>
  <c r="AF42" i="4" s="1"/>
  <c r="AG43" i="4" s="1"/>
  <c r="AK40" i="4"/>
  <c r="AE42" i="4" l="1"/>
  <c r="AF43" i="4" s="1"/>
  <c r="AG44" i="4" s="1"/>
  <c r="AK41" i="4"/>
  <c r="AE43" i="4" l="1"/>
  <c r="AF44" i="4" s="1"/>
  <c r="AG45" i="4" s="1"/>
  <c r="AK42" i="4"/>
  <c r="AE44" i="4" l="1"/>
  <c r="AF45" i="4" s="1"/>
  <c r="AG46" i="4" s="1"/>
  <c r="AK43" i="4"/>
  <c r="AE45" i="4" l="1"/>
  <c r="AF46" i="4" s="1"/>
  <c r="AG47" i="4" s="1"/>
  <c r="AK44" i="4"/>
  <c r="AE46" i="4" l="1"/>
  <c r="AF47" i="4" s="1"/>
  <c r="AG48" i="4" s="1"/>
  <c r="AK45" i="4"/>
  <c r="AE47" i="4" l="1"/>
  <c r="AF48" i="4" s="1"/>
  <c r="AG49" i="4" s="1"/>
  <c r="AK46" i="4"/>
  <c r="AE48" i="4" l="1"/>
  <c r="AF49" i="4" s="1"/>
  <c r="AG50" i="4" s="1"/>
  <c r="AK47" i="4"/>
  <c r="AE49" i="4" l="1"/>
  <c r="AF50" i="4" s="1"/>
  <c r="AG51" i="4" s="1"/>
  <c r="AK48" i="4"/>
  <c r="AE50" i="4" l="1"/>
  <c r="AF51" i="4" s="1"/>
  <c r="AG52" i="4" s="1"/>
  <c r="AK49" i="4"/>
  <c r="AE51" i="4" l="1"/>
  <c r="AF52" i="4" s="1"/>
  <c r="AG53" i="4" s="1"/>
  <c r="AK50" i="4"/>
  <c r="AE52" i="4" l="1"/>
  <c r="AF53" i="4" s="1"/>
  <c r="AG54" i="4" s="1"/>
  <c r="AK51" i="4"/>
  <c r="AE53" i="4" l="1"/>
  <c r="AF54" i="4" s="1"/>
  <c r="AG55" i="4" s="1"/>
  <c r="AK52" i="4"/>
  <c r="AE54" i="4" l="1"/>
  <c r="AF55" i="4" s="1"/>
  <c r="AG56" i="4" s="1"/>
  <c r="AK53" i="4"/>
  <c r="AE55" i="4" l="1"/>
  <c r="AF56" i="4" s="1"/>
  <c r="AG57" i="4" s="1"/>
  <c r="AK54" i="4"/>
  <c r="AE56" i="4" l="1"/>
  <c r="AF57" i="4" s="1"/>
  <c r="AG58" i="4" s="1"/>
  <c r="AK55" i="4"/>
  <c r="AE57" i="4" l="1"/>
  <c r="AF58" i="4" s="1"/>
  <c r="AG59" i="4" s="1"/>
  <c r="AK56" i="4"/>
  <c r="AE58" i="4" l="1"/>
  <c r="AF59" i="4" s="1"/>
  <c r="AG60" i="4" s="1"/>
  <c r="AK57" i="4"/>
  <c r="AE59" i="4" l="1"/>
  <c r="AF60" i="4" s="1"/>
  <c r="AG61" i="4" s="1"/>
  <c r="AK58" i="4"/>
  <c r="AE60" i="4" l="1"/>
  <c r="AF61" i="4" s="1"/>
  <c r="AG62" i="4" s="1"/>
  <c r="AK59" i="4"/>
  <c r="AE61" i="4" l="1"/>
  <c r="AF62" i="4" s="1"/>
  <c r="AG63" i="4" s="1"/>
  <c r="AK60" i="4"/>
  <c r="AE62" i="4" l="1"/>
  <c r="AF63" i="4" s="1"/>
  <c r="AG64" i="4" s="1"/>
  <c r="AK61" i="4"/>
  <c r="AE63" i="4" l="1"/>
  <c r="AF64" i="4" s="1"/>
  <c r="AG65" i="4" s="1"/>
  <c r="AK62" i="4"/>
  <c r="AE64" i="4" l="1"/>
  <c r="AF65" i="4" s="1"/>
  <c r="AG66" i="4" s="1"/>
  <c r="AK63" i="4"/>
  <c r="AE65" i="4" l="1"/>
  <c r="AF66" i="4" s="1"/>
  <c r="AG67" i="4" s="1"/>
  <c r="AK64" i="4"/>
  <c r="AE66" i="4" l="1"/>
  <c r="AF67" i="4" s="1"/>
  <c r="AG68" i="4" s="1"/>
  <c r="AK65" i="4"/>
  <c r="AE67" i="4" l="1"/>
  <c r="AF68" i="4" s="1"/>
  <c r="AG69" i="4" s="1"/>
  <c r="AK66" i="4"/>
  <c r="AE68" i="4" l="1"/>
  <c r="AF69" i="4" s="1"/>
  <c r="AG70" i="4" s="1"/>
  <c r="AK67" i="4"/>
  <c r="AE69" i="4" l="1"/>
  <c r="AF70" i="4" s="1"/>
  <c r="AG71" i="4" s="1"/>
  <c r="AK68" i="4"/>
  <c r="AE70" i="4" l="1"/>
  <c r="AF71" i="4" s="1"/>
  <c r="AG72" i="4" s="1"/>
  <c r="AK69" i="4"/>
  <c r="AE71" i="4" l="1"/>
  <c r="AF72" i="4" s="1"/>
  <c r="AG73" i="4" s="1"/>
  <c r="AK70" i="4"/>
  <c r="AE72" i="4" l="1"/>
  <c r="AF73" i="4" s="1"/>
  <c r="AG74" i="4" s="1"/>
  <c r="AK71" i="4"/>
  <c r="AE73" i="4" l="1"/>
  <c r="AF74" i="4" s="1"/>
  <c r="AG75" i="4" s="1"/>
  <c r="AK72" i="4"/>
  <c r="AE74" i="4" l="1"/>
  <c r="AF75" i="4" s="1"/>
  <c r="AG76" i="4" s="1"/>
  <c r="AK73" i="4"/>
  <c r="AE75" i="4" l="1"/>
  <c r="AF76" i="4" s="1"/>
  <c r="AG77" i="4" s="1"/>
  <c r="AK74" i="4"/>
  <c r="AE76" i="4" l="1"/>
  <c r="AF77" i="4" s="1"/>
  <c r="AG78" i="4" s="1"/>
  <c r="AK75" i="4"/>
  <c r="AE77" i="4" l="1"/>
  <c r="AF78" i="4" s="1"/>
  <c r="AG79" i="4" s="1"/>
  <c r="AK76" i="4"/>
  <c r="AE78" i="4" l="1"/>
  <c r="AF79" i="4" s="1"/>
  <c r="AG80" i="4" s="1"/>
  <c r="AK77" i="4"/>
  <c r="AE79" i="4" l="1"/>
  <c r="AF80" i="4" s="1"/>
  <c r="AG81" i="4" s="1"/>
  <c r="AK78" i="4"/>
  <c r="AE80" i="4" l="1"/>
  <c r="AF81" i="4" s="1"/>
  <c r="AG82" i="4" s="1"/>
  <c r="AK79" i="4"/>
  <c r="AE81" i="4" l="1"/>
  <c r="AF82" i="4" s="1"/>
  <c r="AG83" i="4" s="1"/>
  <c r="AK80" i="4"/>
  <c r="AE82" i="4" l="1"/>
  <c r="AF83" i="4" s="1"/>
  <c r="AG84" i="4" s="1"/>
  <c r="AK81" i="4"/>
  <c r="AE83" i="4" l="1"/>
  <c r="AF84" i="4" s="1"/>
  <c r="AG85" i="4" s="1"/>
  <c r="AK82" i="4"/>
  <c r="AE84" i="4" l="1"/>
  <c r="AF85" i="4" s="1"/>
  <c r="AG86" i="4" s="1"/>
  <c r="AK83" i="4"/>
  <c r="AE85" i="4" l="1"/>
  <c r="AF86" i="4" s="1"/>
  <c r="AG87" i="4" s="1"/>
  <c r="AK84" i="4"/>
  <c r="AE86" i="4" l="1"/>
  <c r="AF87" i="4" s="1"/>
  <c r="AG88" i="4" s="1"/>
  <c r="AK85" i="4"/>
  <c r="AE87" i="4" l="1"/>
  <c r="AF88" i="4" s="1"/>
  <c r="AG89" i="4" s="1"/>
  <c r="AK86" i="4"/>
  <c r="AE88" i="4" l="1"/>
  <c r="AF89" i="4" s="1"/>
  <c r="AG90" i="4" s="1"/>
  <c r="AK87" i="4"/>
  <c r="AE89" i="4" l="1"/>
  <c r="AF90" i="4" s="1"/>
  <c r="AG91" i="4" s="1"/>
  <c r="AK88" i="4"/>
  <c r="AE90" i="4" l="1"/>
  <c r="AF91" i="4" s="1"/>
  <c r="AG92" i="4" s="1"/>
  <c r="AK89" i="4"/>
  <c r="AE91" i="4" l="1"/>
  <c r="AF92" i="4" s="1"/>
  <c r="AG93" i="4" s="1"/>
  <c r="AK90" i="4"/>
  <c r="AE92" i="4" l="1"/>
  <c r="AF93" i="4" s="1"/>
  <c r="AG94" i="4" s="1"/>
  <c r="AK91" i="4"/>
  <c r="AE93" i="4" l="1"/>
  <c r="AF94" i="4" s="1"/>
  <c r="AG95" i="4" s="1"/>
  <c r="AK92" i="4"/>
  <c r="AE94" i="4" l="1"/>
  <c r="AF95" i="4" s="1"/>
  <c r="AG96" i="4" s="1"/>
  <c r="AK93" i="4"/>
  <c r="AE95" i="4" l="1"/>
  <c r="AF96" i="4" s="1"/>
  <c r="AG97" i="4" s="1"/>
  <c r="AK94" i="4"/>
  <c r="AE96" i="4" l="1"/>
  <c r="AF97" i="4" s="1"/>
  <c r="AG98" i="4" s="1"/>
  <c r="AK95" i="4"/>
  <c r="AE97" i="4" l="1"/>
  <c r="AF98" i="4" s="1"/>
  <c r="AG99" i="4" s="1"/>
  <c r="AK96" i="4"/>
  <c r="AE98" i="4" l="1"/>
  <c r="AF99" i="4" s="1"/>
  <c r="AG100" i="4" s="1"/>
  <c r="AK97" i="4"/>
  <c r="AE99" i="4" l="1"/>
  <c r="AF100" i="4" s="1"/>
  <c r="AG101" i="4" s="1"/>
  <c r="AK98" i="4"/>
  <c r="AE100" i="4" l="1"/>
  <c r="AF101" i="4" s="1"/>
  <c r="AG102" i="4" s="1"/>
  <c r="AK99" i="4"/>
  <c r="AE101" i="4" l="1"/>
  <c r="AF102" i="4" s="1"/>
  <c r="AG103" i="4" s="1"/>
  <c r="AK100" i="4"/>
  <c r="AE102" i="4" l="1"/>
  <c r="AF103" i="4" s="1"/>
  <c r="AG104" i="4" s="1"/>
  <c r="AK101" i="4"/>
  <c r="AE103" i="4" l="1"/>
  <c r="AF104" i="4" s="1"/>
  <c r="AG105" i="4" s="1"/>
  <c r="AK102" i="4"/>
  <c r="AE104" i="4" l="1"/>
  <c r="AF105" i="4" s="1"/>
  <c r="AG106" i="4" s="1"/>
  <c r="AK103" i="4"/>
  <c r="AE105" i="4" l="1"/>
  <c r="AF106" i="4" s="1"/>
  <c r="AG107" i="4" s="1"/>
  <c r="AK104" i="4"/>
  <c r="AE106" i="4" l="1"/>
  <c r="AF107" i="4" s="1"/>
  <c r="AG108" i="4" s="1"/>
  <c r="AK105" i="4"/>
  <c r="AE107" i="4" l="1"/>
  <c r="AF108" i="4" s="1"/>
  <c r="AG109" i="4" s="1"/>
  <c r="AK106" i="4"/>
  <c r="AE108" i="4" l="1"/>
  <c r="AF109" i="4" s="1"/>
  <c r="AG110" i="4" s="1"/>
  <c r="AK107" i="4"/>
  <c r="AE109" i="4" l="1"/>
  <c r="AF110" i="4" s="1"/>
  <c r="AG111" i="4" s="1"/>
  <c r="AK108" i="4"/>
  <c r="AE110" i="4" l="1"/>
  <c r="AF111" i="4" s="1"/>
  <c r="AG112" i="4" s="1"/>
  <c r="AK109" i="4"/>
  <c r="AE111" i="4" l="1"/>
  <c r="AF112" i="4" s="1"/>
  <c r="AG113" i="4" s="1"/>
  <c r="AK110" i="4"/>
  <c r="AE112" i="4" l="1"/>
  <c r="AF113" i="4" s="1"/>
  <c r="AG114" i="4" s="1"/>
  <c r="AK111" i="4"/>
  <c r="AE113" i="4" l="1"/>
  <c r="AF114" i="4" s="1"/>
  <c r="AG115" i="4" s="1"/>
  <c r="AK112" i="4"/>
  <c r="AE114" i="4" l="1"/>
  <c r="AF115" i="4" s="1"/>
  <c r="AG116" i="4" s="1"/>
  <c r="AK113" i="4"/>
  <c r="AE115" i="4" l="1"/>
  <c r="AF116" i="4" s="1"/>
  <c r="AG117" i="4" s="1"/>
  <c r="AK114" i="4"/>
  <c r="AE116" i="4" l="1"/>
  <c r="AF117" i="4" s="1"/>
  <c r="AG118" i="4" s="1"/>
  <c r="AK115" i="4"/>
  <c r="AE117" i="4" l="1"/>
  <c r="AF118" i="4" s="1"/>
  <c r="AG119" i="4" s="1"/>
  <c r="AK116" i="4"/>
  <c r="AE118" i="4" l="1"/>
  <c r="AF119" i="4" s="1"/>
  <c r="AG120" i="4" s="1"/>
  <c r="AK117" i="4"/>
  <c r="AE119" i="4" l="1"/>
  <c r="AF120" i="4" s="1"/>
  <c r="AG121" i="4" s="1"/>
  <c r="AK118" i="4"/>
  <c r="AE120" i="4" l="1"/>
  <c r="AF121" i="4" s="1"/>
  <c r="AG122" i="4" s="1"/>
  <c r="AK119" i="4"/>
  <c r="AE121" i="4" l="1"/>
  <c r="AF122" i="4" s="1"/>
  <c r="AG123" i="4" s="1"/>
  <c r="AK120" i="4"/>
  <c r="AE122" i="4" l="1"/>
  <c r="AF123" i="4" s="1"/>
  <c r="AG124" i="4" s="1"/>
  <c r="AK121" i="4"/>
  <c r="AE123" i="4" l="1"/>
  <c r="AF124" i="4" s="1"/>
  <c r="AG125" i="4" s="1"/>
  <c r="AK122" i="4"/>
  <c r="AE124" i="4" l="1"/>
  <c r="AF125" i="4" s="1"/>
  <c r="AG126" i="4" s="1"/>
  <c r="AK123" i="4"/>
  <c r="AE125" i="4" l="1"/>
  <c r="AF126" i="4" s="1"/>
  <c r="AG127" i="4" s="1"/>
  <c r="AK124" i="4"/>
  <c r="AE126" i="4" l="1"/>
  <c r="AF127" i="4" s="1"/>
  <c r="AG128" i="4" s="1"/>
  <c r="AK125" i="4"/>
  <c r="AE127" i="4" l="1"/>
  <c r="AF128" i="4" s="1"/>
  <c r="AG129" i="4" s="1"/>
  <c r="AK126" i="4"/>
  <c r="AE128" i="4" l="1"/>
  <c r="AF129" i="4" s="1"/>
  <c r="AG130" i="4" s="1"/>
  <c r="AK127" i="4"/>
  <c r="AE129" i="4" l="1"/>
  <c r="AF130" i="4" s="1"/>
  <c r="AG131" i="4" s="1"/>
  <c r="AK128" i="4"/>
  <c r="AE130" i="4" l="1"/>
  <c r="AF131" i="4" s="1"/>
  <c r="AG132" i="4" s="1"/>
  <c r="AK129" i="4"/>
  <c r="AE131" i="4" l="1"/>
  <c r="AF132" i="4" s="1"/>
  <c r="AG133" i="4" s="1"/>
  <c r="AK130" i="4"/>
  <c r="AE132" i="4" l="1"/>
  <c r="AF133" i="4" s="1"/>
  <c r="AG134" i="4" s="1"/>
  <c r="AK131" i="4"/>
  <c r="AE133" i="4" l="1"/>
  <c r="AF134" i="4" s="1"/>
  <c r="AG135" i="4" s="1"/>
  <c r="AK132" i="4"/>
  <c r="AE134" i="4" l="1"/>
  <c r="AF135" i="4" s="1"/>
  <c r="AG136" i="4" s="1"/>
  <c r="AK133" i="4"/>
  <c r="AE135" i="4" l="1"/>
  <c r="AF136" i="4" s="1"/>
  <c r="AG137" i="4" s="1"/>
  <c r="AK134" i="4"/>
  <c r="AE136" i="4" l="1"/>
  <c r="AF137" i="4" s="1"/>
  <c r="AG138" i="4" s="1"/>
  <c r="AK135" i="4"/>
  <c r="AE137" i="4" l="1"/>
  <c r="AF138" i="4" s="1"/>
  <c r="AG139" i="4" s="1"/>
  <c r="AK136" i="4"/>
  <c r="AE138" i="4" l="1"/>
  <c r="AF139" i="4" s="1"/>
  <c r="AG140" i="4" s="1"/>
  <c r="AK137" i="4"/>
  <c r="AE139" i="4" l="1"/>
  <c r="AF140" i="4" s="1"/>
  <c r="AG141" i="4" s="1"/>
  <c r="AK138" i="4"/>
  <c r="AE140" i="4" l="1"/>
  <c r="AF141" i="4" s="1"/>
  <c r="AG142" i="4" s="1"/>
  <c r="AK139" i="4"/>
  <c r="AE141" i="4" l="1"/>
  <c r="AF142" i="4" s="1"/>
  <c r="AG143" i="4" s="1"/>
  <c r="AK140" i="4"/>
  <c r="AE142" i="4" l="1"/>
  <c r="AF143" i="4" s="1"/>
  <c r="AG144" i="4" s="1"/>
  <c r="AK141" i="4"/>
  <c r="AE143" i="4" l="1"/>
  <c r="AF144" i="4" s="1"/>
  <c r="AG145" i="4" s="1"/>
  <c r="AK142" i="4"/>
  <c r="AE144" i="4" l="1"/>
  <c r="AF145" i="4" s="1"/>
  <c r="AG146" i="4" s="1"/>
  <c r="AK143" i="4"/>
  <c r="AE145" i="4" l="1"/>
  <c r="AF146" i="4" s="1"/>
  <c r="AG147" i="4" s="1"/>
  <c r="AK144" i="4"/>
  <c r="AE146" i="4" l="1"/>
  <c r="AF147" i="4" s="1"/>
  <c r="AG148" i="4" s="1"/>
  <c r="AK145" i="4"/>
  <c r="AE147" i="4" l="1"/>
  <c r="AF148" i="4" s="1"/>
  <c r="AG149" i="4" s="1"/>
  <c r="AK146" i="4"/>
  <c r="AE148" i="4" l="1"/>
  <c r="AF149" i="4" s="1"/>
  <c r="AG150" i="4" s="1"/>
  <c r="AK147" i="4"/>
  <c r="AE149" i="4" l="1"/>
  <c r="AF150" i="4" s="1"/>
  <c r="AG151" i="4" s="1"/>
  <c r="AK148" i="4"/>
  <c r="AE150" i="4" l="1"/>
  <c r="AF151" i="4" s="1"/>
  <c r="AG152" i="4" s="1"/>
  <c r="AK149" i="4"/>
  <c r="AE151" i="4" l="1"/>
  <c r="AF152" i="4" s="1"/>
  <c r="AG153" i="4" s="1"/>
  <c r="AK150" i="4"/>
  <c r="AE152" i="4" l="1"/>
  <c r="AF153" i="4" s="1"/>
  <c r="AG154" i="4" s="1"/>
  <c r="AK151" i="4"/>
  <c r="AE153" i="4" l="1"/>
  <c r="AF154" i="4" s="1"/>
  <c r="AG155" i="4" s="1"/>
  <c r="AK152" i="4"/>
  <c r="AE154" i="4" l="1"/>
  <c r="AF155" i="4" s="1"/>
  <c r="AG156" i="4" s="1"/>
  <c r="AK153" i="4"/>
  <c r="AE155" i="4" l="1"/>
  <c r="AF156" i="4" s="1"/>
  <c r="AG157" i="4" s="1"/>
  <c r="AK154" i="4"/>
  <c r="AE156" i="4" l="1"/>
  <c r="AF157" i="4" s="1"/>
  <c r="AG158" i="4" s="1"/>
  <c r="AK155" i="4"/>
  <c r="AE157" i="4" l="1"/>
  <c r="AF158" i="4" s="1"/>
  <c r="AG159" i="4" s="1"/>
  <c r="AK156" i="4"/>
  <c r="AE158" i="4" l="1"/>
  <c r="AF159" i="4" s="1"/>
  <c r="AG160" i="4" s="1"/>
  <c r="AK157" i="4"/>
  <c r="AE159" i="4" l="1"/>
  <c r="AF160" i="4" s="1"/>
  <c r="AG161" i="4" s="1"/>
  <c r="AK158" i="4"/>
  <c r="AE160" i="4" l="1"/>
  <c r="AF161" i="4" s="1"/>
  <c r="AG162" i="4" s="1"/>
  <c r="AK159" i="4"/>
  <c r="AE161" i="4" l="1"/>
  <c r="AF162" i="4" s="1"/>
  <c r="AG163" i="4" s="1"/>
  <c r="AK160" i="4"/>
  <c r="AE162" i="4" l="1"/>
  <c r="AF163" i="4" s="1"/>
  <c r="AG164" i="4" s="1"/>
  <c r="AK161" i="4"/>
  <c r="AE163" i="4" l="1"/>
  <c r="AF164" i="4" s="1"/>
  <c r="AG165" i="4" s="1"/>
  <c r="AK162" i="4"/>
  <c r="AE164" i="4" l="1"/>
  <c r="AF165" i="4" s="1"/>
  <c r="AG166" i="4" s="1"/>
  <c r="AK163" i="4"/>
  <c r="AE165" i="4" l="1"/>
  <c r="AF166" i="4" s="1"/>
  <c r="AG167" i="4" s="1"/>
  <c r="AK164" i="4"/>
  <c r="AE166" i="4" l="1"/>
  <c r="AF167" i="4" s="1"/>
  <c r="AG168" i="4" s="1"/>
  <c r="AK165" i="4"/>
  <c r="AE167" i="4" l="1"/>
  <c r="AF168" i="4" s="1"/>
  <c r="AG169" i="4" s="1"/>
  <c r="AK166" i="4"/>
  <c r="AE168" i="4" l="1"/>
  <c r="AF169" i="4" s="1"/>
  <c r="AG170" i="4" s="1"/>
  <c r="AK167" i="4"/>
  <c r="AE169" i="4" l="1"/>
  <c r="AF170" i="4" s="1"/>
  <c r="AG171" i="4" s="1"/>
  <c r="AK168" i="4"/>
  <c r="AE170" i="4" l="1"/>
  <c r="AF171" i="4" s="1"/>
  <c r="AG172" i="4" s="1"/>
  <c r="AK169" i="4"/>
  <c r="AE171" i="4" l="1"/>
  <c r="AF172" i="4" s="1"/>
  <c r="AG173" i="4" s="1"/>
  <c r="AK170" i="4"/>
  <c r="AE172" i="4" l="1"/>
  <c r="AF173" i="4" s="1"/>
  <c r="AG174" i="4" s="1"/>
  <c r="AK171" i="4"/>
  <c r="AE173" i="4" l="1"/>
  <c r="AF174" i="4" s="1"/>
  <c r="AG175" i="4" s="1"/>
  <c r="AK172" i="4"/>
  <c r="AE174" i="4" l="1"/>
  <c r="AF175" i="4" s="1"/>
  <c r="AG176" i="4" s="1"/>
  <c r="AK173" i="4"/>
  <c r="AE175" i="4" l="1"/>
  <c r="AF176" i="4" s="1"/>
  <c r="AG177" i="4" s="1"/>
  <c r="AK174" i="4"/>
  <c r="AE176" i="4" l="1"/>
  <c r="AF177" i="4" s="1"/>
  <c r="AG178" i="4" s="1"/>
  <c r="AK175" i="4"/>
  <c r="AE177" i="4" l="1"/>
  <c r="AF178" i="4" s="1"/>
  <c r="AG179" i="4" s="1"/>
  <c r="AK176" i="4"/>
  <c r="AE178" i="4" l="1"/>
  <c r="AF179" i="4" s="1"/>
  <c r="AG180" i="4" s="1"/>
  <c r="AK177" i="4"/>
  <c r="AE179" i="4" l="1"/>
  <c r="AF180" i="4" s="1"/>
  <c r="AG181" i="4" s="1"/>
  <c r="AK178" i="4"/>
  <c r="AE180" i="4" l="1"/>
  <c r="AF181" i="4" s="1"/>
  <c r="AG182" i="4" s="1"/>
  <c r="AK179" i="4"/>
  <c r="AE181" i="4" l="1"/>
  <c r="AF182" i="4" s="1"/>
  <c r="AG183" i="4" s="1"/>
  <c r="AK180" i="4"/>
  <c r="AE182" i="4" l="1"/>
  <c r="AF183" i="4" s="1"/>
  <c r="AG184" i="4" s="1"/>
  <c r="AK181" i="4"/>
  <c r="AE183" i="4" l="1"/>
  <c r="AF184" i="4" s="1"/>
  <c r="AG185" i="4" s="1"/>
  <c r="AK182" i="4"/>
  <c r="AE184" i="4" l="1"/>
  <c r="AF185" i="4" s="1"/>
  <c r="AG186" i="4" s="1"/>
  <c r="AK183" i="4"/>
  <c r="AE185" i="4" l="1"/>
  <c r="AF186" i="4" s="1"/>
  <c r="AG187" i="4" s="1"/>
  <c r="AK184" i="4"/>
  <c r="AE186" i="4" l="1"/>
  <c r="AF187" i="4" s="1"/>
  <c r="AG188" i="4" s="1"/>
  <c r="AK185" i="4"/>
  <c r="AE187" i="4" l="1"/>
  <c r="AF188" i="4" s="1"/>
  <c r="AG189" i="4" s="1"/>
  <c r="AK186" i="4"/>
  <c r="AE188" i="4" l="1"/>
  <c r="AF189" i="4" s="1"/>
  <c r="AG190" i="4" s="1"/>
  <c r="AK187" i="4"/>
  <c r="AE189" i="4" l="1"/>
  <c r="AF190" i="4" s="1"/>
  <c r="AG191" i="4" s="1"/>
  <c r="AK188" i="4"/>
  <c r="AE190" i="4" l="1"/>
  <c r="AF191" i="4" s="1"/>
  <c r="AG192" i="4" s="1"/>
  <c r="AK189" i="4"/>
  <c r="AE191" i="4" l="1"/>
  <c r="AF192" i="4" s="1"/>
  <c r="AG193" i="4" s="1"/>
  <c r="AK190" i="4"/>
  <c r="AE192" i="4" l="1"/>
  <c r="AF193" i="4" s="1"/>
  <c r="AG194" i="4" s="1"/>
  <c r="AK191" i="4"/>
  <c r="AE193" i="4" l="1"/>
  <c r="AF194" i="4" s="1"/>
  <c r="AG195" i="4" s="1"/>
  <c r="AK192" i="4"/>
  <c r="AE194" i="4" l="1"/>
  <c r="AF195" i="4" s="1"/>
  <c r="AG196" i="4" s="1"/>
  <c r="AK193" i="4"/>
  <c r="AE195" i="4" l="1"/>
  <c r="AF196" i="4" s="1"/>
  <c r="AG197" i="4" s="1"/>
  <c r="AK194" i="4"/>
  <c r="AE196" i="4" l="1"/>
  <c r="AF197" i="4" s="1"/>
  <c r="AG198" i="4" s="1"/>
  <c r="AK195" i="4"/>
  <c r="AE197" i="4" l="1"/>
  <c r="AF198" i="4" s="1"/>
  <c r="AG199" i="4" s="1"/>
  <c r="AK196" i="4"/>
  <c r="AE198" i="4" l="1"/>
  <c r="AF199" i="4" s="1"/>
  <c r="AG200" i="4" s="1"/>
  <c r="AK197" i="4"/>
  <c r="AE199" i="4" l="1"/>
  <c r="AF200" i="4" s="1"/>
  <c r="AG201" i="4" s="1"/>
  <c r="AK198" i="4"/>
  <c r="AE200" i="4" l="1"/>
  <c r="AF201" i="4" s="1"/>
  <c r="AG202" i="4" s="1"/>
  <c r="AK199" i="4"/>
  <c r="AE201" i="4" l="1"/>
  <c r="AF202" i="4" s="1"/>
  <c r="AG203" i="4" s="1"/>
  <c r="AK200" i="4"/>
  <c r="AE202" i="4" l="1"/>
  <c r="AF203" i="4" s="1"/>
  <c r="AG204" i="4" s="1"/>
  <c r="AK201" i="4"/>
  <c r="AE203" i="4" l="1"/>
  <c r="AF204" i="4" s="1"/>
  <c r="AG205" i="4" s="1"/>
  <c r="AK202" i="4"/>
  <c r="AE204" i="4" l="1"/>
  <c r="AF205" i="4" s="1"/>
  <c r="AG206" i="4" s="1"/>
  <c r="AK203" i="4"/>
  <c r="AE205" i="4" l="1"/>
  <c r="AF206" i="4" s="1"/>
  <c r="AG207" i="4" s="1"/>
  <c r="AK204" i="4"/>
  <c r="AE206" i="4" l="1"/>
  <c r="AF207" i="4" s="1"/>
  <c r="AG208" i="4" s="1"/>
  <c r="AK205" i="4"/>
  <c r="AE207" i="4" l="1"/>
  <c r="AF208" i="4" s="1"/>
  <c r="AG209" i="4" s="1"/>
  <c r="AK206" i="4"/>
  <c r="AE208" i="4" l="1"/>
  <c r="AF209" i="4" s="1"/>
  <c r="AG210" i="4" s="1"/>
  <c r="AK207" i="4"/>
  <c r="AE209" i="4" l="1"/>
  <c r="AF210" i="4" s="1"/>
  <c r="AG211" i="4" s="1"/>
  <c r="AK208" i="4"/>
  <c r="AE210" i="4" l="1"/>
  <c r="AF211" i="4" s="1"/>
  <c r="AG212" i="4" s="1"/>
  <c r="AK209" i="4"/>
  <c r="AE211" i="4" l="1"/>
  <c r="AF212" i="4" s="1"/>
  <c r="AG213" i="4" s="1"/>
  <c r="AK210" i="4"/>
  <c r="AE212" i="4" l="1"/>
  <c r="AF213" i="4" s="1"/>
  <c r="AG214" i="4" s="1"/>
  <c r="AK211" i="4"/>
  <c r="AE213" i="4" l="1"/>
  <c r="AF214" i="4" s="1"/>
  <c r="AG215" i="4" s="1"/>
  <c r="AK212" i="4"/>
  <c r="AE214" i="4" l="1"/>
  <c r="AF215" i="4" s="1"/>
  <c r="AG216" i="4" s="1"/>
  <c r="AK213" i="4"/>
  <c r="AE215" i="4" l="1"/>
  <c r="AF216" i="4" s="1"/>
  <c r="AG217" i="4" s="1"/>
  <c r="AK214" i="4"/>
  <c r="AE216" i="4" l="1"/>
  <c r="AF217" i="4" s="1"/>
  <c r="AG218" i="4" s="1"/>
  <c r="AK215" i="4"/>
  <c r="AE217" i="4" l="1"/>
  <c r="AF218" i="4" s="1"/>
  <c r="AG219" i="4" s="1"/>
  <c r="AK216" i="4"/>
  <c r="AE218" i="4" l="1"/>
  <c r="AF219" i="4" s="1"/>
  <c r="AG220" i="4" s="1"/>
  <c r="AK217" i="4"/>
  <c r="AE219" i="4" l="1"/>
  <c r="AF220" i="4" s="1"/>
  <c r="AG221" i="4" s="1"/>
  <c r="AK218" i="4"/>
  <c r="AE220" i="4" l="1"/>
  <c r="AF221" i="4" s="1"/>
  <c r="AG222" i="4" s="1"/>
  <c r="AK219" i="4"/>
  <c r="AE221" i="4" l="1"/>
  <c r="AF222" i="4" s="1"/>
  <c r="AG223" i="4" s="1"/>
  <c r="AK220" i="4"/>
  <c r="AE222" i="4" l="1"/>
  <c r="AF223" i="4" s="1"/>
  <c r="AG224" i="4" s="1"/>
  <c r="AK221" i="4"/>
  <c r="AE223" i="4" l="1"/>
  <c r="AF224" i="4" s="1"/>
  <c r="AG225" i="4" s="1"/>
  <c r="AK222" i="4"/>
  <c r="AE224" i="4" l="1"/>
  <c r="AF225" i="4" s="1"/>
  <c r="AG226" i="4" s="1"/>
  <c r="AK223" i="4"/>
  <c r="AE225" i="4" l="1"/>
  <c r="AF226" i="4" s="1"/>
  <c r="AG227" i="4" s="1"/>
  <c r="AK224" i="4"/>
  <c r="AE226" i="4" l="1"/>
  <c r="AF227" i="4" s="1"/>
  <c r="AG228" i="4" s="1"/>
  <c r="AK225" i="4"/>
  <c r="AE227" i="4" l="1"/>
  <c r="AF228" i="4" s="1"/>
  <c r="AG229" i="4" s="1"/>
  <c r="AK226" i="4"/>
  <c r="AE228" i="4" l="1"/>
  <c r="AF229" i="4" s="1"/>
  <c r="AG230" i="4" s="1"/>
  <c r="AK227" i="4"/>
  <c r="AE229" i="4" l="1"/>
  <c r="AF230" i="4" s="1"/>
  <c r="AG231" i="4" s="1"/>
  <c r="AK228" i="4"/>
  <c r="AE230" i="4" l="1"/>
  <c r="AF231" i="4" s="1"/>
  <c r="AG232" i="4" s="1"/>
  <c r="AK229" i="4"/>
  <c r="AE231" i="4" l="1"/>
  <c r="AF232" i="4" s="1"/>
  <c r="AG233" i="4" s="1"/>
  <c r="AK230" i="4"/>
  <c r="AE232" i="4" l="1"/>
  <c r="AF233" i="4" s="1"/>
  <c r="AG234" i="4" s="1"/>
  <c r="AK231" i="4"/>
  <c r="AE233" i="4" l="1"/>
  <c r="AF234" i="4" s="1"/>
  <c r="AG235" i="4" s="1"/>
  <c r="AK232" i="4"/>
  <c r="AE234" i="4" l="1"/>
  <c r="AF235" i="4" s="1"/>
  <c r="AG236" i="4" s="1"/>
  <c r="AK233" i="4"/>
  <c r="AE235" i="4" l="1"/>
  <c r="AF236" i="4" s="1"/>
  <c r="AG237" i="4" s="1"/>
  <c r="AK234" i="4"/>
  <c r="AE236" i="4" l="1"/>
  <c r="AF237" i="4" s="1"/>
  <c r="AG238" i="4" s="1"/>
  <c r="AK235" i="4"/>
  <c r="AE237" i="4" l="1"/>
  <c r="AF238" i="4" s="1"/>
  <c r="AG239" i="4" s="1"/>
  <c r="AK236" i="4"/>
  <c r="AE238" i="4" l="1"/>
  <c r="AF239" i="4" s="1"/>
  <c r="AG240" i="4" s="1"/>
  <c r="AK237" i="4"/>
  <c r="AE239" i="4" l="1"/>
  <c r="AF240" i="4" s="1"/>
  <c r="AG241" i="4" s="1"/>
  <c r="AK238" i="4"/>
  <c r="AE240" i="4" l="1"/>
  <c r="AF241" i="4" s="1"/>
  <c r="AG242" i="4" s="1"/>
  <c r="AK239" i="4"/>
  <c r="AE241" i="4" l="1"/>
  <c r="AF242" i="4" s="1"/>
  <c r="AG243" i="4" s="1"/>
  <c r="AK240" i="4"/>
  <c r="AE242" i="4" l="1"/>
  <c r="AF243" i="4" s="1"/>
  <c r="AG244" i="4" s="1"/>
  <c r="AK241" i="4"/>
  <c r="AE243" i="4" l="1"/>
  <c r="AF244" i="4" s="1"/>
  <c r="AG245" i="4" s="1"/>
  <c r="AK242" i="4"/>
  <c r="AE244" i="4" l="1"/>
  <c r="AF245" i="4" s="1"/>
  <c r="AG246" i="4" s="1"/>
  <c r="AK243" i="4"/>
  <c r="AE245" i="4" l="1"/>
  <c r="AF246" i="4" s="1"/>
  <c r="AG247" i="4" s="1"/>
  <c r="AK244" i="4"/>
  <c r="AE246" i="4" l="1"/>
  <c r="AF247" i="4" s="1"/>
  <c r="AG248" i="4" s="1"/>
  <c r="AK245" i="4"/>
  <c r="AE247" i="4" l="1"/>
  <c r="AF248" i="4" s="1"/>
  <c r="AG249" i="4" s="1"/>
  <c r="AK246" i="4"/>
  <c r="AE248" i="4" l="1"/>
  <c r="AF249" i="4" s="1"/>
  <c r="AG250" i="4" s="1"/>
  <c r="AK247" i="4"/>
  <c r="AE249" i="4" l="1"/>
  <c r="AF250" i="4" s="1"/>
  <c r="AG251" i="4" s="1"/>
  <c r="AK248" i="4"/>
  <c r="AE250" i="4" l="1"/>
  <c r="AF251" i="4" s="1"/>
  <c r="AG252" i="4" s="1"/>
  <c r="AK249" i="4"/>
  <c r="AE251" i="4" l="1"/>
  <c r="AF252" i="4" s="1"/>
  <c r="AG253" i="4" s="1"/>
  <c r="AK250" i="4"/>
  <c r="AE252" i="4" l="1"/>
  <c r="AF253" i="4" s="1"/>
  <c r="AG254" i="4" s="1"/>
  <c r="AK251" i="4"/>
  <c r="AE253" i="4" l="1"/>
  <c r="AF254" i="4" s="1"/>
  <c r="AG255" i="4" s="1"/>
  <c r="AK252" i="4"/>
  <c r="AE254" i="4" l="1"/>
  <c r="AF255" i="4" s="1"/>
  <c r="AG256" i="4" s="1"/>
  <c r="AK253" i="4"/>
  <c r="AE255" i="4" l="1"/>
  <c r="AF256" i="4" s="1"/>
  <c r="AG257" i="4" s="1"/>
  <c r="AK254" i="4"/>
  <c r="AE256" i="4" l="1"/>
  <c r="AF257" i="4" s="1"/>
  <c r="AG258" i="4" s="1"/>
  <c r="AK255" i="4"/>
  <c r="AE257" i="4" l="1"/>
  <c r="AF258" i="4" s="1"/>
  <c r="AG259" i="4" s="1"/>
  <c r="AK256" i="4"/>
  <c r="AE258" i="4" l="1"/>
  <c r="AF259" i="4" s="1"/>
  <c r="AG260" i="4" s="1"/>
  <c r="AK257" i="4"/>
  <c r="AE259" i="4" l="1"/>
  <c r="AF260" i="4" s="1"/>
  <c r="AG261" i="4" s="1"/>
  <c r="AK258" i="4"/>
  <c r="AE260" i="4" l="1"/>
  <c r="AF261" i="4" s="1"/>
  <c r="AG262" i="4" s="1"/>
  <c r="AK259" i="4"/>
  <c r="AE261" i="4" l="1"/>
  <c r="AF262" i="4" s="1"/>
  <c r="AG263" i="4" s="1"/>
  <c r="AK260" i="4"/>
  <c r="AE262" i="4" l="1"/>
  <c r="AF263" i="4" s="1"/>
  <c r="AG264" i="4" s="1"/>
  <c r="AK261" i="4"/>
  <c r="AE263" i="4" l="1"/>
  <c r="AF264" i="4" s="1"/>
  <c r="AG265" i="4" s="1"/>
  <c r="AK262" i="4"/>
  <c r="AE264" i="4" l="1"/>
  <c r="AF265" i="4" s="1"/>
  <c r="AG266" i="4" s="1"/>
  <c r="AK263" i="4"/>
  <c r="AE265" i="4" l="1"/>
  <c r="AF266" i="4" s="1"/>
  <c r="AG267" i="4" s="1"/>
  <c r="AK264" i="4"/>
  <c r="AE266" i="4" l="1"/>
  <c r="AF267" i="4" s="1"/>
  <c r="AG268" i="4" s="1"/>
  <c r="AK265" i="4"/>
  <c r="AE267" i="4" l="1"/>
  <c r="AF268" i="4" s="1"/>
  <c r="AG269" i="4" s="1"/>
  <c r="AK266" i="4"/>
  <c r="AE268" i="4" l="1"/>
  <c r="AF269" i="4" s="1"/>
  <c r="AG270" i="4" s="1"/>
  <c r="AK267" i="4"/>
  <c r="AE269" i="4" l="1"/>
  <c r="AF270" i="4" s="1"/>
  <c r="AG271" i="4" s="1"/>
  <c r="AK268" i="4"/>
  <c r="AE270" i="4" l="1"/>
  <c r="AF271" i="4" s="1"/>
  <c r="AG272" i="4" s="1"/>
  <c r="AK269" i="4"/>
  <c r="AE271" i="4" l="1"/>
  <c r="AF272" i="4" s="1"/>
  <c r="AG273" i="4" s="1"/>
  <c r="AK270" i="4"/>
  <c r="AE272" i="4" l="1"/>
  <c r="AF273" i="4" s="1"/>
  <c r="AG274" i="4" s="1"/>
  <c r="AK271" i="4"/>
  <c r="AE273" i="4" l="1"/>
  <c r="AF274" i="4" s="1"/>
  <c r="AG275" i="4" s="1"/>
  <c r="AK272" i="4"/>
  <c r="AE274" i="4" l="1"/>
  <c r="AF275" i="4" s="1"/>
  <c r="AG276" i="4" s="1"/>
  <c r="AK273" i="4"/>
  <c r="AE275" i="4" l="1"/>
  <c r="AF276" i="4" s="1"/>
  <c r="AG277" i="4" s="1"/>
  <c r="AK274" i="4"/>
  <c r="AE276" i="4" l="1"/>
  <c r="AF277" i="4" s="1"/>
  <c r="AG278" i="4" s="1"/>
  <c r="AK275" i="4"/>
  <c r="AE277" i="4" l="1"/>
  <c r="AF278" i="4" s="1"/>
  <c r="AG279" i="4" s="1"/>
  <c r="AK276" i="4"/>
  <c r="AE278" i="4" l="1"/>
  <c r="AF279" i="4" s="1"/>
  <c r="AG280" i="4" s="1"/>
  <c r="AK277" i="4"/>
  <c r="AE279" i="4" l="1"/>
  <c r="AF280" i="4" s="1"/>
  <c r="AG281" i="4" s="1"/>
  <c r="AK278" i="4"/>
  <c r="AE280" i="4" l="1"/>
  <c r="AF281" i="4" s="1"/>
  <c r="AG282" i="4" s="1"/>
  <c r="AK279" i="4"/>
  <c r="AE281" i="4" l="1"/>
  <c r="AF282" i="4" s="1"/>
  <c r="AG283" i="4" s="1"/>
  <c r="AK280" i="4"/>
  <c r="AE282" i="4" l="1"/>
  <c r="AF283" i="4" s="1"/>
  <c r="AG284" i="4" s="1"/>
  <c r="AK281" i="4"/>
  <c r="AE283" i="4" l="1"/>
  <c r="AF284" i="4" s="1"/>
  <c r="AG285" i="4" s="1"/>
  <c r="AK282" i="4"/>
  <c r="AE284" i="4" l="1"/>
  <c r="AF285" i="4" s="1"/>
  <c r="AG286" i="4" s="1"/>
  <c r="AK283" i="4"/>
  <c r="AE285" i="4" l="1"/>
  <c r="AF286" i="4" s="1"/>
  <c r="AG287" i="4" s="1"/>
  <c r="AK284" i="4"/>
  <c r="AE286" i="4" l="1"/>
  <c r="AF287" i="4" s="1"/>
  <c r="AG288" i="4" s="1"/>
  <c r="AK285" i="4"/>
  <c r="AE287" i="4" l="1"/>
  <c r="AF288" i="4" s="1"/>
  <c r="AG289" i="4" s="1"/>
  <c r="AK286" i="4"/>
  <c r="AE288" i="4" l="1"/>
  <c r="AF289" i="4" s="1"/>
  <c r="AG290" i="4" s="1"/>
  <c r="AK287" i="4"/>
  <c r="AE289" i="4" l="1"/>
  <c r="AF290" i="4" s="1"/>
  <c r="AG291" i="4" s="1"/>
  <c r="AK288" i="4"/>
  <c r="AE290" i="4" l="1"/>
  <c r="AF291" i="4" s="1"/>
  <c r="AG292" i="4" s="1"/>
  <c r="AK289" i="4"/>
  <c r="AE291" i="4" l="1"/>
  <c r="AF292" i="4" s="1"/>
  <c r="AG293" i="4" s="1"/>
  <c r="AK290" i="4"/>
  <c r="AE292" i="4" l="1"/>
  <c r="AF293" i="4" s="1"/>
  <c r="AG294" i="4" s="1"/>
  <c r="AK291" i="4"/>
  <c r="AE293" i="4" l="1"/>
  <c r="AF294" i="4" s="1"/>
  <c r="AG295" i="4" s="1"/>
  <c r="AK292" i="4"/>
  <c r="AE294" i="4" l="1"/>
  <c r="AF295" i="4" s="1"/>
  <c r="AG296" i="4" s="1"/>
  <c r="AK293" i="4"/>
  <c r="AE295" i="4" l="1"/>
  <c r="AF296" i="4" s="1"/>
  <c r="AG297" i="4" s="1"/>
  <c r="AK294" i="4"/>
  <c r="AE296" i="4" l="1"/>
  <c r="AF297" i="4" s="1"/>
  <c r="AG298" i="4" s="1"/>
  <c r="AK295" i="4"/>
  <c r="AE297" i="4" l="1"/>
  <c r="AF298" i="4" s="1"/>
  <c r="AG299" i="4" s="1"/>
  <c r="AK296" i="4"/>
  <c r="AE298" i="4" l="1"/>
  <c r="AF299" i="4" s="1"/>
  <c r="AG300" i="4" s="1"/>
  <c r="AK297" i="4"/>
  <c r="AE299" i="4" l="1"/>
  <c r="AF300" i="4" s="1"/>
  <c r="AG301" i="4" s="1"/>
  <c r="AK298" i="4"/>
  <c r="AE300" i="4" l="1"/>
  <c r="AF301" i="4" s="1"/>
  <c r="AG302" i="4" s="1"/>
  <c r="AK299" i="4"/>
  <c r="AE301" i="4" l="1"/>
  <c r="AF302" i="4" s="1"/>
  <c r="AG303" i="4" s="1"/>
  <c r="AK300" i="4"/>
  <c r="AE302" i="4" l="1"/>
  <c r="AF303" i="4" s="1"/>
  <c r="AG304" i="4" s="1"/>
  <c r="AK301" i="4"/>
  <c r="AE303" i="4" l="1"/>
  <c r="AF304" i="4" s="1"/>
  <c r="AG305" i="4" s="1"/>
  <c r="AK302" i="4"/>
  <c r="AE304" i="4" l="1"/>
  <c r="AF305" i="4" s="1"/>
  <c r="AG306" i="4" s="1"/>
  <c r="AK303" i="4"/>
  <c r="AE305" i="4" l="1"/>
  <c r="AF306" i="4" s="1"/>
  <c r="AG307" i="4" s="1"/>
  <c r="AK304" i="4"/>
  <c r="AE306" i="4" l="1"/>
  <c r="AF307" i="4" s="1"/>
  <c r="AG308" i="4" s="1"/>
  <c r="AK305" i="4"/>
  <c r="AE307" i="4" l="1"/>
  <c r="AF308" i="4" s="1"/>
  <c r="AG309" i="4" s="1"/>
  <c r="AK306" i="4"/>
  <c r="AE308" i="4" l="1"/>
  <c r="AF309" i="4" s="1"/>
  <c r="AG310" i="4" s="1"/>
  <c r="AK307" i="4"/>
  <c r="AE309" i="4" l="1"/>
  <c r="AF310" i="4" s="1"/>
  <c r="AG311" i="4" s="1"/>
  <c r="AK308" i="4"/>
  <c r="AE310" i="4" l="1"/>
  <c r="AF311" i="4" s="1"/>
  <c r="AG312" i="4" s="1"/>
  <c r="AK309" i="4"/>
  <c r="AE311" i="4" l="1"/>
  <c r="AF312" i="4" s="1"/>
  <c r="AG313" i="4" s="1"/>
  <c r="AK310" i="4"/>
  <c r="AE312" i="4" l="1"/>
  <c r="AF313" i="4" s="1"/>
  <c r="AG314" i="4" s="1"/>
  <c r="AK311" i="4"/>
  <c r="AE313" i="4" l="1"/>
  <c r="AF314" i="4" s="1"/>
  <c r="AG315" i="4" s="1"/>
  <c r="AK312" i="4"/>
  <c r="AE314" i="4" l="1"/>
  <c r="AF315" i="4" s="1"/>
  <c r="AG316" i="4" s="1"/>
  <c r="AK313" i="4"/>
  <c r="AE315" i="4" l="1"/>
  <c r="AF316" i="4" s="1"/>
  <c r="AG317" i="4" s="1"/>
  <c r="AK314" i="4"/>
  <c r="AE316" i="4" l="1"/>
  <c r="AF317" i="4" s="1"/>
  <c r="AG318" i="4" s="1"/>
  <c r="AK315" i="4"/>
  <c r="AE317" i="4" l="1"/>
  <c r="AF318" i="4" s="1"/>
  <c r="AG319" i="4" s="1"/>
  <c r="AK316" i="4"/>
  <c r="AE318" i="4" l="1"/>
  <c r="AF319" i="4" s="1"/>
  <c r="AG320" i="4" s="1"/>
  <c r="AK317" i="4"/>
  <c r="AE319" i="4" l="1"/>
  <c r="AF320" i="4" s="1"/>
  <c r="AG321" i="4" s="1"/>
  <c r="AK318" i="4"/>
  <c r="AE320" i="4" l="1"/>
  <c r="AF321" i="4" s="1"/>
  <c r="AG322" i="4" s="1"/>
  <c r="AK319" i="4"/>
  <c r="AE321" i="4" l="1"/>
  <c r="AF322" i="4" s="1"/>
  <c r="AG323" i="4" s="1"/>
  <c r="AK320" i="4"/>
  <c r="AE322" i="4" l="1"/>
  <c r="AF323" i="4" s="1"/>
  <c r="AG324" i="4" s="1"/>
  <c r="AK321" i="4"/>
  <c r="AE323" i="4" l="1"/>
  <c r="AF324" i="4" s="1"/>
  <c r="AG325" i="4" s="1"/>
  <c r="AK322" i="4"/>
  <c r="AE324" i="4" l="1"/>
  <c r="AF325" i="4" s="1"/>
  <c r="AG326" i="4" s="1"/>
  <c r="AK323" i="4"/>
  <c r="AE325" i="4" l="1"/>
  <c r="AF326" i="4" s="1"/>
  <c r="AG327" i="4" s="1"/>
  <c r="AK324" i="4"/>
  <c r="AE326" i="4" l="1"/>
  <c r="AF327" i="4" s="1"/>
  <c r="AG328" i="4" s="1"/>
  <c r="AK325" i="4"/>
  <c r="AE327" i="4" l="1"/>
  <c r="AF328" i="4" s="1"/>
  <c r="AG329" i="4" s="1"/>
  <c r="AK326" i="4"/>
  <c r="AE328" i="4" l="1"/>
  <c r="AF329" i="4" s="1"/>
  <c r="AG330" i="4" s="1"/>
  <c r="AK327" i="4"/>
  <c r="AE329" i="4" l="1"/>
  <c r="AF330" i="4" s="1"/>
  <c r="AG331" i="4" s="1"/>
  <c r="AK328" i="4"/>
  <c r="AE330" i="4" l="1"/>
  <c r="AF331" i="4" s="1"/>
  <c r="AG332" i="4" s="1"/>
  <c r="AK329" i="4"/>
  <c r="AE331" i="4" l="1"/>
  <c r="AF332" i="4" s="1"/>
  <c r="AG333" i="4" s="1"/>
  <c r="AK330" i="4"/>
  <c r="AE332" i="4" l="1"/>
  <c r="AF333" i="4" s="1"/>
  <c r="AG334" i="4" s="1"/>
  <c r="AK331" i="4"/>
  <c r="AE333" i="4" l="1"/>
  <c r="AF334" i="4" s="1"/>
  <c r="AG335" i="4" s="1"/>
  <c r="AK332" i="4"/>
  <c r="AE334" i="4" l="1"/>
  <c r="AF335" i="4" s="1"/>
  <c r="AG336" i="4" s="1"/>
  <c r="AK333" i="4"/>
  <c r="AE335" i="4" l="1"/>
  <c r="AF336" i="4" s="1"/>
  <c r="AG337" i="4" s="1"/>
  <c r="AK334" i="4"/>
  <c r="AE336" i="4" l="1"/>
  <c r="AF337" i="4" s="1"/>
  <c r="AG338" i="4" s="1"/>
  <c r="AK335" i="4"/>
  <c r="AE337" i="4" l="1"/>
  <c r="AF338" i="4" s="1"/>
  <c r="AG339" i="4" s="1"/>
  <c r="AK336" i="4"/>
  <c r="AE338" i="4" l="1"/>
  <c r="AF339" i="4" s="1"/>
  <c r="AG340" i="4" s="1"/>
  <c r="AK337" i="4"/>
  <c r="AE339" i="4" l="1"/>
  <c r="AF340" i="4" s="1"/>
  <c r="AG341" i="4" s="1"/>
  <c r="AK338" i="4"/>
  <c r="AE340" i="4" l="1"/>
  <c r="AF341" i="4" s="1"/>
  <c r="AG342" i="4" s="1"/>
  <c r="AK339" i="4"/>
  <c r="AE341" i="4" l="1"/>
  <c r="AF342" i="4" s="1"/>
  <c r="AG343" i="4" s="1"/>
  <c r="AK340" i="4"/>
  <c r="AE342" i="4" l="1"/>
  <c r="AF343" i="4" s="1"/>
  <c r="AG344" i="4" s="1"/>
  <c r="AK341" i="4"/>
  <c r="AE343" i="4" l="1"/>
  <c r="AF344" i="4" s="1"/>
  <c r="AG345" i="4" s="1"/>
  <c r="AK342" i="4"/>
  <c r="AE344" i="4" l="1"/>
  <c r="AF345" i="4" s="1"/>
  <c r="AG346" i="4" s="1"/>
  <c r="AK343" i="4"/>
  <c r="AE345" i="4" l="1"/>
  <c r="AF346" i="4" s="1"/>
  <c r="AG347" i="4" s="1"/>
  <c r="AK344" i="4"/>
  <c r="AE346" i="4" l="1"/>
  <c r="AF347" i="4" s="1"/>
  <c r="AG348" i="4" s="1"/>
  <c r="AK345" i="4"/>
  <c r="AE347" i="4" l="1"/>
  <c r="AF348" i="4" s="1"/>
  <c r="AG349" i="4" s="1"/>
  <c r="AK346" i="4"/>
  <c r="AE348" i="4" l="1"/>
  <c r="AF349" i="4" s="1"/>
  <c r="AG350" i="4" s="1"/>
  <c r="AK347" i="4"/>
  <c r="AE349" i="4" l="1"/>
  <c r="AF350" i="4" s="1"/>
  <c r="AG351" i="4" s="1"/>
  <c r="AK348" i="4"/>
  <c r="AE350" i="4" l="1"/>
  <c r="AF351" i="4" s="1"/>
  <c r="AG352" i="4" s="1"/>
  <c r="AK349" i="4"/>
  <c r="AE351" i="4" l="1"/>
  <c r="AF352" i="4" s="1"/>
  <c r="AG353" i="4" s="1"/>
  <c r="AK350" i="4"/>
  <c r="AE352" i="4" l="1"/>
  <c r="AF353" i="4" s="1"/>
  <c r="AG354" i="4" s="1"/>
  <c r="AK351" i="4"/>
  <c r="AE353" i="4" l="1"/>
  <c r="AF354" i="4" s="1"/>
  <c r="AG355" i="4" s="1"/>
  <c r="AK352" i="4"/>
  <c r="AE354" i="4" l="1"/>
  <c r="AF355" i="4" s="1"/>
  <c r="AG356" i="4" s="1"/>
  <c r="AK353" i="4"/>
  <c r="AE355" i="4" l="1"/>
  <c r="AF356" i="4" s="1"/>
  <c r="AG357" i="4" s="1"/>
  <c r="AK354" i="4"/>
  <c r="AE356" i="4" l="1"/>
  <c r="AF357" i="4" s="1"/>
  <c r="AG358" i="4" s="1"/>
  <c r="AK355" i="4"/>
  <c r="AE357" i="4" l="1"/>
  <c r="AF358" i="4" s="1"/>
  <c r="AG359" i="4" s="1"/>
  <c r="AK356" i="4"/>
  <c r="AE358" i="4" l="1"/>
  <c r="AF359" i="4" s="1"/>
  <c r="AG360" i="4" s="1"/>
  <c r="AK357" i="4"/>
  <c r="AE359" i="4" l="1"/>
  <c r="AF360" i="4" s="1"/>
  <c r="AG361" i="4" s="1"/>
  <c r="AK358" i="4"/>
  <c r="AE360" i="4" l="1"/>
  <c r="AF361" i="4" s="1"/>
  <c r="AG362" i="4" s="1"/>
  <c r="AK359" i="4"/>
  <c r="AE361" i="4" l="1"/>
  <c r="AF362" i="4" s="1"/>
  <c r="AG363" i="4" s="1"/>
  <c r="AK360" i="4"/>
  <c r="AE362" i="4" l="1"/>
  <c r="AF363" i="4" s="1"/>
  <c r="AG364" i="4" s="1"/>
  <c r="AK361" i="4"/>
  <c r="AE363" i="4" l="1"/>
  <c r="AF364" i="4" s="1"/>
  <c r="AG365" i="4" s="1"/>
  <c r="AK362" i="4"/>
  <c r="AE364" i="4" l="1"/>
  <c r="AF365" i="4" s="1"/>
  <c r="AG366" i="4" s="1"/>
  <c r="AK363" i="4"/>
  <c r="AE365" i="4" l="1"/>
  <c r="AF366" i="4" s="1"/>
  <c r="AG367" i="4" s="1"/>
  <c r="AK364" i="4"/>
  <c r="AE366" i="4" l="1"/>
  <c r="AF367" i="4" s="1"/>
  <c r="AG368" i="4" s="1"/>
  <c r="AK365" i="4"/>
  <c r="AE367" i="4" l="1"/>
  <c r="AF368" i="4" s="1"/>
  <c r="AG369" i="4" s="1"/>
  <c r="AK366" i="4"/>
  <c r="AE368" i="4" l="1"/>
  <c r="AF369" i="4" s="1"/>
  <c r="AG370" i="4" s="1"/>
  <c r="AK367" i="4"/>
  <c r="AE369" i="4" l="1"/>
  <c r="AF370" i="4" s="1"/>
  <c r="AG371" i="4" s="1"/>
  <c r="AK368" i="4"/>
  <c r="AE370" i="4" l="1"/>
  <c r="AF371" i="4" s="1"/>
  <c r="AG372" i="4" s="1"/>
  <c r="AK369" i="4"/>
  <c r="AE371" i="4" l="1"/>
  <c r="AF372" i="4" s="1"/>
  <c r="AG373" i="4" s="1"/>
  <c r="AK370" i="4"/>
  <c r="AE372" i="4" l="1"/>
  <c r="AF373" i="4" s="1"/>
  <c r="AG374" i="4" s="1"/>
  <c r="AK371" i="4"/>
  <c r="AE373" i="4" l="1"/>
  <c r="AF374" i="4" s="1"/>
  <c r="AG375" i="4" s="1"/>
  <c r="AK372" i="4"/>
  <c r="AE374" i="4" l="1"/>
  <c r="AF375" i="4" s="1"/>
  <c r="AG376" i="4" s="1"/>
  <c r="AK373" i="4"/>
  <c r="AE375" i="4" l="1"/>
  <c r="AF376" i="4" s="1"/>
  <c r="AG377" i="4" s="1"/>
  <c r="AK374" i="4"/>
  <c r="AE376" i="4" l="1"/>
  <c r="AF377" i="4" s="1"/>
  <c r="AG378" i="4" s="1"/>
  <c r="AK375" i="4"/>
  <c r="AE377" i="4" l="1"/>
  <c r="AF378" i="4" s="1"/>
  <c r="AG379" i="4" s="1"/>
  <c r="AK376" i="4"/>
  <c r="AE378" i="4" l="1"/>
  <c r="AF379" i="4" s="1"/>
  <c r="AG380" i="4" s="1"/>
  <c r="AK377" i="4"/>
  <c r="AE379" i="4" l="1"/>
  <c r="AF380" i="4" s="1"/>
  <c r="AG381" i="4" s="1"/>
  <c r="AK378" i="4"/>
  <c r="AE380" i="4" l="1"/>
  <c r="AF381" i="4" s="1"/>
  <c r="AG382" i="4" s="1"/>
  <c r="AK379" i="4"/>
  <c r="AE381" i="4" l="1"/>
  <c r="AF382" i="4" s="1"/>
  <c r="AG383" i="4" s="1"/>
  <c r="AK380" i="4"/>
  <c r="AE382" i="4" l="1"/>
  <c r="AF383" i="4" s="1"/>
  <c r="AG384" i="4" s="1"/>
  <c r="AK381" i="4"/>
  <c r="AE383" i="4" l="1"/>
  <c r="AF384" i="4" s="1"/>
  <c r="AG385" i="4" s="1"/>
  <c r="AK382" i="4"/>
  <c r="AE384" i="4" l="1"/>
  <c r="AF385" i="4" s="1"/>
  <c r="AG386" i="4" s="1"/>
  <c r="AK383" i="4"/>
  <c r="AE385" i="4" l="1"/>
  <c r="AF386" i="4" s="1"/>
  <c r="AG387" i="4" s="1"/>
  <c r="AK384" i="4"/>
  <c r="AE386" i="4" l="1"/>
  <c r="AF387" i="4" s="1"/>
  <c r="AG388" i="4" s="1"/>
  <c r="AK385" i="4"/>
  <c r="AE387" i="4" l="1"/>
  <c r="AF388" i="4" s="1"/>
  <c r="AG389" i="4" s="1"/>
  <c r="AK386" i="4"/>
  <c r="AE388" i="4" l="1"/>
  <c r="AF389" i="4" s="1"/>
  <c r="AG390" i="4" s="1"/>
  <c r="AK387" i="4"/>
  <c r="AE389" i="4" l="1"/>
  <c r="AF390" i="4" s="1"/>
  <c r="AG391" i="4" s="1"/>
  <c r="AK388" i="4"/>
  <c r="AE390" i="4" l="1"/>
  <c r="AF391" i="4" s="1"/>
  <c r="AG392" i="4" s="1"/>
  <c r="AK389" i="4"/>
  <c r="AE391" i="4" l="1"/>
  <c r="AF392" i="4" s="1"/>
  <c r="AG393" i="4" s="1"/>
  <c r="AK390" i="4"/>
  <c r="AE392" i="4" l="1"/>
  <c r="AF393" i="4" s="1"/>
  <c r="AG394" i="4" s="1"/>
  <c r="AK391" i="4"/>
  <c r="AE393" i="4" l="1"/>
  <c r="AF394" i="4" s="1"/>
  <c r="AG395" i="4" s="1"/>
  <c r="AK392" i="4"/>
  <c r="AE394" i="4" l="1"/>
  <c r="AF395" i="4" s="1"/>
  <c r="AG396" i="4" s="1"/>
  <c r="AK393" i="4"/>
  <c r="AE395" i="4" l="1"/>
  <c r="AF396" i="4" s="1"/>
  <c r="AG397" i="4" s="1"/>
  <c r="AK394" i="4"/>
  <c r="AE396" i="4" l="1"/>
  <c r="AF397" i="4" s="1"/>
  <c r="AG398" i="4" s="1"/>
  <c r="AK395" i="4"/>
  <c r="AE397" i="4" l="1"/>
  <c r="AF398" i="4" s="1"/>
  <c r="AG399" i="4" s="1"/>
  <c r="AK396" i="4"/>
  <c r="AE398" i="4" l="1"/>
  <c r="AF399" i="4" s="1"/>
  <c r="AG400" i="4" s="1"/>
  <c r="AK397" i="4"/>
  <c r="AE399" i="4" l="1"/>
  <c r="AF400" i="4" s="1"/>
  <c r="AG401" i="4" s="1"/>
  <c r="AK398" i="4"/>
  <c r="AE400" i="4" l="1"/>
  <c r="AF401" i="4" s="1"/>
  <c r="AG402" i="4" s="1"/>
  <c r="AK399" i="4"/>
  <c r="AE401" i="4" l="1"/>
  <c r="AF402" i="4" s="1"/>
  <c r="AG403" i="4" s="1"/>
  <c r="AK400" i="4"/>
  <c r="AE402" i="4" l="1"/>
  <c r="AF403" i="4" s="1"/>
  <c r="AG404" i="4" s="1"/>
  <c r="AK401" i="4"/>
  <c r="AE403" i="4" l="1"/>
  <c r="AF404" i="4" s="1"/>
  <c r="AG405" i="4" s="1"/>
  <c r="AK402" i="4"/>
  <c r="AE404" i="4" l="1"/>
  <c r="AF405" i="4" s="1"/>
  <c r="AG406" i="4" s="1"/>
  <c r="AK403" i="4"/>
  <c r="AE405" i="4" l="1"/>
  <c r="AF406" i="4" s="1"/>
  <c r="AG407" i="4" s="1"/>
  <c r="AK404" i="4"/>
  <c r="AE406" i="4" l="1"/>
  <c r="AF407" i="4" s="1"/>
  <c r="AG408" i="4" s="1"/>
  <c r="AK405" i="4"/>
  <c r="AE407" i="4" l="1"/>
  <c r="AF408" i="4" s="1"/>
  <c r="AG409" i="4" s="1"/>
  <c r="AK406" i="4"/>
  <c r="AE408" i="4" l="1"/>
  <c r="AF409" i="4" s="1"/>
  <c r="AG410" i="4" s="1"/>
  <c r="AK407" i="4"/>
  <c r="AE409" i="4" l="1"/>
  <c r="AF410" i="4" s="1"/>
  <c r="AG411" i="4" s="1"/>
  <c r="AK408" i="4"/>
  <c r="AE410" i="4" l="1"/>
  <c r="AF411" i="4" s="1"/>
  <c r="AG412" i="4" s="1"/>
  <c r="AK409" i="4"/>
  <c r="AE411" i="4" l="1"/>
  <c r="AF412" i="4" s="1"/>
  <c r="AG413" i="4" s="1"/>
  <c r="AK410" i="4"/>
  <c r="AE412" i="4" l="1"/>
  <c r="AF413" i="4" s="1"/>
  <c r="AG414" i="4" s="1"/>
  <c r="AK411" i="4"/>
  <c r="AE413" i="4" l="1"/>
  <c r="AF414" i="4" s="1"/>
  <c r="AG415" i="4" s="1"/>
  <c r="AK412" i="4"/>
  <c r="AE414" i="4" l="1"/>
  <c r="AF415" i="4" s="1"/>
  <c r="AG416" i="4" s="1"/>
  <c r="AK413" i="4"/>
  <c r="AE415" i="4" l="1"/>
  <c r="AF416" i="4" s="1"/>
  <c r="AG417" i="4" s="1"/>
  <c r="AK414" i="4"/>
  <c r="AE416" i="4" l="1"/>
  <c r="AF417" i="4" s="1"/>
  <c r="AG418" i="4" s="1"/>
  <c r="AK415" i="4"/>
  <c r="AE417" i="4" l="1"/>
  <c r="AF418" i="4" s="1"/>
  <c r="AG419" i="4" s="1"/>
  <c r="AK416" i="4"/>
  <c r="AE418" i="4" l="1"/>
  <c r="AF419" i="4" s="1"/>
  <c r="AG420" i="4" s="1"/>
  <c r="AK417" i="4"/>
  <c r="AE419" i="4" l="1"/>
  <c r="AF420" i="4" s="1"/>
  <c r="AG421" i="4" s="1"/>
  <c r="AK418" i="4"/>
  <c r="AE420" i="4" l="1"/>
  <c r="AF421" i="4" s="1"/>
  <c r="AG422" i="4" s="1"/>
  <c r="AK419" i="4"/>
  <c r="AE421" i="4" l="1"/>
  <c r="AF422" i="4" s="1"/>
  <c r="AG423" i="4" s="1"/>
  <c r="AK420" i="4"/>
  <c r="AE422" i="4" l="1"/>
  <c r="AF423" i="4" s="1"/>
  <c r="AG424" i="4" s="1"/>
  <c r="AK421" i="4"/>
  <c r="AE423" i="4" l="1"/>
  <c r="AF424" i="4" s="1"/>
  <c r="AG425" i="4" s="1"/>
  <c r="AK422" i="4"/>
  <c r="AE424" i="4" l="1"/>
  <c r="AF425" i="4" s="1"/>
  <c r="AG426" i="4" s="1"/>
  <c r="AK423" i="4"/>
  <c r="AE425" i="4" l="1"/>
  <c r="AF426" i="4" s="1"/>
  <c r="AG427" i="4" s="1"/>
  <c r="AK424" i="4"/>
  <c r="AE426" i="4" l="1"/>
  <c r="AF427" i="4" s="1"/>
  <c r="AG428" i="4" s="1"/>
  <c r="AK425" i="4"/>
  <c r="AE427" i="4" l="1"/>
  <c r="AF428" i="4" s="1"/>
  <c r="AG429" i="4" s="1"/>
  <c r="AK426" i="4"/>
  <c r="AE428" i="4" l="1"/>
  <c r="AF429" i="4" s="1"/>
  <c r="AG430" i="4" s="1"/>
  <c r="AK427" i="4"/>
  <c r="AE429" i="4" l="1"/>
  <c r="AF430" i="4" s="1"/>
  <c r="AG431" i="4" s="1"/>
  <c r="AK428" i="4"/>
  <c r="AE430" i="4" l="1"/>
  <c r="AF431" i="4" s="1"/>
  <c r="AG432" i="4" s="1"/>
  <c r="AK429" i="4"/>
  <c r="AE431" i="4" l="1"/>
  <c r="AF432" i="4" s="1"/>
  <c r="AG433" i="4" s="1"/>
  <c r="AK430" i="4"/>
  <c r="AE432" i="4" l="1"/>
  <c r="AF433" i="4" s="1"/>
  <c r="AG434" i="4" s="1"/>
  <c r="AK431" i="4"/>
  <c r="AE433" i="4" l="1"/>
  <c r="AF434" i="4" s="1"/>
  <c r="AG435" i="4" s="1"/>
  <c r="AK432" i="4"/>
  <c r="AE434" i="4" l="1"/>
  <c r="AF435" i="4" s="1"/>
  <c r="AG436" i="4" s="1"/>
  <c r="AK433" i="4"/>
  <c r="AE435" i="4" l="1"/>
  <c r="AF436" i="4" s="1"/>
  <c r="AG437" i="4" s="1"/>
  <c r="AK434" i="4"/>
  <c r="AE436" i="4" l="1"/>
  <c r="AF437" i="4" s="1"/>
  <c r="AG438" i="4" s="1"/>
  <c r="AK435" i="4"/>
  <c r="AE437" i="4" l="1"/>
  <c r="AF438" i="4" s="1"/>
  <c r="AG439" i="4" s="1"/>
  <c r="AK436" i="4"/>
  <c r="AE438" i="4" l="1"/>
  <c r="AF439" i="4" s="1"/>
  <c r="AG440" i="4" s="1"/>
  <c r="AK437" i="4"/>
  <c r="AE439" i="4" l="1"/>
  <c r="AF440" i="4" s="1"/>
  <c r="AG441" i="4" s="1"/>
  <c r="AK438" i="4"/>
  <c r="AE440" i="4" l="1"/>
  <c r="AF441" i="4" s="1"/>
  <c r="AG442" i="4" s="1"/>
  <c r="AK439" i="4"/>
  <c r="AE441" i="4" l="1"/>
  <c r="AF442" i="4" s="1"/>
  <c r="AG443" i="4" s="1"/>
  <c r="AK440" i="4"/>
  <c r="AE442" i="4" l="1"/>
  <c r="AF443" i="4" s="1"/>
  <c r="AG444" i="4" s="1"/>
  <c r="AK441" i="4"/>
  <c r="AE443" i="4" l="1"/>
  <c r="AF444" i="4" s="1"/>
  <c r="AG445" i="4" s="1"/>
  <c r="AK442" i="4"/>
  <c r="AE444" i="4" l="1"/>
  <c r="AF445" i="4" s="1"/>
  <c r="AG446" i="4" s="1"/>
  <c r="AK443" i="4"/>
  <c r="AE445" i="4" l="1"/>
  <c r="AF446" i="4" s="1"/>
  <c r="AG447" i="4" s="1"/>
  <c r="AK444" i="4"/>
  <c r="AE446" i="4" l="1"/>
  <c r="AF447" i="4" s="1"/>
  <c r="AG448" i="4" s="1"/>
  <c r="AK445" i="4"/>
  <c r="AE447" i="4" l="1"/>
  <c r="AF448" i="4" s="1"/>
  <c r="AG449" i="4" s="1"/>
  <c r="AK446" i="4"/>
  <c r="AE448" i="4" l="1"/>
  <c r="AF449" i="4" s="1"/>
  <c r="AG450" i="4" s="1"/>
  <c r="AK447" i="4"/>
  <c r="AE449" i="4" l="1"/>
  <c r="AF450" i="4" s="1"/>
  <c r="AG451" i="4" s="1"/>
  <c r="AK448" i="4"/>
  <c r="AE450" i="4" l="1"/>
  <c r="AF451" i="4" s="1"/>
  <c r="AG452" i="4" s="1"/>
  <c r="AK449" i="4"/>
  <c r="AE451" i="4" l="1"/>
  <c r="AF452" i="4" s="1"/>
  <c r="AG453" i="4" s="1"/>
  <c r="AK450" i="4"/>
  <c r="AE452" i="4" l="1"/>
  <c r="AF453" i="4" s="1"/>
  <c r="AG454" i="4" s="1"/>
  <c r="AK451" i="4"/>
  <c r="AE453" i="4" l="1"/>
  <c r="AF454" i="4" s="1"/>
  <c r="AG455" i="4" s="1"/>
  <c r="AK452" i="4"/>
  <c r="AE454" i="4" l="1"/>
  <c r="AF455" i="4" s="1"/>
  <c r="AG456" i="4" s="1"/>
  <c r="AK453" i="4"/>
  <c r="AE455" i="4" l="1"/>
  <c r="AF456" i="4" s="1"/>
  <c r="AG457" i="4" s="1"/>
  <c r="AK454" i="4"/>
  <c r="AE456" i="4" l="1"/>
  <c r="AF457" i="4" s="1"/>
  <c r="AG458" i="4" s="1"/>
  <c r="AK455" i="4"/>
  <c r="AE457" i="4" l="1"/>
  <c r="AF458" i="4" s="1"/>
  <c r="AG459" i="4" s="1"/>
  <c r="AK456" i="4"/>
  <c r="AE458" i="4" l="1"/>
  <c r="AF459" i="4" s="1"/>
  <c r="AG460" i="4" s="1"/>
  <c r="AK457" i="4"/>
  <c r="AE459" i="4" l="1"/>
  <c r="AF460" i="4" s="1"/>
  <c r="AG461" i="4" s="1"/>
  <c r="AK458" i="4"/>
  <c r="AE460" i="4" l="1"/>
  <c r="AF461" i="4" s="1"/>
  <c r="AG462" i="4" s="1"/>
  <c r="AK459" i="4"/>
  <c r="AE461" i="4" l="1"/>
  <c r="AF462" i="4" s="1"/>
  <c r="AG463" i="4" s="1"/>
  <c r="AK460" i="4"/>
  <c r="AE462" i="4" l="1"/>
  <c r="AF463" i="4" s="1"/>
  <c r="AG464" i="4" s="1"/>
  <c r="AK461" i="4"/>
  <c r="AE463" i="4" l="1"/>
  <c r="AF464" i="4" s="1"/>
  <c r="AG465" i="4" s="1"/>
  <c r="AK462" i="4"/>
  <c r="AE464" i="4" l="1"/>
  <c r="AF465" i="4" s="1"/>
  <c r="AG466" i="4" s="1"/>
  <c r="AK463" i="4"/>
  <c r="AE465" i="4" l="1"/>
  <c r="AF466" i="4" s="1"/>
  <c r="AG467" i="4" s="1"/>
  <c r="AK464" i="4"/>
  <c r="AE466" i="4" l="1"/>
  <c r="AF467" i="4" s="1"/>
  <c r="AG468" i="4" s="1"/>
  <c r="AK465" i="4"/>
  <c r="AE467" i="4" l="1"/>
  <c r="AF468" i="4" s="1"/>
  <c r="AG469" i="4" s="1"/>
  <c r="AK466" i="4"/>
  <c r="AE468" i="4" l="1"/>
  <c r="AF469" i="4" s="1"/>
  <c r="AG470" i="4" s="1"/>
  <c r="AK467" i="4"/>
  <c r="AE469" i="4" l="1"/>
  <c r="AF470" i="4" s="1"/>
  <c r="AG471" i="4" s="1"/>
  <c r="AK468" i="4"/>
  <c r="AE470" i="4" l="1"/>
  <c r="AF471" i="4" s="1"/>
  <c r="AG472" i="4" s="1"/>
  <c r="AK469" i="4"/>
  <c r="AE471" i="4" l="1"/>
  <c r="AF472" i="4" s="1"/>
  <c r="AG473" i="4" s="1"/>
  <c r="AK470" i="4"/>
  <c r="AE472" i="4" l="1"/>
  <c r="AF473" i="4" s="1"/>
  <c r="AG474" i="4" s="1"/>
  <c r="AK471" i="4"/>
  <c r="AE473" i="4" l="1"/>
  <c r="AF474" i="4" s="1"/>
  <c r="AG475" i="4" s="1"/>
  <c r="AK472" i="4"/>
  <c r="AE474" i="4" l="1"/>
  <c r="AF475" i="4" s="1"/>
  <c r="AG476" i="4" s="1"/>
  <c r="AK473" i="4"/>
  <c r="AE475" i="4" l="1"/>
  <c r="AF476" i="4" s="1"/>
  <c r="AG477" i="4" s="1"/>
  <c r="AK474" i="4"/>
  <c r="AE476" i="4" l="1"/>
  <c r="AF477" i="4" s="1"/>
  <c r="AG478" i="4" s="1"/>
  <c r="AK475" i="4"/>
  <c r="AE477" i="4" l="1"/>
  <c r="AF478" i="4" s="1"/>
  <c r="AG479" i="4" s="1"/>
  <c r="AK476" i="4"/>
  <c r="AE478" i="4" l="1"/>
  <c r="AF479" i="4" s="1"/>
  <c r="AG480" i="4" s="1"/>
  <c r="AK477" i="4"/>
  <c r="AE479" i="4" l="1"/>
  <c r="AF480" i="4" s="1"/>
  <c r="AG481" i="4" s="1"/>
  <c r="AK478" i="4"/>
  <c r="AE480" i="4" l="1"/>
  <c r="AF481" i="4" s="1"/>
  <c r="AG482" i="4" s="1"/>
  <c r="AK479" i="4"/>
  <c r="AE481" i="4" l="1"/>
  <c r="AF482" i="4" s="1"/>
  <c r="AG483" i="4" s="1"/>
  <c r="AK480" i="4"/>
  <c r="AE482" i="4" l="1"/>
  <c r="AF483" i="4" s="1"/>
  <c r="AG484" i="4" s="1"/>
  <c r="AK481" i="4"/>
  <c r="AE483" i="4" l="1"/>
  <c r="AF484" i="4" s="1"/>
  <c r="AG485" i="4" s="1"/>
  <c r="AK482" i="4"/>
  <c r="AE484" i="4" l="1"/>
  <c r="AF485" i="4" s="1"/>
  <c r="AG486" i="4" s="1"/>
  <c r="AK483" i="4"/>
  <c r="AE485" i="4" l="1"/>
  <c r="AF486" i="4" s="1"/>
  <c r="AG487" i="4" s="1"/>
  <c r="AK484" i="4"/>
  <c r="AE486" i="4" l="1"/>
  <c r="AF487" i="4" s="1"/>
  <c r="AG488" i="4" s="1"/>
  <c r="AK485" i="4"/>
  <c r="AE487" i="4" l="1"/>
  <c r="AF488" i="4" s="1"/>
  <c r="AG489" i="4" s="1"/>
  <c r="AK486" i="4"/>
  <c r="AE488" i="4" l="1"/>
  <c r="AF489" i="4" s="1"/>
  <c r="AG490" i="4" s="1"/>
  <c r="AK487" i="4"/>
  <c r="AE489" i="4" l="1"/>
  <c r="AF490" i="4" s="1"/>
  <c r="AG491" i="4" s="1"/>
  <c r="AK488" i="4"/>
  <c r="AE490" i="4" l="1"/>
  <c r="AF491" i="4" s="1"/>
  <c r="AG492" i="4" s="1"/>
  <c r="AK489" i="4"/>
  <c r="AE491" i="4" l="1"/>
  <c r="AF492" i="4" s="1"/>
  <c r="AG493" i="4" s="1"/>
  <c r="AK490" i="4"/>
  <c r="AE492" i="4" l="1"/>
  <c r="AF493" i="4" s="1"/>
  <c r="AG494" i="4" s="1"/>
  <c r="AK491" i="4"/>
  <c r="AE493" i="4" l="1"/>
  <c r="AF494" i="4" s="1"/>
  <c r="AG495" i="4" s="1"/>
  <c r="AK492" i="4"/>
  <c r="AE494" i="4" l="1"/>
  <c r="AF495" i="4" s="1"/>
  <c r="AG496" i="4" s="1"/>
  <c r="AK493" i="4"/>
  <c r="AE495" i="4" l="1"/>
  <c r="AF496" i="4" s="1"/>
  <c r="AG497" i="4" s="1"/>
  <c r="AK494" i="4"/>
  <c r="AE496" i="4" l="1"/>
  <c r="AF497" i="4" s="1"/>
  <c r="AG498" i="4" s="1"/>
  <c r="AK495" i="4"/>
  <c r="AE497" i="4" l="1"/>
  <c r="AF498" i="4" s="1"/>
  <c r="AG499" i="4" s="1"/>
  <c r="AK496" i="4"/>
  <c r="AE498" i="4" l="1"/>
  <c r="AF499" i="4" s="1"/>
  <c r="AG500" i="4" s="1"/>
  <c r="AK497" i="4"/>
  <c r="AE499" i="4" l="1"/>
  <c r="AF500" i="4" s="1"/>
  <c r="AG501" i="4" s="1"/>
  <c r="AK498" i="4"/>
  <c r="AE500" i="4" l="1"/>
  <c r="AF501" i="4" s="1"/>
  <c r="AG502" i="4" s="1"/>
  <c r="AK499" i="4"/>
  <c r="AE501" i="4" l="1"/>
  <c r="AF502" i="4" s="1"/>
  <c r="AG503" i="4" s="1"/>
  <c r="AK500" i="4"/>
  <c r="AE502" i="4" l="1"/>
  <c r="AF503" i="4" s="1"/>
  <c r="AG504" i="4" s="1"/>
  <c r="AK501" i="4"/>
  <c r="AE503" i="4" l="1"/>
  <c r="AF504" i="4" s="1"/>
  <c r="AG505" i="4" s="1"/>
  <c r="AK502" i="4"/>
  <c r="AE504" i="4" l="1"/>
  <c r="AF505" i="4" s="1"/>
  <c r="AG506" i="4" s="1"/>
  <c r="AK503" i="4"/>
  <c r="AE505" i="4" l="1"/>
  <c r="AF506" i="4" s="1"/>
  <c r="AG507" i="4" s="1"/>
  <c r="AK504" i="4"/>
  <c r="AE506" i="4" l="1"/>
  <c r="AF507" i="4" s="1"/>
  <c r="AG508" i="4" s="1"/>
  <c r="AK505" i="4"/>
  <c r="AE507" i="4" l="1"/>
  <c r="AF508" i="4" s="1"/>
  <c r="AG509" i="4" s="1"/>
  <c r="AK506" i="4"/>
  <c r="AE508" i="4" l="1"/>
  <c r="AF509" i="4" s="1"/>
  <c r="AG510" i="4" s="1"/>
  <c r="AK507" i="4"/>
  <c r="AE509" i="4" l="1"/>
  <c r="AF510" i="4" s="1"/>
  <c r="AG511" i="4" s="1"/>
  <c r="AK508" i="4"/>
  <c r="AE510" i="4" l="1"/>
  <c r="AF511" i="4" s="1"/>
  <c r="AG512" i="4" s="1"/>
  <c r="AK509" i="4"/>
  <c r="AE511" i="4" l="1"/>
  <c r="AF512" i="4" s="1"/>
  <c r="AG513" i="4" s="1"/>
  <c r="AK510" i="4"/>
  <c r="AE512" i="4" l="1"/>
  <c r="AF513" i="4" s="1"/>
  <c r="AG514" i="4" s="1"/>
  <c r="AK511" i="4"/>
  <c r="AE513" i="4" l="1"/>
  <c r="AF514" i="4" s="1"/>
  <c r="AG515" i="4" s="1"/>
  <c r="AK512" i="4"/>
  <c r="AE514" i="4" l="1"/>
  <c r="AF515" i="4" s="1"/>
  <c r="AG516" i="4" s="1"/>
  <c r="AK513" i="4"/>
  <c r="AE515" i="4" l="1"/>
  <c r="AF516" i="4" s="1"/>
  <c r="AG517" i="4" s="1"/>
  <c r="AK514" i="4"/>
  <c r="AE516" i="4" l="1"/>
  <c r="AF517" i="4" s="1"/>
  <c r="AG518" i="4" s="1"/>
  <c r="AK515" i="4"/>
  <c r="AE517" i="4" l="1"/>
  <c r="AF518" i="4" s="1"/>
  <c r="AG519" i="4" s="1"/>
  <c r="AK516" i="4"/>
  <c r="AE518" i="4" l="1"/>
  <c r="AF519" i="4" s="1"/>
  <c r="AG520" i="4" s="1"/>
  <c r="AK517" i="4"/>
  <c r="AE519" i="4" l="1"/>
  <c r="AF520" i="4" s="1"/>
  <c r="AG521" i="4" s="1"/>
  <c r="AK518" i="4"/>
  <c r="AE520" i="4" l="1"/>
  <c r="AF521" i="4" s="1"/>
  <c r="AG522" i="4" s="1"/>
  <c r="AK519" i="4"/>
  <c r="AE521" i="4" l="1"/>
  <c r="AF522" i="4" s="1"/>
  <c r="AG523" i="4" s="1"/>
  <c r="AK520" i="4"/>
  <c r="AE522" i="4" l="1"/>
  <c r="AF523" i="4" s="1"/>
  <c r="AG524" i="4" s="1"/>
  <c r="AK521" i="4"/>
  <c r="AE523" i="4" l="1"/>
  <c r="AF524" i="4" s="1"/>
  <c r="AG525" i="4" s="1"/>
  <c r="AK522" i="4"/>
  <c r="AE524" i="4" l="1"/>
  <c r="AF525" i="4" s="1"/>
  <c r="AG526" i="4" s="1"/>
  <c r="AK523" i="4"/>
  <c r="AE525" i="4" l="1"/>
  <c r="AF526" i="4" s="1"/>
  <c r="AG527" i="4" s="1"/>
  <c r="AK524" i="4"/>
  <c r="AE526" i="4" l="1"/>
  <c r="AF527" i="4" s="1"/>
  <c r="AG528" i="4" s="1"/>
  <c r="AK525" i="4"/>
  <c r="AE527" i="4" l="1"/>
  <c r="AF528" i="4" s="1"/>
  <c r="AG529" i="4" s="1"/>
  <c r="AK526" i="4"/>
  <c r="AE528" i="4" l="1"/>
  <c r="AF529" i="4" s="1"/>
  <c r="AG530" i="4" s="1"/>
  <c r="AK527" i="4"/>
  <c r="AE529" i="4" l="1"/>
  <c r="AF530" i="4" s="1"/>
  <c r="AG531" i="4" s="1"/>
  <c r="AK528" i="4"/>
  <c r="AE530" i="4" l="1"/>
  <c r="AF531" i="4" s="1"/>
  <c r="AG532" i="4" s="1"/>
  <c r="AK529" i="4"/>
  <c r="AE531" i="4" l="1"/>
  <c r="AF532" i="4" s="1"/>
  <c r="AG533" i="4" s="1"/>
  <c r="AK530" i="4"/>
  <c r="AE532" i="4" l="1"/>
  <c r="AF533" i="4" s="1"/>
  <c r="AG534" i="4" s="1"/>
  <c r="AK531" i="4"/>
  <c r="AE533" i="4" l="1"/>
  <c r="AF534" i="4" s="1"/>
  <c r="AG535" i="4" s="1"/>
  <c r="AK532" i="4"/>
  <c r="AE534" i="4" l="1"/>
  <c r="AF535" i="4" s="1"/>
  <c r="AG536" i="4" s="1"/>
  <c r="AK533" i="4"/>
  <c r="AE535" i="4" l="1"/>
  <c r="AF536" i="4" s="1"/>
  <c r="AG537" i="4" s="1"/>
  <c r="AK534" i="4"/>
  <c r="AE536" i="4" l="1"/>
  <c r="AF537" i="4" s="1"/>
  <c r="AG538" i="4" s="1"/>
  <c r="AK535" i="4"/>
  <c r="AE537" i="4" l="1"/>
  <c r="AF538" i="4" s="1"/>
  <c r="AG539" i="4" s="1"/>
  <c r="AK536" i="4"/>
  <c r="AE538" i="4" l="1"/>
  <c r="AF539" i="4" s="1"/>
  <c r="AG540" i="4" s="1"/>
  <c r="AK537" i="4"/>
  <c r="AE539" i="4" l="1"/>
  <c r="AF540" i="4" s="1"/>
  <c r="AG541" i="4" s="1"/>
  <c r="AK538" i="4"/>
  <c r="AE540" i="4" l="1"/>
  <c r="AF541" i="4" s="1"/>
  <c r="AG542" i="4" s="1"/>
  <c r="AK539" i="4"/>
  <c r="AE541" i="4" l="1"/>
  <c r="AF542" i="4" s="1"/>
  <c r="AG543" i="4" s="1"/>
  <c r="AK540" i="4"/>
  <c r="AE542" i="4" l="1"/>
  <c r="AF543" i="4" s="1"/>
  <c r="AG544" i="4" s="1"/>
  <c r="AK541" i="4"/>
  <c r="AE543" i="4" l="1"/>
  <c r="AF544" i="4" s="1"/>
  <c r="AG545" i="4" s="1"/>
  <c r="AK542" i="4"/>
  <c r="AE544" i="4" l="1"/>
  <c r="AF545" i="4" s="1"/>
  <c r="AG546" i="4" s="1"/>
  <c r="AK543" i="4"/>
  <c r="AE545" i="4" l="1"/>
  <c r="AF546" i="4" s="1"/>
  <c r="AG547" i="4" s="1"/>
  <c r="AK544" i="4"/>
  <c r="AE546" i="4" l="1"/>
  <c r="AF547" i="4" s="1"/>
  <c r="AG548" i="4" s="1"/>
  <c r="AK545" i="4"/>
  <c r="AE547" i="4" l="1"/>
  <c r="AF548" i="4" s="1"/>
  <c r="AG549" i="4" s="1"/>
  <c r="AK546" i="4"/>
  <c r="AE548" i="4" l="1"/>
  <c r="AF549" i="4" s="1"/>
  <c r="AG550" i="4" s="1"/>
  <c r="AK547" i="4"/>
  <c r="AE549" i="4" l="1"/>
  <c r="AF550" i="4" s="1"/>
  <c r="AG551" i="4" s="1"/>
  <c r="AK548" i="4"/>
  <c r="AE550" i="4" l="1"/>
  <c r="AF551" i="4" s="1"/>
  <c r="AG552" i="4" s="1"/>
  <c r="AK549" i="4"/>
  <c r="AE551" i="4" l="1"/>
  <c r="AF552" i="4" s="1"/>
  <c r="AG553" i="4" s="1"/>
  <c r="AK550" i="4"/>
  <c r="AE552" i="4" l="1"/>
  <c r="AF553" i="4" s="1"/>
  <c r="AG554" i="4" s="1"/>
  <c r="AK551" i="4"/>
  <c r="AE553" i="4" l="1"/>
  <c r="AF554" i="4" s="1"/>
  <c r="AG555" i="4" s="1"/>
  <c r="AK552" i="4"/>
  <c r="AE554" i="4" l="1"/>
  <c r="AF555" i="4" s="1"/>
  <c r="AG556" i="4" s="1"/>
  <c r="AK553" i="4"/>
  <c r="AE555" i="4" l="1"/>
  <c r="AF556" i="4" s="1"/>
  <c r="AG557" i="4" s="1"/>
  <c r="AK554" i="4"/>
  <c r="AE556" i="4" l="1"/>
  <c r="AF557" i="4" s="1"/>
  <c r="AG558" i="4" s="1"/>
  <c r="AK555" i="4"/>
  <c r="AE557" i="4" l="1"/>
  <c r="AF558" i="4" s="1"/>
  <c r="AG559" i="4" s="1"/>
  <c r="AK556" i="4"/>
  <c r="AE558" i="4" l="1"/>
  <c r="AF559" i="4" s="1"/>
  <c r="AG560" i="4" s="1"/>
  <c r="AK557" i="4"/>
  <c r="AE559" i="4" l="1"/>
  <c r="AF560" i="4" s="1"/>
  <c r="AG561" i="4" s="1"/>
  <c r="AK558" i="4"/>
  <c r="AE560" i="4" l="1"/>
  <c r="AF561" i="4" s="1"/>
  <c r="AG562" i="4" s="1"/>
  <c r="AK559" i="4"/>
  <c r="AE561" i="4" l="1"/>
  <c r="AF562" i="4" s="1"/>
  <c r="AG563" i="4" s="1"/>
  <c r="AK560" i="4"/>
  <c r="AE562" i="4" l="1"/>
  <c r="AF563" i="4" s="1"/>
  <c r="AG564" i="4" s="1"/>
  <c r="AK561" i="4"/>
  <c r="AE563" i="4" l="1"/>
  <c r="AF564" i="4" s="1"/>
  <c r="AG565" i="4" s="1"/>
  <c r="AK562" i="4"/>
  <c r="AE564" i="4" l="1"/>
  <c r="AF565" i="4" s="1"/>
  <c r="AG566" i="4" s="1"/>
  <c r="AK563" i="4"/>
  <c r="AE565" i="4" l="1"/>
  <c r="AF566" i="4" s="1"/>
  <c r="AG567" i="4" s="1"/>
  <c r="AK564" i="4"/>
  <c r="AE566" i="4" l="1"/>
  <c r="AF567" i="4" s="1"/>
  <c r="AG568" i="4" s="1"/>
  <c r="AK565" i="4"/>
  <c r="AE567" i="4" l="1"/>
  <c r="AF568" i="4" s="1"/>
  <c r="AG569" i="4" s="1"/>
  <c r="AK566" i="4"/>
  <c r="AE568" i="4" l="1"/>
  <c r="AF569" i="4" s="1"/>
  <c r="AG570" i="4" s="1"/>
  <c r="AK567" i="4"/>
  <c r="AE569" i="4" l="1"/>
  <c r="AF570" i="4" s="1"/>
  <c r="AG571" i="4" s="1"/>
  <c r="AK568" i="4"/>
  <c r="AE570" i="4" l="1"/>
  <c r="AF571" i="4" s="1"/>
  <c r="AG572" i="4" s="1"/>
  <c r="AK569" i="4"/>
  <c r="AE571" i="4" l="1"/>
  <c r="AF572" i="4" s="1"/>
  <c r="AG573" i="4" s="1"/>
  <c r="AK570" i="4"/>
  <c r="AE572" i="4" l="1"/>
  <c r="AF573" i="4" s="1"/>
  <c r="AG574" i="4" s="1"/>
  <c r="AK571" i="4"/>
  <c r="AE573" i="4" l="1"/>
  <c r="AF574" i="4" s="1"/>
  <c r="AG575" i="4" s="1"/>
  <c r="AK572" i="4"/>
  <c r="AE574" i="4" l="1"/>
  <c r="AF575" i="4" s="1"/>
  <c r="AG576" i="4" s="1"/>
  <c r="AK573" i="4"/>
  <c r="AE575" i="4" l="1"/>
  <c r="AF576" i="4" s="1"/>
  <c r="AG577" i="4" s="1"/>
  <c r="AK574" i="4"/>
  <c r="AE576" i="4" l="1"/>
  <c r="AF577" i="4" s="1"/>
  <c r="AG578" i="4" s="1"/>
  <c r="AK575" i="4"/>
  <c r="AE577" i="4" l="1"/>
  <c r="AF578" i="4" s="1"/>
  <c r="AG579" i="4" s="1"/>
  <c r="AK576" i="4"/>
  <c r="AE578" i="4" l="1"/>
  <c r="AF579" i="4" s="1"/>
  <c r="AG580" i="4" s="1"/>
  <c r="AK577" i="4"/>
  <c r="AE579" i="4" l="1"/>
  <c r="AF580" i="4" s="1"/>
  <c r="AG581" i="4" s="1"/>
  <c r="AK578" i="4"/>
  <c r="AE580" i="4" l="1"/>
  <c r="AF581" i="4" s="1"/>
  <c r="AG582" i="4" s="1"/>
  <c r="AK579" i="4"/>
  <c r="AE581" i="4" l="1"/>
  <c r="AF582" i="4" s="1"/>
  <c r="AG583" i="4" s="1"/>
  <c r="AK580" i="4"/>
  <c r="AE582" i="4" l="1"/>
  <c r="AF583" i="4" s="1"/>
  <c r="AG584" i="4" s="1"/>
  <c r="AK581" i="4"/>
  <c r="AE583" i="4" l="1"/>
  <c r="AF584" i="4" s="1"/>
  <c r="AG585" i="4" s="1"/>
  <c r="AK582" i="4"/>
  <c r="AE584" i="4" l="1"/>
  <c r="AF585" i="4" s="1"/>
  <c r="AG586" i="4" s="1"/>
  <c r="AK583" i="4"/>
  <c r="AE585" i="4" l="1"/>
  <c r="AF586" i="4" s="1"/>
  <c r="AG587" i="4" s="1"/>
  <c r="AK584" i="4"/>
  <c r="AE586" i="4" l="1"/>
  <c r="AF587" i="4" s="1"/>
  <c r="AG588" i="4" s="1"/>
  <c r="AK585" i="4"/>
  <c r="AE587" i="4" l="1"/>
  <c r="AF588" i="4" s="1"/>
  <c r="AG589" i="4" s="1"/>
  <c r="AK586" i="4"/>
  <c r="AE588" i="4" l="1"/>
  <c r="AF589" i="4" s="1"/>
  <c r="AG590" i="4" s="1"/>
  <c r="AK587" i="4"/>
  <c r="AE589" i="4" l="1"/>
  <c r="AF590" i="4" s="1"/>
  <c r="AG591" i="4" s="1"/>
  <c r="AK588" i="4"/>
  <c r="AE590" i="4" l="1"/>
  <c r="AF591" i="4" s="1"/>
  <c r="AG592" i="4" s="1"/>
  <c r="AK589" i="4"/>
  <c r="AE591" i="4" l="1"/>
  <c r="AF592" i="4" s="1"/>
  <c r="AG593" i="4" s="1"/>
  <c r="AK590" i="4"/>
  <c r="AE592" i="4" l="1"/>
  <c r="AF593" i="4" s="1"/>
  <c r="AG594" i="4" s="1"/>
  <c r="AK591" i="4"/>
  <c r="AE593" i="4" l="1"/>
  <c r="AF594" i="4" s="1"/>
  <c r="AG595" i="4" s="1"/>
  <c r="AK592" i="4"/>
  <c r="AE594" i="4" l="1"/>
  <c r="AF595" i="4" s="1"/>
  <c r="AG596" i="4" s="1"/>
  <c r="AK593" i="4"/>
  <c r="AE595" i="4" l="1"/>
  <c r="AF596" i="4" s="1"/>
  <c r="AG597" i="4" s="1"/>
  <c r="AK594" i="4"/>
  <c r="AE596" i="4" l="1"/>
  <c r="AF597" i="4" s="1"/>
  <c r="AG598" i="4" s="1"/>
  <c r="AK595" i="4"/>
  <c r="AE597" i="4" l="1"/>
  <c r="AF598" i="4" s="1"/>
  <c r="AG599" i="4" s="1"/>
  <c r="AK596" i="4"/>
  <c r="AE598" i="4" l="1"/>
  <c r="AF599" i="4" s="1"/>
  <c r="AG600" i="4" s="1"/>
  <c r="AK597" i="4"/>
  <c r="AE599" i="4" l="1"/>
  <c r="AF600" i="4" s="1"/>
  <c r="AG601" i="4" s="1"/>
  <c r="AK598" i="4"/>
  <c r="AE600" i="4" l="1"/>
  <c r="AF601" i="4" s="1"/>
  <c r="AG602" i="4" s="1"/>
  <c r="AK599" i="4"/>
  <c r="AE601" i="4" l="1"/>
  <c r="AF602" i="4" s="1"/>
  <c r="AG603" i="4" s="1"/>
  <c r="AK600" i="4"/>
  <c r="AE602" i="4" l="1"/>
  <c r="AF603" i="4" s="1"/>
  <c r="AG604" i="4" s="1"/>
  <c r="AK601" i="4"/>
  <c r="AE603" i="4" l="1"/>
  <c r="AF604" i="4" s="1"/>
  <c r="AG605" i="4" s="1"/>
  <c r="AK602" i="4"/>
  <c r="AE604" i="4" l="1"/>
  <c r="AF605" i="4" s="1"/>
  <c r="AG606" i="4" s="1"/>
  <c r="AK603" i="4"/>
  <c r="AE605" i="4" l="1"/>
  <c r="AF606" i="4" s="1"/>
  <c r="AG607" i="4" s="1"/>
  <c r="AK604" i="4"/>
  <c r="AE606" i="4" l="1"/>
  <c r="AF607" i="4" s="1"/>
  <c r="AG608" i="4" s="1"/>
  <c r="AK605" i="4"/>
  <c r="AE607" i="4" l="1"/>
  <c r="AF608" i="4" s="1"/>
  <c r="AG609" i="4" s="1"/>
  <c r="AK606" i="4"/>
  <c r="AE608" i="4" l="1"/>
  <c r="AF609" i="4" s="1"/>
  <c r="AG610" i="4" s="1"/>
  <c r="AK607" i="4"/>
  <c r="AE609" i="4" l="1"/>
  <c r="AF610" i="4" s="1"/>
  <c r="AG611" i="4" s="1"/>
  <c r="AK608" i="4"/>
  <c r="AE610" i="4" l="1"/>
  <c r="AF611" i="4" s="1"/>
  <c r="AG612" i="4" s="1"/>
  <c r="AK609" i="4"/>
  <c r="AE611" i="4" l="1"/>
  <c r="AF612" i="4" s="1"/>
  <c r="AG613" i="4" s="1"/>
  <c r="AK610" i="4"/>
  <c r="AE612" i="4" l="1"/>
  <c r="AF613" i="4" s="1"/>
  <c r="AG614" i="4" s="1"/>
  <c r="AK611" i="4"/>
  <c r="AE613" i="4" l="1"/>
  <c r="AF614" i="4" s="1"/>
  <c r="AG615" i="4" s="1"/>
  <c r="AK612" i="4"/>
  <c r="AE614" i="4" l="1"/>
  <c r="AF615" i="4" s="1"/>
  <c r="AG616" i="4" s="1"/>
  <c r="AK613" i="4"/>
  <c r="AE615" i="4" l="1"/>
  <c r="AF616" i="4" s="1"/>
  <c r="AG617" i="4" s="1"/>
  <c r="AK614" i="4"/>
  <c r="AE616" i="4" l="1"/>
  <c r="AF617" i="4" s="1"/>
  <c r="AG618" i="4" s="1"/>
  <c r="AK615" i="4"/>
  <c r="AE617" i="4" l="1"/>
  <c r="AF618" i="4" s="1"/>
  <c r="AG619" i="4" s="1"/>
  <c r="AK616" i="4"/>
  <c r="AE618" i="4" l="1"/>
  <c r="AF619" i="4" s="1"/>
  <c r="AG620" i="4" s="1"/>
  <c r="AK617" i="4"/>
  <c r="AE619" i="4" l="1"/>
  <c r="AF620" i="4" s="1"/>
  <c r="AG621" i="4" s="1"/>
  <c r="AK618" i="4"/>
  <c r="AE620" i="4" l="1"/>
  <c r="AF621" i="4" s="1"/>
  <c r="AG622" i="4" s="1"/>
  <c r="AK619" i="4"/>
  <c r="AE621" i="4" l="1"/>
  <c r="AF622" i="4" s="1"/>
  <c r="AG623" i="4" s="1"/>
  <c r="AK620" i="4"/>
  <c r="AE622" i="4" l="1"/>
  <c r="AF623" i="4" s="1"/>
  <c r="AG624" i="4" s="1"/>
  <c r="AK621" i="4"/>
  <c r="AE623" i="4" l="1"/>
  <c r="AF624" i="4" s="1"/>
  <c r="AG625" i="4" s="1"/>
  <c r="AK622" i="4"/>
  <c r="AE624" i="4" l="1"/>
  <c r="AF625" i="4" s="1"/>
  <c r="AG626" i="4" s="1"/>
  <c r="AK623" i="4"/>
  <c r="AE625" i="4" l="1"/>
  <c r="AF626" i="4" s="1"/>
  <c r="AG627" i="4" s="1"/>
  <c r="AK624" i="4"/>
  <c r="AE626" i="4" l="1"/>
  <c r="AF627" i="4" s="1"/>
  <c r="AG628" i="4" s="1"/>
  <c r="AK625" i="4"/>
  <c r="AE627" i="4" l="1"/>
  <c r="AF628" i="4" s="1"/>
  <c r="AG629" i="4" s="1"/>
  <c r="AK626" i="4"/>
  <c r="AE628" i="4" l="1"/>
  <c r="AF629" i="4" s="1"/>
  <c r="AG630" i="4" s="1"/>
  <c r="AK627" i="4"/>
  <c r="AE629" i="4" l="1"/>
  <c r="AF630" i="4" s="1"/>
  <c r="AG631" i="4" s="1"/>
  <c r="AK628" i="4"/>
  <c r="AE630" i="4" l="1"/>
  <c r="AF631" i="4" s="1"/>
  <c r="AG632" i="4" s="1"/>
  <c r="AK629" i="4"/>
  <c r="AE631" i="4" l="1"/>
  <c r="AF632" i="4" s="1"/>
  <c r="AG633" i="4" s="1"/>
  <c r="AK630" i="4"/>
  <c r="AE632" i="4" l="1"/>
  <c r="AF633" i="4" s="1"/>
  <c r="AG634" i="4" s="1"/>
  <c r="AK631" i="4"/>
  <c r="AE633" i="4" l="1"/>
  <c r="AF634" i="4" s="1"/>
  <c r="AG635" i="4" s="1"/>
  <c r="AK632" i="4"/>
  <c r="AE634" i="4" l="1"/>
  <c r="AF635" i="4" s="1"/>
  <c r="AG636" i="4" s="1"/>
  <c r="AK633" i="4"/>
  <c r="AE635" i="4" l="1"/>
  <c r="AF636" i="4" s="1"/>
  <c r="AG637" i="4" s="1"/>
  <c r="AK634" i="4"/>
  <c r="AE636" i="4" l="1"/>
  <c r="AF637" i="4" s="1"/>
  <c r="AG638" i="4" s="1"/>
  <c r="AK635" i="4"/>
  <c r="AE637" i="4" l="1"/>
  <c r="AF638" i="4" s="1"/>
  <c r="AG639" i="4" s="1"/>
  <c r="AK636" i="4"/>
  <c r="AE638" i="4" l="1"/>
  <c r="AF639" i="4" s="1"/>
  <c r="AG640" i="4" s="1"/>
  <c r="AK637" i="4"/>
  <c r="AE639" i="4" l="1"/>
  <c r="AF640" i="4" s="1"/>
  <c r="AG641" i="4" s="1"/>
  <c r="AK638" i="4"/>
  <c r="AE640" i="4" l="1"/>
  <c r="AF641" i="4" s="1"/>
  <c r="AG642" i="4" s="1"/>
  <c r="AK639" i="4"/>
  <c r="AE641" i="4" l="1"/>
  <c r="AF642" i="4" s="1"/>
  <c r="AG643" i="4" s="1"/>
  <c r="AK640" i="4"/>
  <c r="AE642" i="4" l="1"/>
  <c r="AF643" i="4" s="1"/>
  <c r="AG644" i="4" s="1"/>
  <c r="AK641" i="4"/>
  <c r="AE643" i="4" l="1"/>
  <c r="AF644" i="4" s="1"/>
  <c r="AG645" i="4" s="1"/>
  <c r="AK642" i="4"/>
  <c r="AE644" i="4" l="1"/>
  <c r="AF645" i="4" s="1"/>
  <c r="AG646" i="4" s="1"/>
  <c r="AK643" i="4"/>
  <c r="AE645" i="4" l="1"/>
  <c r="AF646" i="4" s="1"/>
  <c r="AG647" i="4" s="1"/>
  <c r="AK644" i="4"/>
  <c r="AE646" i="4" l="1"/>
  <c r="AF647" i="4" s="1"/>
  <c r="AG648" i="4" s="1"/>
  <c r="AK645" i="4"/>
  <c r="AE647" i="4" l="1"/>
  <c r="AF648" i="4" s="1"/>
  <c r="AG649" i="4" s="1"/>
  <c r="AK646" i="4"/>
  <c r="AE648" i="4" l="1"/>
  <c r="AF649" i="4" s="1"/>
  <c r="AG650" i="4" s="1"/>
  <c r="AK647" i="4"/>
  <c r="AE649" i="4" l="1"/>
  <c r="AF650" i="4" s="1"/>
  <c r="AG651" i="4" s="1"/>
  <c r="AK648" i="4"/>
  <c r="AE650" i="4" l="1"/>
  <c r="AF651" i="4" s="1"/>
  <c r="AG652" i="4" s="1"/>
  <c r="AK649" i="4"/>
  <c r="AE651" i="4" l="1"/>
  <c r="AF652" i="4" s="1"/>
  <c r="AG653" i="4" s="1"/>
  <c r="AK650" i="4"/>
  <c r="AE652" i="4" l="1"/>
  <c r="AF653" i="4" s="1"/>
  <c r="AG654" i="4" s="1"/>
  <c r="AK651" i="4"/>
  <c r="AE653" i="4" l="1"/>
  <c r="AF654" i="4" s="1"/>
  <c r="AG655" i="4" s="1"/>
  <c r="AK652" i="4"/>
  <c r="AE654" i="4" l="1"/>
  <c r="AF655" i="4" s="1"/>
  <c r="AG656" i="4" s="1"/>
  <c r="AK653" i="4"/>
  <c r="AE655" i="4" l="1"/>
  <c r="AF656" i="4" s="1"/>
  <c r="AG657" i="4" s="1"/>
  <c r="AK654" i="4"/>
  <c r="AE656" i="4" l="1"/>
  <c r="AF657" i="4" s="1"/>
  <c r="AG658" i="4" s="1"/>
  <c r="AK655" i="4"/>
  <c r="AE657" i="4" l="1"/>
  <c r="AF658" i="4" s="1"/>
  <c r="AG659" i="4" s="1"/>
  <c r="AK656" i="4"/>
  <c r="AE658" i="4" l="1"/>
  <c r="AF659" i="4" s="1"/>
  <c r="AG660" i="4" s="1"/>
  <c r="AK657" i="4"/>
  <c r="AE659" i="4" l="1"/>
  <c r="AF660" i="4" s="1"/>
  <c r="AG661" i="4" s="1"/>
  <c r="AK658" i="4"/>
  <c r="AE660" i="4" l="1"/>
  <c r="AF661" i="4" s="1"/>
  <c r="AG662" i="4" s="1"/>
  <c r="AK659" i="4"/>
  <c r="AE661" i="4" l="1"/>
  <c r="AF662" i="4" s="1"/>
  <c r="AG663" i="4" s="1"/>
  <c r="AK660" i="4"/>
  <c r="AE662" i="4" l="1"/>
  <c r="AF663" i="4" s="1"/>
  <c r="AG664" i="4" s="1"/>
  <c r="AK661" i="4"/>
  <c r="AE663" i="4" l="1"/>
  <c r="AF664" i="4" s="1"/>
  <c r="AG665" i="4" s="1"/>
  <c r="AK662" i="4"/>
  <c r="AE664" i="4" l="1"/>
  <c r="AF665" i="4" s="1"/>
  <c r="AG666" i="4" s="1"/>
  <c r="AK663" i="4"/>
  <c r="AE665" i="4" l="1"/>
  <c r="AF666" i="4" s="1"/>
  <c r="AG667" i="4" s="1"/>
  <c r="AK664" i="4"/>
  <c r="AE666" i="4" l="1"/>
  <c r="AF667" i="4" s="1"/>
  <c r="AG668" i="4" s="1"/>
  <c r="AK665" i="4"/>
  <c r="AE667" i="4" l="1"/>
  <c r="AF668" i="4" s="1"/>
  <c r="AG669" i="4" s="1"/>
  <c r="AK666" i="4"/>
  <c r="AE668" i="4" l="1"/>
  <c r="AF669" i="4" s="1"/>
  <c r="AG670" i="4" s="1"/>
  <c r="AK667" i="4"/>
  <c r="AE669" i="4" l="1"/>
  <c r="AF670" i="4" s="1"/>
  <c r="AG671" i="4" s="1"/>
  <c r="AK668" i="4"/>
  <c r="AE670" i="4" l="1"/>
  <c r="AF671" i="4" s="1"/>
  <c r="AG672" i="4" s="1"/>
  <c r="AK669" i="4"/>
  <c r="AE671" i="4" l="1"/>
  <c r="AF672" i="4" s="1"/>
  <c r="AG673" i="4" s="1"/>
  <c r="AK670" i="4"/>
  <c r="AE672" i="4" l="1"/>
  <c r="AF673" i="4" s="1"/>
  <c r="AG674" i="4" s="1"/>
  <c r="AK671" i="4"/>
  <c r="AE673" i="4" l="1"/>
  <c r="AF674" i="4" s="1"/>
  <c r="AG675" i="4" s="1"/>
  <c r="AK672" i="4"/>
  <c r="AE674" i="4" l="1"/>
  <c r="AF675" i="4" s="1"/>
  <c r="AG676" i="4" s="1"/>
  <c r="AK673" i="4"/>
  <c r="AE675" i="4" l="1"/>
  <c r="AF676" i="4" s="1"/>
  <c r="AG677" i="4" s="1"/>
  <c r="AK674" i="4"/>
  <c r="AE676" i="4" l="1"/>
  <c r="AF677" i="4" s="1"/>
  <c r="AG678" i="4" s="1"/>
  <c r="AK675" i="4"/>
  <c r="AE677" i="4" l="1"/>
  <c r="AF678" i="4" s="1"/>
  <c r="AG679" i="4" s="1"/>
  <c r="AK676" i="4"/>
  <c r="AE678" i="4" l="1"/>
  <c r="AF679" i="4" s="1"/>
  <c r="AG680" i="4" s="1"/>
  <c r="AK677" i="4"/>
  <c r="AE679" i="4" l="1"/>
  <c r="AF680" i="4" s="1"/>
  <c r="AG681" i="4" s="1"/>
  <c r="AK678" i="4"/>
  <c r="AE680" i="4" l="1"/>
  <c r="AF681" i="4" s="1"/>
  <c r="AG682" i="4" s="1"/>
  <c r="AK679" i="4"/>
  <c r="AE681" i="4" l="1"/>
  <c r="AF682" i="4" s="1"/>
  <c r="AG683" i="4" s="1"/>
  <c r="AK680" i="4"/>
  <c r="AE682" i="4" l="1"/>
  <c r="AF683" i="4" s="1"/>
  <c r="AG684" i="4" s="1"/>
  <c r="AK681" i="4"/>
  <c r="AE683" i="4" l="1"/>
  <c r="AF684" i="4" s="1"/>
  <c r="AG685" i="4" s="1"/>
  <c r="AK682" i="4"/>
  <c r="AE684" i="4" l="1"/>
  <c r="AF685" i="4" s="1"/>
  <c r="AG686" i="4" s="1"/>
  <c r="AK683" i="4"/>
  <c r="AE685" i="4" l="1"/>
  <c r="AF686" i="4" s="1"/>
  <c r="AG687" i="4" s="1"/>
  <c r="AK684" i="4"/>
  <c r="AE686" i="4" l="1"/>
  <c r="AF687" i="4" s="1"/>
  <c r="AG688" i="4" s="1"/>
  <c r="AK685" i="4"/>
  <c r="AE687" i="4" l="1"/>
  <c r="AF688" i="4" s="1"/>
  <c r="AG689" i="4" s="1"/>
  <c r="AK686" i="4"/>
  <c r="AE688" i="4" l="1"/>
  <c r="AF689" i="4" s="1"/>
  <c r="AG690" i="4" s="1"/>
  <c r="AK687" i="4"/>
  <c r="AE689" i="4" l="1"/>
  <c r="AF690" i="4" s="1"/>
  <c r="AG691" i="4" s="1"/>
  <c r="AK688" i="4"/>
  <c r="AE690" i="4" l="1"/>
  <c r="AF691" i="4" s="1"/>
  <c r="AG692" i="4" s="1"/>
  <c r="AK689" i="4"/>
  <c r="AE691" i="4" l="1"/>
  <c r="AF692" i="4" s="1"/>
  <c r="AG693" i="4" s="1"/>
  <c r="AK690" i="4"/>
  <c r="AE692" i="4" l="1"/>
  <c r="AF693" i="4" s="1"/>
  <c r="AG694" i="4" s="1"/>
  <c r="AK691" i="4"/>
  <c r="AE693" i="4" l="1"/>
  <c r="AF694" i="4" s="1"/>
  <c r="AG695" i="4" s="1"/>
  <c r="AK692" i="4"/>
  <c r="AE694" i="4" l="1"/>
  <c r="AF695" i="4" s="1"/>
  <c r="AG696" i="4" s="1"/>
  <c r="AK693" i="4"/>
  <c r="AE695" i="4" l="1"/>
  <c r="AF696" i="4" s="1"/>
  <c r="AG697" i="4" s="1"/>
  <c r="AK694" i="4"/>
  <c r="AE696" i="4" l="1"/>
  <c r="AF697" i="4" s="1"/>
  <c r="AG698" i="4" s="1"/>
  <c r="AK695" i="4"/>
  <c r="AE697" i="4" l="1"/>
  <c r="AF698" i="4" s="1"/>
  <c r="AG699" i="4" s="1"/>
  <c r="AK696" i="4"/>
  <c r="AE698" i="4" l="1"/>
  <c r="AF699" i="4" s="1"/>
  <c r="AG700" i="4" s="1"/>
  <c r="AK697" i="4"/>
  <c r="AE699" i="4" l="1"/>
  <c r="AF700" i="4" s="1"/>
  <c r="AG701" i="4" s="1"/>
  <c r="AK698" i="4"/>
  <c r="AE700" i="4" l="1"/>
  <c r="AF701" i="4" s="1"/>
  <c r="AG702" i="4" s="1"/>
  <c r="AK699" i="4"/>
  <c r="AE701" i="4" l="1"/>
  <c r="AF702" i="4" s="1"/>
  <c r="AG703" i="4" s="1"/>
  <c r="AK700" i="4"/>
  <c r="AE702" i="4" l="1"/>
  <c r="AF703" i="4" s="1"/>
  <c r="AG704" i="4" s="1"/>
  <c r="AK701" i="4"/>
  <c r="AE703" i="4" l="1"/>
  <c r="AF704" i="4" s="1"/>
  <c r="AG705" i="4" s="1"/>
  <c r="AK702" i="4"/>
  <c r="AE704" i="4" l="1"/>
  <c r="AF705" i="4" s="1"/>
  <c r="AG706" i="4" s="1"/>
  <c r="AK703" i="4"/>
  <c r="AE705" i="4" l="1"/>
  <c r="AF706" i="4" s="1"/>
  <c r="AG707" i="4" s="1"/>
  <c r="AK704" i="4"/>
  <c r="AE706" i="4" l="1"/>
  <c r="AF707" i="4" s="1"/>
  <c r="AG708" i="4" s="1"/>
  <c r="AK705" i="4"/>
  <c r="AE707" i="4" l="1"/>
  <c r="AF708" i="4" s="1"/>
  <c r="AG709" i="4" s="1"/>
  <c r="AK706" i="4"/>
  <c r="AE708" i="4" l="1"/>
  <c r="AF709" i="4" s="1"/>
  <c r="AG710" i="4" s="1"/>
  <c r="AK707" i="4"/>
  <c r="AE709" i="4" l="1"/>
  <c r="AF710" i="4" s="1"/>
  <c r="AG711" i="4" s="1"/>
  <c r="AK708" i="4"/>
  <c r="AE710" i="4" l="1"/>
  <c r="AF711" i="4" s="1"/>
  <c r="AG712" i="4" s="1"/>
  <c r="AK709" i="4"/>
  <c r="AE711" i="4" l="1"/>
  <c r="AF712" i="4" s="1"/>
  <c r="AG713" i="4" s="1"/>
  <c r="AK710" i="4"/>
  <c r="AE712" i="4" l="1"/>
  <c r="AF713" i="4" s="1"/>
  <c r="AG714" i="4" s="1"/>
  <c r="AK711" i="4"/>
  <c r="AE713" i="4" l="1"/>
  <c r="AF714" i="4" s="1"/>
  <c r="AG715" i="4" s="1"/>
  <c r="AK712" i="4"/>
  <c r="AE714" i="4" l="1"/>
  <c r="AF715" i="4" s="1"/>
  <c r="AG716" i="4" s="1"/>
  <c r="AK713" i="4"/>
  <c r="AE715" i="4" l="1"/>
  <c r="AF716" i="4" s="1"/>
  <c r="AG717" i="4" s="1"/>
  <c r="AK714" i="4"/>
  <c r="AE716" i="4" l="1"/>
  <c r="AF717" i="4" s="1"/>
  <c r="AG718" i="4" s="1"/>
  <c r="AK715" i="4"/>
  <c r="AE717" i="4" l="1"/>
  <c r="AF718" i="4" s="1"/>
  <c r="AG719" i="4" s="1"/>
  <c r="AK716" i="4"/>
  <c r="AE718" i="4" l="1"/>
  <c r="AF719" i="4" s="1"/>
  <c r="AG720" i="4" s="1"/>
  <c r="AK717" i="4"/>
  <c r="AE719" i="4" l="1"/>
  <c r="AF720" i="4" s="1"/>
  <c r="AG721" i="4" s="1"/>
  <c r="AK718" i="4"/>
  <c r="AE720" i="4" l="1"/>
  <c r="AF721" i="4" s="1"/>
  <c r="AG722" i="4" s="1"/>
  <c r="AK719" i="4"/>
  <c r="AE721" i="4" l="1"/>
  <c r="AF722" i="4" s="1"/>
  <c r="AG723" i="4" s="1"/>
  <c r="AK720" i="4"/>
  <c r="AE722" i="4" l="1"/>
  <c r="AF723" i="4" s="1"/>
  <c r="AG724" i="4" s="1"/>
  <c r="AK721" i="4"/>
  <c r="AE723" i="4" l="1"/>
  <c r="AF724" i="4" s="1"/>
  <c r="AG725" i="4" s="1"/>
  <c r="AK722" i="4"/>
  <c r="AE724" i="4" l="1"/>
  <c r="AF725" i="4" s="1"/>
  <c r="AG726" i="4" s="1"/>
  <c r="AK723" i="4"/>
  <c r="AE725" i="4" l="1"/>
  <c r="AF726" i="4" s="1"/>
  <c r="AG727" i="4" s="1"/>
  <c r="AK724" i="4"/>
  <c r="AE726" i="4" l="1"/>
  <c r="AF727" i="4" s="1"/>
  <c r="AG728" i="4" s="1"/>
  <c r="AK725" i="4"/>
  <c r="AE727" i="4" l="1"/>
  <c r="AF728" i="4" s="1"/>
  <c r="AG729" i="4" s="1"/>
  <c r="AK726" i="4"/>
  <c r="AE728" i="4" l="1"/>
  <c r="AF729" i="4" s="1"/>
  <c r="AG730" i="4" s="1"/>
  <c r="AK727" i="4"/>
  <c r="AE729" i="4" l="1"/>
  <c r="AF730" i="4" s="1"/>
  <c r="AG731" i="4" s="1"/>
  <c r="AK728" i="4"/>
  <c r="AE730" i="4" l="1"/>
  <c r="AF731" i="4" s="1"/>
  <c r="AG732" i="4" s="1"/>
  <c r="AK729" i="4"/>
  <c r="AE731" i="4" l="1"/>
  <c r="AF732" i="4" s="1"/>
  <c r="AG733" i="4" s="1"/>
  <c r="AK730" i="4"/>
  <c r="AE732" i="4" l="1"/>
  <c r="AF733" i="4" s="1"/>
  <c r="AG734" i="4" s="1"/>
  <c r="AK731" i="4"/>
  <c r="AE733" i="4" l="1"/>
  <c r="AF734" i="4" s="1"/>
  <c r="AG735" i="4" s="1"/>
  <c r="AK732" i="4"/>
  <c r="AE734" i="4" l="1"/>
  <c r="AF735" i="4" s="1"/>
  <c r="AG736" i="4" s="1"/>
  <c r="AK733" i="4"/>
  <c r="AE735" i="4" l="1"/>
  <c r="AF736" i="4" s="1"/>
  <c r="AG737" i="4" s="1"/>
  <c r="AK734" i="4"/>
  <c r="AE736" i="4" l="1"/>
  <c r="AF737" i="4" s="1"/>
  <c r="AG738" i="4" s="1"/>
  <c r="AK735" i="4"/>
  <c r="AE737" i="4" l="1"/>
  <c r="AF738" i="4" s="1"/>
  <c r="AG739" i="4" s="1"/>
  <c r="AK736" i="4"/>
  <c r="AE738" i="4" l="1"/>
  <c r="AF739" i="4" s="1"/>
  <c r="AG740" i="4" s="1"/>
  <c r="AK737" i="4"/>
  <c r="AE739" i="4" l="1"/>
  <c r="AF740" i="4" s="1"/>
  <c r="AG741" i="4" s="1"/>
  <c r="AK738" i="4"/>
  <c r="AE740" i="4" l="1"/>
  <c r="AF741" i="4" s="1"/>
  <c r="AG742" i="4" s="1"/>
  <c r="AK739" i="4"/>
  <c r="AE741" i="4" l="1"/>
  <c r="AF742" i="4" s="1"/>
  <c r="AG743" i="4" s="1"/>
  <c r="AK740" i="4"/>
  <c r="AE742" i="4" l="1"/>
  <c r="AF743" i="4" s="1"/>
  <c r="AG744" i="4" s="1"/>
  <c r="AK741" i="4"/>
  <c r="AE743" i="4" l="1"/>
  <c r="AF744" i="4" s="1"/>
  <c r="AG745" i="4" s="1"/>
  <c r="AK742" i="4"/>
  <c r="AE744" i="4" l="1"/>
  <c r="AF745" i="4" s="1"/>
  <c r="AG746" i="4" s="1"/>
  <c r="AK743" i="4"/>
  <c r="AE745" i="4" l="1"/>
  <c r="AF746" i="4" s="1"/>
  <c r="AG747" i="4" s="1"/>
  <c r="AK744" i="4"/>
  <c r="AE746" i="4" l="1"/>
  <c r="AF747" i="4" s="1"/>
  <c r="AG748" i="4" s="1"/>
  <c r="AK745" i="4"/>
  <c r="AE747" i="4" l="1"/>
  <c r="AF748" i="4" s="1"/>
  <c r="AG749" i="4" s="1"/>
  <c r="AK746" i="4"/>
  <c r="AE748" i="4" l="1"/>
  <c r="AF749" i="4" s="1"/>
  <c r="AG750" i="4" s="1"/>
  <c r="AK747" i="4"/>
  <c r="AE749" i="4" l="1"/>
  <c r="AF750" i="4" s="1"/>
  <c r="AG751" i="4" s="1"/>
  <c r="AK748" i="4"/>
  <c r="AE750" i="4" l="1"/>
  <c r="AF751" i="4" s="1"/>
  <c r="AG752" i="4" s="1"/>
  <c r="AK749" i="4"/>
  <c r="AE751" i="4" l="1"/>
  <c r="AF752" i="4" s="1"/>
  <c r="AG753" i="4" s="1"/>
  <c r="AK750" i="4"/>
  <c r="AE752" i="4" l="1"/>
  <c r="AF753" i="4" s="1"/>
  <c r="AG754" i="4" s="1"/>
  <c r="AK751" i="4"/>
  <c r="AE753" i="4" l="1"/>
  <c r="AF754" i="4" s="1"/>
  <c r="AG755" i="4" s="1"/>
  <c r="AK752" i="4"/>
  <c r="AE754" i="4" l="1"/>
  <c r="AF755" i="4" s="1"/>
  <c r="AG756" i="4" s="1"/>
  <c r="AK753" i="4"/>
  <c r="AE755" i="4" l="1"/>
  <c r="AF756" i="4" s="1"/>
  <c r="AG757" i="4" s="1"/>
  <c r="AK754" i="4"/>
  <c r="AE756" i="4" l="1"/>
  <c r="AF757" i="4" s="1"/>
  <c r="AG758" i="4" s="1"/>
  <c r="AK755" i="4"/>
  <c r="AE757" i="4" l="1"/>
  <c r="AF758" i="4" s="1"/>
  <c r="AG759" i="4" s="1"/>
  <c r="AK756" i="4"/>
  <c r="AE758" i="4" l="1"/>
  <c r="AF759" i="4" s="1"/>
  <c r="AG760" i="4" s="1"/>
  <c r="AK757" i="4"/>
  <c r="AE759" i="4" l="1"/>
  <c r="AF760" i="4" s="1"/>
  <c r="AG761" i="4" s="1"/>
  <c r="AK758" i="4"/>
  <c r="AE760" i="4" l="1"/>
  <c r="AF761" i="4" s="1"/>
  <c r="AG762" i="4" s="1"/>
  <c r="AK759" i="4"/>
  <c r="AE761" i="4" l="1"/>
  <c r="AF762" i="4" s="1"/>
  <c r="AG763" i="4" s="1"/>
  <c r="AK760" i="4"/>
  <c r="AE762" i="4" l="1"/>
  <c r="AF763" i="4" s="1"/>
  <c r="AG764" i="4" s="1"/>
  <c r="AK761" i="4"/>
  <c r="AE763" i="4" l="1"/>
  <c r="AF764" i="4" s="1"/>
  <c r="AG765" i="4" s="1"/>
  <c r="AK762" i="4"/>
  <c r="AE764" i="4" l="1"/>
  <c r="AF765" i="4" s="1"/>
  <c r="AG766" i="4" s="1"/>
  <c r="AK763" i="4"/>
  <c r="AE765" i="4" l="1"/>
  <c r="AF766" i="4" s="1"/>
  <c r="AG767" i="4" s="1"/>
  <c r="AK764" i="4"/>
  <c r="AE766" i="4" l="1"/>
  <c r="AF767" i="4" s="1"/>
  <c r="AG768" i="4" s="1"/>
  <c r="AK765" i="4"/>
  <c r="AE767" i="4" l="1"/>
  <c r="AF768" i="4" s="1"/>
  <c r="AG769" i="4" s="1"/>
  <c r="AK766" i="4"/>
  <c r="AE768" i="4" l="1"/>
  <c r="AF769" i="4" s="1"/>
  <c r="AG770" i="4" s="1"/>
  <c r="AK767" i="4"/>
  <c r="AE769" i="4" l="1"/>
  <c r="AF770" i="4" s="1"/>
  <c r="AG771" i="4" s="1"/>
  <c r="AK768" i="4"/>
  <c r="AE770" i="4" l="1"/>
  <c r="AF771" i="4" s="1"/>
  <c r="AG772" i="4" s="1"/>
  <c r="AK769" i="4"/>
  <c r="AE771" i="4" l="1"/>
  <c r="AF772" i="4" s="1"/>
  <c r="AG773" i="4" s="1"/>
  <c r="AK770" i="4"/>
  <c r="AE772" i="4" l="1"/>
  <c r="AF773" i="4" s="1"/>
  <c r="AG774" i="4" s="1"/>
  <c r="AK771" i="4"/>
  <c r="AE773" i="4" l="1"/>
  <c r="AF774" i="4" s="1"/>
  <c r="AG775" i="4" s="1"/>
  <c r="AK772" i="4"/>
  <c r="AE774" i="4" l="1"/>
  <c r="AF775" i="4" s="1"/>
  <c r="AG776" i="4" s="1"/>
  <c r="AK773" i="4"/>
  <c r="AE775" i="4" l="1"/>
  <c r="AF776" i="4" s="1"/>
  <c r="AG777" i="4" s="1"/>
  <c r="AK774" i="4"/>
  <c r="AE776" i="4" l="1"/>
  <c r="AF777" i="4" s="1"/>
  <c r="AG778" i="4" s="1"/>
  <c r="AK775" i="4"/>
  <c r="AE777" i="4" l="1"/>
  <c r="AF778" i="4" s="1"/>
  <c r="AG779" i="4" s="1"/>
  <c r="AK776" i="4"/>
  <c r="AE778" i="4" l="1"/>
  <c r="AF779" i="4" s="1"/>
  <c r="AG780" i="4" s="1"/>
  <c r="AK777" i="4"/>
  <c r="AE779" i="4" l="1"/>
  <c r="AF780" i="4" s="1"/>
  <c r="AG781" i="4" s="1"/>
  <c r="AK778" i="4"/>
  <c r="AE780" i="4" l="1"/>
  <c r="AF781" i="4" s="1"/>
  <c r="AG782" i="4" s="1"/>
  <c r="AK779" i="4"/>
  <c r="AE781" i="4" l="1"/>
  <c r="AF782" i="4" s="1"/>
  <c r="AG783" i="4" s="1"/>
  <c r="AK780" i="4"/>
  <c r="AE782" i="4" l="1"/>
  <c r="AF783" i="4" s="1"/>
  <c r="AG784" i="4" s="1"/>
  <c r="AK781" i="4"/>
  <c r="AE783" i="4" l="1"/>
  <c r="AF784" i="4" s="1"/>
  <c r="AG785" i="4" s="1"/>
  <c r="AK782" i="4"/>
  <c r="AE784" i="4" l="1"/>
  <c r="AF785" i="4" s="1"/>
  <c r="AG786" i="4" s="1"/>
  <c r="AK783" i="4"/>
  <c r="AE785" i="4" l="1"/>
  <c r="AF786" i="4" s="1"/>
  <c r="AG787" i="4" s="1"/>
  <c r="AK784" i="4"/>
  <c r="AE786" i="4" l="1"/>
  <c r="AF787" i="4" s="1"/>
  <c r="AG788" i="4" s="1"/>
  <c r="AK785" i="4"/>
  <c r="AE787" i="4" l="1"/>
  <c r="AF788" i="4" s="1"/>
  <c r="AG789" i="4" s="1"/>
  <c r="AK786" i="4"/>
  <c r="AE788" i="4" l="1"/>
  <c r="AF789" i="4" s="1"/>
  <c r="AG790" i="4" s="1"/>
  <c r="AK787" i="4"/>
  <c r="AE789" i="4" l="1"/>
  <c r="AF790" i="4" s="1"/>
  <c r="AG791" i="4" s="1"/>
  <c r="AK788" i="4"/>
  <c r="AE790" i="4" l="1"/>
  <c r="AF791" i="4" s="1"/>
  <c r="AG792" i="4" s="1"/>
  <c r="AK789" i="4"/>
  <c r="AE791" i="4" l="1"/>
  <c r="AF792" i="4" s="1"/>
  <c r="AG793" i="4" s="1"/>
  <c r="AK790" i="4"/>
  <c r="AE792" i="4" l="1"/>
  <c r="AF793" i="4" s="1"/>
  <c r="AG794" i="4" s="1"/>
  <c r="AK791" i="4"/>
  <c r="AE793" i="4" l="1"/>
  <c r="AF794" i="4" s="1"/>
  <c r="AG795" i="4" s="1"/>
  <c r="AK792" i="4"/>
  <c r="AE794" i="4" l="1"/>
  <c r="AF795" i="4" s="1"/>
  <c r="AG796" i="4" s="1"/>
  <c r="AK793" i="4"/>
  <c r="AE795" i="4" l="1"/>
  <c r="AF796" i="4" s="1"/>
  <c r="AG797" i="4" s="1"/>
  <c r="AK794" i="4"/>
  <c r="AE796" i="4" l="1"/>
  <c r="AF797" i="4" s="1"/>
  <c r="AG798" i="4" s="1"/>
  <c r="AK795" i="4"/>
  <c r="AE797" i="4" l="1"/>
  <c r="AF798" i="4" s="1"/>
  <c r="AG799" i="4" s="1"/>
  <c r="AK796" i="4"/>
  <c r="AE798" i="4" l="1"/>
  <c r="AF799" i="4" s="1"/>
  <c r="AG800" i="4" s="1"/>
  <c r="AK797" i="4"/>
  <c r="AE799" i="4" l="1"/>
  <c r="AF800" i="4" s="1"/>
  <c r="AG801" i="4" s="1"/>
  <c r="AK798" i="4"/>
  <c r="AE800" i="4" l="1"/>
  <c r="AF801" i="4" s="1"/>
  <c r="AG802" i="4" s="1"/>
  <c r="AK799" i="4"/>
  <c r="AE801" i="4" l="1"/>
  <c r="AF802" i="4" s="1"/>
  <c r="AG803" i="4" s="1"/>
  <c r="AK800" i="4"/>
  <c r="AE802" i="4" l="1"/>
  <c r="AF803" i="4" s="1"/>
  <c r="AG804" i="4" s="1"/>
  <c r="AK801" i="4"/>
  <c r="AE803" i="4" l="1"/>
  <c r="AF804" i="4" s="1"/>
  <c r="AG805" i="4" s="1"/>
  <c r="AK802" i="4"/>
  <c r="AE804" i="4" l="1"/>
  <c r="AF805" i="4" s="1"/>
  <c r="AG806" i="4" s="1"/>
  <c r="AK803" i="4"/>
  <c r="AE805" i="4" l="1"/>
  <c r="AF806" i="4" s="1"/>
  <c r="AG807" i="4" s="1"/>
  <c r="AK804" i="4"/>
  <c r="AE806" i="4" l="1"/>
  <c r="AF807" i="4" s="1"/>
  <c r="AG808" i="4" s="1"/>
  <c r="AK805" i="4"/>
  <c r="AE807" i="4" l="1"/>
  <c r="AF808" i="4" s="1"/>
  <c r="AG809" i="4" s="1"/>
  <c r="AK806" i="4"/>
  <c r="AE808" i="4" l="1"/>
  <c r="AF809" i="4" s="1"/>
  <c r="AG810" i="4" s="1"/>
  <c r="AK807" i="4"/>
  <c r="AE809" i="4" l="1"/>
  <c r="AF810" i="4" s="1"/>
  <c r="AG811" i="4" s="1"/>
  <c r="AK808" i="4"/>
  <c r="AE810" i="4" l="1"/>
  <c r="AF811" i="4" s="1"/>
  <c r="AG812" i="4" s="1"/>
  <c r="AK809" i="4"/>
  <c r="AE811" i="4" l="1"/>
  <c r="AF812" i="4" s="1"/>
  <c r="AG813" i="4" s="1"/>
  <c r="AK810" i="4"/>
  <c r="AE812" i="4" l="1"/>
  <c r="AF813" i="4" s="1"/>
  <c r="AG814" i="4" s="1"/>
  <c r="AK811" i="4"/>
  <c r="AE813" i="4" l="1"/>
  <c r="AF814" i="4" s="1"/>
  <c r="AG815" i="4" s="1"/>
  <c r="AK812" i="4"/>
  <c r="AE814" i="4" l="1"/>
  <c r="AF815" i="4" s="1"/>
  <c r="AG816" i="4" s="1"/>
  <c r="AK813" i="4"/>
  <c r="AE815" i="4" l="1"/>
  <c r="AF816" i="4" s="1"/>
  <c r="AG817" i="4" s="1"/>
  <c r="AK814" i="4"/>
  <c r="AE816" i="4" l="1"/>
  <c r="AF817" i="4" s="1"/>
  <c r="AG818" i="4" s="1"/>
  <c r="AK815" i="4"/>
  <c r="AE817" i="4" l="1"/>
  <c r="AF818" i="4" s="1"/>
  <c r="AG819" i="4" s="1"/>
  <c r="AK816" i="4"/>
  <c r="AE818" i="4" l="1"/>
  <c r="AF819" i="4" s="1"/>
  <c r="AG820" i="4" s="1"/>
  <c r="AK817" i="4"/>
  <c r="AE819" i="4" l="1"/>
  <c r="AF820" i="4" s="1"/>
  <c r="AG821" i="4" s="1"/>
  <c r="AK818" i="4"/>
  <c r="AE820" i="4" l="1"/>
  <c r="AF821" i="4" s="1"/>
  <c r="AG822" i="4" s="1"/>
  <c r="AK819" i="4"/>
  <c r="AE821" i="4" l="1"/>
  <c r="AF822" i="4" s="1"/>
  <c r="AG823" i="4" s="1"/>
  <c r="AK820" i="4"/>
  <c r="AE822" i="4" l="1"/>
  <c r="AF823" i="4" s="1"/>
  <c r="AG824" i="4" s="1"/>
  <c r="AK821" i="4"/>
  <c r="AE823" i="4" l="1"/>
  <c r="AF824" i="4" s="1"/>
  <c r="AG825" i="4" s="1"/>
  <c r="AK822" i="4"/>
  <c r="AE824" i="4" l="1"/>
  <c r="AF825" i="4" s="1"/>
  <c r="AG826" i="4" s="1"/>
  <c r="AK823" i="4"/>
  <c r="AE825" i="4" l="1"/>
  <c r="AF826" i="4" s="1"/>
  <c r="AG827" i="4" s="1"/>
  <c r="AK824" i="4"/>
  <c r="AE826" i="4" l="1"/>
  <c r="AF827" i="4" s="1"/>
  <c r="AG828" i="4" s="1"/>
  <c r="AK825" i="4"/>
  <c r="AE827" i="4" l="1"/>
  <c r="AF828" i="4" s="1"/>
  <c r="AG829" i="4" s="1"/>
  <c r="AK826" i="4"/>
  <c r="AE828" i="4" l="1"/>
  <c r="AF829" i="4" s="1"/>
  <c r="AG830" i="4" s="1"/>
  <c r="AK827" i="4"/>
  <c r="AE829" i="4" l="1"/>
  <c r="AF830" i="4" s="1"/>
  <c r="AG831" i="4" s="1"/>
  <c r="AK828" i="4"/>
  <c r="AE830" i="4" l="1"/>
  <c r="AF831" i="4" s="1"/>
  <c r="AG832" i="4" s="1"/>
  <c r="AK829" i="4"/>
  <c r="AE831" i="4" l="1"/>
  <c r="AF832" i="4" s="1"/>
  <c r="AG833" i="4" s="1"/>
  <c r="AK830" i="4"/>
  <c r="AE832" i="4" l="1"/>
  <c r="AF833" i="4" s="1"/>
  <c r="AG834" i="4" s="1"/>
  <c r="AK831" i="4"/>
  <c r="AE833" i="4" l="1"/>
  <c r="AF834" i="4" s="1"/>
  <c r="AG835" i="4" s="1"/>
  <c r="AK832" i="4"/>
  <c r="AE834" i="4" l="1"/>
  <c r="AF835" i="4" s="1"/>
  <c r="AG836" i="4" s="1"/>
  <c r="AK833" i="4"/>
  <c r="AE835" i="4" l="1"/>
  <c r="AF836" i="4" s="1"/>
  <c r="AG837" i="4" s="1"/>
  <c r="AK834" i="4"/>
  <c r="AE836" i="4" l="1"/>
  <c r="AF837" i="4" s="1"/>
  <c r="AG838" i="4" s="1"/>
  <c r="AK835" i="4"/>
  <c r="AE837" i="4" l="1"/>
  <c r="AF838" i="4" s="1"/>
  <c r="AG839" i="4" s="1"/>
  <c r="AK836" i="4"/>
  <c r="AE838" i="4" l="1"/>
  <c r="AF839" i="4" s="1"/>
  <c r="AG840" i="4" s="1"/>
  <c r="AK837" i="4"/>
  <c r="AE839" i="4" l="1"/>
  <c r="AF840" i="4" s="1"/>
  <c r="AG841" i="4" s="1"/>
  <c r="AK838" i="4"/>
  <c r="AE840" i="4" l="1"/>
  <c r="AF841" i="4" s="1"/>
  <c r="AG842" i="4" s="1"/>
  <c r="AK839" i="4"/>
  <c r="AE841" i="4" l="1"/>
  <c r="AF842" i="4" s="1"/>
  <c r="AG843" i="4" s="1"/>
  <c r="AK840" i="4"/>
  <c r="AE842" i="4" l="1"/>
  <c r="AF843" i="4" s="1"/>
  <c r="AG844" i="4" s="1"/>
  <c r="AK841" i="4"/>
  <c r="AE843" i="4" l="1"/>
  <c r="AF844" i="4" s="1"/>
  <c r="AG845" i="4" s="1"/>
  <c r="AK842" i="4"/>
  <c r="AE844" i="4" l="1"/>
  <c r="AF845" i="4" s="1"/>
  <c r="AG846" i="4" s="1"/>
  <c r="AK843" i="4"/>
  <c r="AE845" i="4" l="1"/>
  <c r="AF846" i="4" s="1"/>
  <c r="AG847" i="4" s="1"/>
  <c r="AK844" i="4"/>
  <c r="AE846" i="4" l="1"/>
  <c r="AF847" i="4" s="1"/>
  <c r="AG848" i="4" s="1"/>
  <c r="AK845" i="4"/>
  <c r="AE847" i="4" l="1"/>
  <c r="AF848" i="4" s="1"/>
  <c r="AG849" i="4" s="1"/>
  <c r="AK846" i="4"/>
  <c r="AE848" i="4" l="1"/>
  <c r="AF849" i="4" s="1"/>
  <c r="AG850" i="4" s="1"/>
  <c r="AK847" i="4"/>
  <c r="AE849" i="4" l="1"/>
  <c r="AF850" i="4" s="1"/>
  <c r="AG851" i="4" s="1"/>
  <c r="AK848" i="4"/>
  <c r="AE850" i="4" l="1"/>
  <c r="AF851" i="4" s="1"/>
  <c r="AG852" i="4" s="1"/>
  <c r="AK849" i="4"/>
  <c r="AE851" i="4" l="1"/>
  <c r="AF852" i="4" s="1"/>
  <c r="AG853" i="4" s="1"/>
  <c r="AK850" i="4"/>
  <c r="AE852" i="4" l="1"/>
  <c r="AF853" i="4" s="1"/>
  <c r="AG854" i="4" s="1"/>
  <c r="AK851" i="4"/>
  <c r="AE853" i="4" l="1"/>
  <c r="AF854" i="4" s="1"/>
  <c r="AG855" i="4" s="1"/>
  <c r="AK852" i="4"/>
  <c r="AE854" i="4" l="1"/>
  <c r="AF855" i="4" s="1"/>
  <c r="AG856" i="4" s="1"/>
  <c r="AK853" i="4"/>
  <c r="AE855" i="4" l="1"/>
  <c r="AF856" i="4" s="1"/>
  <c r="AG857" i="4" s="1"/>
  <c r="AK854" i="4"/>
  <c r="AE856" i="4" l="1"/>
  <c r="AF857" i="4" s="1"/>
  <c r="AG858" i="4" s="1"/>
  <c r="AK855" i="4"/>
  <c r="AE857" i="4" l="1"/>
  <c r="AF858" i="4" s="1"/>
  <c r="AG859" i="4" s="1"/>
  <c r="AK856" i="4"/>
  <c r="AE858" i="4" l="1"/>
  <c r="AF859" i="4" s="1"/>
  <c r="AG860" i="4" s="1"/>
  <c r="AK857" i="4"/>
  <c r="AE859" i="4" l="1"/>
  <c r="AF860" i="4" s="1"/>
  <c r="AG861" i="4" s="1"/>
  <c r="AK858" i="4"/>
  <c r="AE860" i="4" l="1"/>
  <c r="AF861" i="4" s="1"/>
  <c r="AG862" i="4" s="1"/>
  <c r="AK859" i="4"/>
  <c r="AE861" i="4" l="1"/>
  <c r="AF862" i="4" s="1"/>
  <c r="AG863" i="4" s="1"/>
  <c r="AK860" i="4"/>
  <c r="AE862" i="4" l="1"/>
  <c r="AF863" i="4" s="1"/>
  <c r="AG864" i="4" s="1"/>
  <c r="AK861" i="4"/>
  <c r="AE863" i="4" l="1"/>
  <c r="AF864" i="4" s="1"/>
  <c r="AG865" i="4" s="1"/>
  <c r="AK862" i="4"/>
  <c r="AE864" i="4" l="1"/>
  <c r="AF865" i="4" s="1"/>
  <c r="AG866" i="4" s="1"/>
  <c r="AK863" i="4"/>
  <c r="AE865" i="4" l="1"/>
  <c r="AF866" i="4" s="1"/>
  <c r="AG867" i="4" s="1"/>
  <c r="AK864" i="4"/>
  <c r="AE866" i="4" l="1"/>
  <c r="AF867" i="4" s="1"/>
  <c r="AG868" i="4" s="1"/>
  <c r="AK865" i="4"/>
  <c r="AE867" i="4" l="1"/>
  <c r="AF868" i="4" s="1"/>
  <c r="AG869" i="4" s="1"/>
  <c r="AK866" i="4"/>
  <c r="AE868" i="4" l="1"/>
  <c r="AF869" i="4" s="1"/>
  <c r="AG870" i="4" s="1"/>
  <c r="AK867" i="4"/>
  <c r="AE869" i="4" l="1"/>
  <c r="AF870" i="4" s="1"/>
  <c r="AG871" i="4" s="1"/>
  <c r="AK868" i="4"/>
  <c r="AE870" i="4" l="1"/>
  <c r="AF871" i="4" s="1"/>
  <c r="AG872" i="4" s="1"/>
  <c r="AK869" i="4"/>
  <c r="AE871" i="4" l="1"/>
  <c r="AF872" i="4" s="1"/>
  <c r="AG873" i="4" s="1"/>
  <c r="AK870" i="4"/>
  <c r="AE872" i="4" l="1"/>
  <c r="AF873" i="4" s="1"/>
  <c r="AG874" i="4" s="1"/>
  <c r="AK871" i="4"/>
  <c r="AE873" i="4" l="1"/>
  <c r="AF874" i="4" s="1"/>
  <c r="AG875" i="4" s="1"/>
  <c r="AK872" i="4"/>
  <c r="AE874" i="4" l="1"/>
  <c r="AF875" i="4" s="1"/>
  <c r="AG876" i="4" s="1"/>
  <c r="AK873" i="4"/>
  <c r="AE875" i="4" l="1"/>
  <c r="AF876" i="4" s="1"/>
  <c r="AG877" i="4" s="1"/>
  <c r="AK874" i="4"/>
  <c r="AE876" i="4" l="1"/>
  <c r="AF877" i="4" s="1"/>
  <c r="AG878" i="4" s="1"/>
  <c r="AK875" i="4"/>
  <c r="AE877" i="4" l="1"/>
  <c r="AF878" i="4" s="1"/>
  <c r="AG879" i="4" s="1"/>
  <c r="AK876" i="4"/>
  <c r="AE878" i="4" l="1"/>
  <c r="AF879" i="4" s="1"/>
  <c r="AG880" i="4" s="1"/>
  <c r="AK877" i="4"/>
  <c r="AE879" i="4" l="1"/>
  <c r="AF880" i="4" s="1"/>
  <c r="AG881" i="4" s="1"/>
  <c r="AK878" i="4"/>
  <c r="AE880" i="4" l="1"/>
  <c r="AF881" i="4" s="1"/>
  <c r="AG882" i="4" s="1"/>
  <c r="AK879" i="4"/>
  <c r="AE881" i="4" l="1"/>
  <c r="AF882" i="4" s="1"/>
  <c r="AG883" i="4" s="1"/>
  <c r="AK880" i="4"/>
  <c r="AE882" i="4" l="1"/>
  <c r="AF883" i="4" s="1"/>
  <c r="AG884" i="4" s="1"/>
  <c r="AK881" i="4"/>
  <c r="AE883" i="4" l="1"/>
  <c r="AF884" i="4" s="1"/>
  <c r="AG885" i="4" s="1"/>
  <c r="AK882" i="4"/>
  <c r="AE884" i="4" l="1"/>
  <c r="AF885" i="4" s="1"/>
  <c r="AG886" i="4" s="1"/>
  <c r="AK883" i="4"/>
  <c r="AE885" i="4" l="1"/>
  <c r="AF886" i="4" s="1"/>
  <c r="AG887" i="4" s="1"/>
  <c r="AK884" i="4"/>
  <c r="AE886" i="4" l="1"/>
  <c r="AF887" i="4" s="1"/>
  <c r="AG888" i="4" s="1"/>
  <c r="AK885" i="4"/>
  <c r="AE887" i="4" l="1"/>
  <c r="AF888" i="4" s="1"/>
  <c r="AG889" i="4" s="1"/>
  <c r="AK886" i="4"/>
  <c r="AE888" i="4" l="1"/>
  <c r="AF889" i="4" s="1"/>
  <c r="AG890" i="4" s="1"/>
  <c r="AK887" i="4"/>
  <c r="AE889" i="4" l="1"/>
  <c r="AF890" i="4" s="1"/>
  <c r="AG891" i="4" s="1"/>
  <c r="AK888" i="4"/>
  <c r="AE890" i="4" l="1"/>
  <c r="AF891" i="4" s="1"/>
  <c r="AG892" i="4" s="1"/>
  <c r="AK889" i="4"/>
  <c r="AE891" i="4" l="1"/>
  <c r="AF892" i="4" s="1"/>
  <c r="AG893" i="4" s="1"/>
  <c r="AK890" i="4"/>
  <c r="AE892" i="4" l="1"/>
  <c r="AF893" i="4" s="1"/>
  <c r="AG894" i="4" s="1"/>
  <c r="AK891" i="4"/>
  <c r="AE893" i="4" l="1"/>
  <c r="AF894" i="4" s="1"/>
  <c r="AG895" i="4" s="1"/>
  <c r="AK892" i="4"/>
  <c r="AE894" i="4" l="1"/>
  <c r="AF895" i="4" s="1"/>
  <c r="AG896" i="4" s="1"/>
  <c r="AK893" i="4"/>
  <c r="AE895" i="4" l="1"/>
  <c r="AF896" i="4" s="1"/>
  <c r="AG897" i="4" s="1"/>
  <c r="AK894" i="4"/>
  <c r="AE896" i="4" l="1"/>
  <c r="AF897" i="4" s="1"/>
  <c r="AG898" i="4" s="1"/>
  <c r="AK895" i="4"/>
  <c r="AE897" i="4" l="1"/>
  <c r="AF898" i="4" s="1"/>
  <c r="AG899" i="4" s="1"/>
  <c r="AK896" i="4"/>
  <c r="AE898" i="4" l="1"/>
  <c r="AF899" i="4" s="1"/>
  <c r="AG900" i="4" s="1"/>
  <c r="AK897" i="4"/>
  <c r="AE899" i="4" l="1"/>
  <c r="AF900" i="4" s="1"/>
  <c r="AG901" i="4" s="1"/>
  <c r="AK898" i="4"/>
  <c r="AE900" i="4" l="1"/>
  <c r="AF901" i="4" s="1"/>
  <c r="AG902" i="4" s="1"/>
  <c r="AK899" i="4"/>
  <c r="AE901" i="4" l="1"/>
  <c r="AF902" i="4" s="1"/>
  <c r="AG903" i="4" s="1"/>
  <c r="AK900" i="4"/>
  <c r="AE902" i="4" l="1"/>
  <c r="AF903" i="4" s="1"/>
  <c r="AG904" i="4" s="1"/>
  <c r="AK901" i="4"/>
  <c r="AE903" i="4" l="1"/>
  <c r="AF904" i="4" s="1"/>
  <c r="AG905" i="4" s="1"/>
  <c r="AK902" i="4"/>
  <c r="AE904" i="4" l="1"/>
  <c r="AF905" i="4" s="1"/>
  <c r="AG906" i="4" s="1"/>
  <c r="AK903" i="4"/>
  <c r="AE905" i="4" l="1"/>
  <c r="AF906" i="4" s="1"/>
  <c r="AG907" i="4" s="1"/>
  <c r="AK904" i="4"/>
  <c r="AE906" i="4" l="1"/>
  <c r="AF907" i="4" s="1"/>
  <c r="AG908" i="4" s="1"/>
  <c r="AK905" i="4"/>
  <c r="AE907" i="4" l="1"/>
  <c r="AF908" i="4" s="1"/>
  <c r="AG909" i="4" s="1"/>
  <c r="AK906" i="4"/>
  <c r="AE908" i="4" l="1"/>
  <c r="AF909" i="4" s="1"/>
  <c r="AG910" i="4" s="1"/>
  <c r="AK907" i="4"/>
  <c r="AE909" i="4" l="1"/>
  <c r="AF910" i="4" s="1"/>
  <c r="AG911" i="4" s="1"/>
  <c r="AK908" i="4"/>
  <c r="AE910" i="4" l="1"/>
  <c r="AF911" i="4" s="1"/>
  <c r="AG912" i="4" s="1"/>
  <c r="AK909" i="4"/>
  <c r="AE911" i="4" l="1"/>
  <c r="AF912" i="4" s="1"/>
  <c r="AG913" i="4" s="1"/>
  <c r="AK910" i="4"/>
  <c r="AE912" i="4" l="1"/>
  <c r="AF913" i="4" s="1"/>
  <c r="AG914" i="4" s="1"/>
  <c r="AK911" i="4"/>
  <c r="AE913" i="4" l="1"/>
  <c r="AF914" i="4" s="1"/>
  <c r="AG915" i="4" s="1"/>
  <c r="AK912" i="4"/>
  <c r="AE914" i="4" l="1"/>
  <c r="AF915" i="4" s="1"/>
  <c r="AG916" i="4" s="1"/>
  <c r="AK913" i="4"/>
  <c r="AE915" i="4" l="1"/>
  <c r="AF916" i="4" s="1"/>
  <c r="AG917" i="4" s="1"/>
  <c r="AK914" i="4"/>
  <c r="AE916" i="4" l="1"/>
  <c r="AF917" i="4" s="1"/>
  <c r="AG918" i="4" s="1"/>
  <c r="AK915" i="4"/>
  <c r="AE917" i="4" l="1"/>
  <c r="AF918" i="4" s="1"/>
  <c r="AG919" i="4" s="1"/>
  <c r="AK916" i="4"/>
  <c r="AE918" i="4" l="1"/>
  <c r="AF919" i="4" s="1"/>
  <c r="AG920" i="4" s="1"/>
  <c r="AK917" i="4"/>
  <c r="AE919" i="4" l="1"/>
  <c r="AF920" i="4" s="1"/>
  <c r="AG921" i="4" s="1"/>
  <c r="AK918" i="4"/>
  <c r="AE920" i="4" l="1"/>
  <c r="AF921" i="4" s="1"/>
  <c r="AG922" i="4" s="1"/>
  <c r="AK919" i="4"/>
  <c r="AE921" i="4" l="1"/>
  <c r="AF922" i="4" s="1"/>
  <c r="AG923" i="4" s="1"/>
  <c r="AK920" i="4"/>
  <c r="AE922" i="4" l="1"/>
  <c r="AF923" i="4" s="1"/>
  <c r="AG924" i="4" s="1"/>
  <c r="AK921" i="4"/>
  <c r="AE923" i="4" l="1"/>
  <c r="AF924" i="4" s="1"/>
  <c r="AG925" i="4" s="1"/>
  <c r="AK922" i="4"/>
  <c r="AE924" i="4" l="1"/>
  <c r="AF925" i="4" s="1"/>
  <c r="AG926" i="4" s="1"/>
  <c r="AK923" i="4"/>
  <c r="AE925" i="4" l="1"/>
  <c r="AF926" i="4" s="1"/>
  <c r="AG927" i="4" s="1"/>
  <c r="AK924" i="4"/>
  <c r="AE926" i="4" l="1"/>
  <c r="AF927" i="4" s="1"/>
  <c r="AG928" i="4" s="1"/>
  <c r="AK925" i="4"/>
  <c r="AE927" i="4" l="1"/>
  <c r="AF928" i="4" s="1"/>
  <c r="AG929" i="4" s="1"/>
  <c r="AK926" i="4"/>
  <c r="AE928" i="4" l="1"/>
  <c r="AF929" i="4" s="1"/>
  <c r="AG930" i="4" s="1"/>
  <c r="AK927" i="4"/>
  <c r="AE929" i="4" l="1"/>
  <c r="AF930" i="4" s="1"/>
  <c r="AG931" i="4" s="1"/>
  <c r="AK928" i="4"/>
  <c r="AE930" i="4" l="1"/>
  <c r="AF931" i="4" s="1"/>
  <c r="AG932" i="4" s="1"/>
  <c r="AK929" i="4"/>
  <c r="AE931" i="4" l="1"/>
  <c r="AF932" i="4" s="1"/>
  <c r="AG933" i="4" s="1"/>
  <c r="AK930" i="4"/>
  <c r="AE932" i="4" l="1"/>
  <c r="AF933" i="4" s="1"/>
  <c r="AG934" i="4" s="1"/>
  <c r="AK931" i="4"/>
  <c r="AE933" i="4" l="1"/>
  <c r="AF934" i="4" s="1"/>
  <c r="AG935" i="4" s="1"/>
  <c r="AK932" i="4"/>
  <c r="AE934" i="4" l="1"/>
  <c r="AF935" i="4" s="1"/>
  <c r="AG936" i="4" s="1"/>
  <c r="AK933" i="4"/>
  <c r="AE935" i="4" l="1"/>
  <c r="AF936" i="4" s="1"/>
  <c r="AG937" i="4" s="1"/>
  <c r="AK934" i="4"/>
  <c r="AE936" i="4" l="1"/>
  <c r="AF937" i="4" s="1"/>
  <c r="AG938" i="4" s="1"/>
  <c r="AK935" i="4"/>
  <c r="AE937" i="4" l="1"/>
  <c r="AF938" i="4" s="1"/>
  <c r="AG939" i="4" s="1"/>
  <c r="AK936" i="4"/>
  <c r="AE938" i="4" l="1"/>
  <c r="AF939" i="4" s="1"/>
  <c r="AG940" i="4" s="1"/>
  <c r="AK937" i="4"/>
  <c r="AE939" i="4" l="1"/>
  <c r="AF940" i="4" s="1"/>
  <c r="AG941" i="4" s="1"/>
  <c r="AK938" i="4"/>
  <c r="AE940" i="4" l="1"/>
  <c r="AF941" i="4" s="1"/>
  <c r="AG942" i="4" s="1"/>
  <c r="AK939" i="4"/>
  <c r="AE941" i="4" l="1"/>
  <c r="AF942" i="4" s="1"/>
  <c r="AG943" i="4" s="1"/>
  <c r="AK940" i="4"/>
  <c r="AE942" i="4" l="1"/>
  <c r="AF943" i="4" s="1"/>
  <c r="AG944" i="4" s="1"/>
  <c r="AK941" i="4"/>
  <c r="AE943" i="4" l="1"/>
  <c r="AF944" i="4" s="1"/>
  <c r="AG945" i="4" s="1"/>
  <c r="AK942" i="4"/>
  <c r="AE944" i="4" l="1"/>
  <c r="AF945" i="4" s="1"/>
  <c r="AG946" i="4" s="1"/>
  <c r="AK943" i="4"/>
  <c r="AE945" i="4" l="1"/>
  <c r="AF946" i="4" s="1"/>
  <c r="AG947" i="4" s="1"/>
  <c r="AK944" i="4"/>
  <c r="AE946" i="4" l="1"/>
  <c r="AF947" i="4" s="1"/>
  <c r="AG948" i="4" s="1"/>
  <c r="AK945" i="4"/>
  <c r="AE947" i="4" l="1"/>
  <c r="AF948" i="4" s="1"/>
  <c r="AG949" i="4" s="1"/>
  <c r="AK946" i="4"/>
  <c r="AE948" i="4" l="1"/>
  <c r="AF949" i="4" s="1"/>
  <c r="AG950" i="4" s="1"/>
  <c r="AK947" i="4"/>
  <c r="AE949" i="4" l="1"/>
  <c r="AF950" i="4" s="1"/>
  <c r="AG951" i="4" s="1"/>
  <c r="AK948" i="4"/>
  <c r="AE950" i="4" l="1"/>
  <c r="AF951" i="4" s="1"/>
  <c r="AG952" i="4" s="1"/>
  <c r="AK949" i="4"/>
  <c r="AE951" i="4" l="1"/>
  <c r="AF952" i="4" s="1"/>
  <c r="AG953" i="4" s="1"/>
  <c r="AK950" i="4"/>
  <c r="AE952" i="4" l="1"/>
  <c r="AF953" i="4" s="1"/>
  <c r="AG954" i="4" s="1"/>
  <c r="AK951" i="4"/>
  <c r="AE953" i="4" l="1"/>
  <c r="AF954" i="4" s="1"/>
  <c r="AG955" i="4" s="1"/>
  <c r="AK952" i="4"/>
  <c r="AE954" i="4" l="1"/>
  <c r="AF955" i="4" s="1"/>
  <c r="AG956" i="4" s="1"/>
  <c r="AK953" i="4"/>
  <c r="AE955" i="4" l="1"/>
  <c r="AF956" i="4" s="1"/>
  <c r="AG957" i="4" s="1"/>
  <c r="AK954" i="4"/>
  <c r="AE956" i="4" l="1"/>
  <c r="AF957" i="4" s="1"/>
  <c r="AG958" i="4" s="1"/>
  <c r="AK955" i="4"/>
  <c r="AE957" i="4" l="1"/>
  <c r="AF958" i="4" s="1"/>
  <c r="AG959" i="4" s="1"/>
  <c r="AK956" i="4"/>
  <c r="AE958" i="4" l="1"/>
  <c r="AF959" i="4" s="1"/>
  <c r="AG960" i="4" s="1"/>
  <c r="AK957" i="4"/>
  <c r="AE959" i="4" l="1"/>
  <c r="AF960" i="4" s="1"/>
  <c r="AG961" i="4" s="1"/>
  <c r="AK958" i="4"/>
  <c r="AE960" i="4" l="1"/>
  <c r="AF961" i="4" s="1"/>
  <c r="AG962" i="4" s="1"/>
  <c r="AK959" i="4"/>
  <c r="AE961" i="4" l="1"/>
  <c r="AF962" i="4" s="1"/>
  <c r="AG963" i="4" s="1"/>
  <c r="AK960" i="4"/>
  <c r="AE962" i="4" l="1"/>
  <c r="AF963" i="4" s="1"/>
  <c r="AG964" i="4" s="1"/>
  <c r="AK961" i="4"/>
  <c r="AE963" i="4" l="1"/>
  <c r="AF964" i="4" s="1"/>
  <c r="AG965" i="4" s="1"/>
  <c r="AK962" i="4"/>
  <c r="AE964" i="4" l="1"/>
  <c r="AF965" i="4" s="1"/>
  <c r="AG966" i="4" s="1"/>
  <c r="AK963" i="4"/>
  <c r="AE965" i="4" l="1"/>
  <c r="AF966" i="4" s="1"/>
  <c r="AG967" i="4" s="1"/>
  <c r="AK964" i="4"/>
  <c r="AE966" i="4" l="1"/>
  <c r="AF967" i="4" s="1"/>
  <c r="AG968" i="4" s="1"/>
  <c r="AK965" i="4"/>
  <c r="AE967" i="4" l="1"/>
  <c r="AF968" i="4" s="1"/>
  <c r="AG969" i="4" s="1"/>
  <c r="AK966" i="4"/>
  <c r="AE968" i="4" l="1"/>
  <c r="AF969" i="4" s="1"/>
  <c r="AG970" i="4" s="1"/>
  <c r="AK967" i="4"/>
  <c r="AE969" i="4" l="1"/>
  <c r="AF970" i="4" s="1"/>
  <c r="AG971" i="4" s="1"/>
  <c r="AK968" i="4"/>
  <c r="AE970" i="4" l="1"/>
  <c r="AF971" i="4" s="1"/>
  <c r="AG972" i="4" s="1"/>
  <c r="AK969" i="4"/>
  <c r="AE971" i="4" l="1"/>
  <c r="AF972" i="4" s="1"/>
  <c r="AG973" i="4" s="1"/>
  <c r="AK970" i="4"/>
  <c r="AE972" i="4" l="1"/>
  <c r="AF973" i="4" s="1"/>
  <c r="AG974" i="4" s="1"/>
  <c r="AK971" i="4"/>
  <c r="AE973" i="4" l="1"/>
  <c r="AF974" i="4" s="1"/>
  <c r="AG975" i="4" s="1"/>
  <c r="AK972" i="4"/>
  <c r="AE974" i="4" l="1"/>
  <c r="AF975" i="4" s="1"/>
  <c r="AG976" i="4" s="1"/>
  <c r="AK973" i="4"/>
  <c r="AE975" i="4" l="1"/>
  <c r="AF976" i="4" s="1"/>
  <c r="AG977" i="4" s="1"/>
  <c r="AK974" i="4"/>
  <c r="AE976" i="4" l="1"/>
  <c r="AF977" i="4" s="1"/>
  <c r="AG978" i="4" s="1"/>
  <c r="AK975" i="4"/>
  <c r="AE977" i="4" l="1"/>
  <c r="AF978" i="4" s="1"/>
  <c r="AG979" i="4" s="1"/>
  <c r="AK976" i="4"/>
  <c r="AE978" i="4" l="1"/>
  <c r="AF979" i="4" s="1"/>
  <c r="AG980" i="4" s="1"/>
  <c r="AK977" i="4"/>
  <c r="AE979" i="4" l="1"/>
  <c r="AF980" i="4" s="1"/>
  <c r="AG981" i="4" s="1"/>
  <c r="AK978" i="4"/>
  <c r="AE980" i="4" l="1"/>
  <c r="AF981" i="4" s="1"/>
  <c r="AG982" i="4" s="1"/>
  <c r="AK979" i="4"/>
  <c r="AE981" i="4" l="1"/>
  <c r="AF982" i="4" s="1"/>
  <c r="AG983" i="4" s="1"/>
  <c r="AK980" i="4"/>
  <c r="AE982" i="4" l="1"/>
  <c r="AF983" i="4" s="1"/>
  <c r="AG984" i="4" s="1"/>
  <c r="AK981" i="4"/>
  <c r="AE983" i="4" l="1"/>
  <c r="AF984" i="4" s="1"/>
  <c r="AG985" i="4" s="1"/>
  <c r="AK982" i="4"/>
  <c r="AE984" i="4" l="1"/>
  <c r="AF985" i="4" s="1"/>
  <c r="AG986" i="4" s="1"/>
  <c r="AK983" i="4"/>
  <c r="AE985" i="4" l="1"/>
  <c r="AF986" i="4" s="1"/>
  <c r="AG987" i="4" s="1"/>
  <c r="AK984" i="4"/>
  <c r="AE986" i="4" l="1"/>
  <c r="AF987" i="4" s="1"/>
  <c r="AG988" i="4" s="1"/>
  <c r="AK985" i="4"/>
  <c r="AE987" i="4" l="1"/>
  <c r="AF988" i="4" s="1"/>
  <c r="AG989" i="4" s="1"/>
  <c r="AK986" i="4"/>
  <c r="AE988" i="4" l="1"/>
  <c r="AF989" i="4" s="1"/>
  <c r="AG990" i="4" s="1"/>
  <c r="AK987" i="4"/>
  <c r="AE989" i="4" l="1"/>
  <c r="AF990" i="4" s="1"/>
  <c r="AG991" i="4" s="1"/>
  <c r="AK988" i="4"/>
  <c r="AE990" i="4" l="1"/>
  <c r="AF991" i="4" s="1"/>
  <c r="AG992" i="4" s="1"/>
  <c r="AK989" i="4"/>
  <c r="AE991" i="4" l="1"/>
  <c r="AF992" i="4" s="1"/>
  <c r="AG993" i="4" s="1"/>
  <c r="AK990" i="4"/>
  <c r="AE992" i="4" l="1"/>
  <c r="AF993" i="4" s="1"/>
  <c r="AG994" i="4" s="1"/>
  <c r="AK991" i="4"/>
  <c r="AE993" i="4" l="1"/>
  <c r="AF994" i="4" s="1"/>
  <c r="AG995" i="4" s="1"/>
  <c r="AK992" i="4"/>
  <c r="AE994" i="4" l="1"/>
  <c r="AF995" i="4" s="1"/>
  <c r="AG996" i="4" s="1"/>
  <c r="AK993" i="4"/>
  <c r="AE995" i="4" l="1"/>
  <c r="AF996" i="4" s="1"/>
  <c r="AG997" i="4" s="1"/>
  <c r="AK994" i="4"/>
  <c r="AE996" i="4" l="1"/>
  <c r="AF997" i="4" s="1"/>
  <c r="AG998" i="4" s="1"/>
  <c r="AK995" i="4"/>
  <c r="AE997" i="4" l="1"/>
  <c r="AF998" i="4" s="1"/>
  <c r="AG999" i="4" s="1"/>
  <c r="AK996" i="4"/>
  <c r="AE998" i="4" l="1"/>
  <c r="AF999" i="4" s="1"/>
  <c r="AG1000" i="4" s="1"/>
  <c r="AK997" i="4"/>
  <c r="AE999" i="4" l="1"/>
  <c r="AF1000" i="4" s="1"/>
  <c r="AG1001" i="4" s="1"/>
  <c r="AK998" i="4"/>
  <c r="AE1000" i="4" l="1"/>
  <c r="AF1001" i="4" s="1"/>
  <c r="AG1002" i="4" s="1"/>
  <c r="AK999" i="4"/>
  <c r="AE1001" i="4" l="1"/>
  <c r="AF1002" i="4" s="1"/>
  <c r="AG1003" i="4" s="1"/>
  <c r="AK1000" i="4"/>
  <c r="AE1002" i="4" l="1"/>
  <c r="AF1003" i="4" s="1"/>
  <c r="AG1004" i="4" s="1"/>
  <c r="AK1001" i="4"/>
  <c r="AE1003" i="4" l="1"/>
  <c r="AF1004" i="4" s="1"/>
  <c r="AG1005" i="4" s="1"/>
  <c r="AK1002" i="4"/>
  <c r="AE1004" i="4" l="1"/>
  <c r="AF1005" i="4" s="1"/>
  <c r="AG1006" i="4" s="1"/>
  <c r="AK1003" i="4"/>
  <c r="AE1005" i="4" l="1"/>
  <c r="AF1006" i="4" s="1"/>
  <c r="AG1007" i="4" s="1"/>
  <c r="AK1004" i="4"/>
  <c r="AE1006" i="4" l="1"/>
  <c r="AF1007" i="4" s="1"/>
  <c r="AG1008" i="4" s="1"/>
  <c r="AK1005" i="4"/>
  <c r="AE1007" i="4" l="1"/>
  <c r="AF1008" i="4" s="1"/>
  <c r="AG1009" i="4" s="1"/>
  <c r="AK1006" i="4"/>
  <c r="AE1008" i="4" l="1"/>
  <c r="AF1009" i="4" s="1"/>
  <c r="AG1010" i="4" s="1"/>
  <c r="AK1007" i="4"/>
  <c r="AE1009" i="4" l="1"/>
  <c r="AF1010" i="4" s="1"/>
  <c r="AG1011" i="4" s="1"/>
  <c r="AK1008" i="4"/>
  <c r="AE1010" i="4" l="1"/>
  <c r="AF1011" i="4" s="1"/>
  <c r="AG1012" i="4" s="1"/>
  <c r="AK1009" i="4"/>
  <c r="AE1011" i="4" l="1"/>
  <c r="AF1012" i="4" s="1"/>
  <c r="AG1013" i="4" s="1"/>
  <c r="AK1010" i="4"/>
  <c r="AE1012" i="4" l="1"/>
  <c r="AF1013" i="4" s="1"/>
  <c r="AG1014" i="4" s="1"/>
  <c r="AK1011" i="4"/>
  <c r="AE1013" i="4" l="1"/>
  <c r="AF1014" i="4" s="1"/>
  <c r="AG1015" i="4" s="1"/>
  <c r="AK1012" i="4"/>
  <c r="AE1014" i="4" l="1"/>
  <c r="AF1015" i="4" s="1"/>
  <c r="AG1016" i="4" s="1"/>
  <c r="AK1013" i="4"/>
  <c r="AE1015" i="4" l="1"/>
  <c r="AF1016" i="4" s="1"/>
  <c r="AG1017" i="4" s="1"/>
  <c r="AK1014" i="4"/>
  <c r="AE1016" i="4" l="1"/>
  <c r="AF1017" i="4" s="1"/>
  <c r="AG1018" i="4" s="1"/>
  <c r="AK1015" i="4"/>
  <c r="AE1017" i="4" l="1"/>
  <c r="AF1018" i="4" s="1"/>
  <c r="AG1019" i="4" s="1"/>
  <c r="AK1016" i="4"/>
  <c r="AE1018" i="4" l="1"/>
  <c r="AF1019" i="4" s="1"/>
  <c r="AG1020" i="4" s="1"/>
  <c r="AK1017" i="4"/>
  <c r="AE1019" i="4" l="1"/>
  <c r="AF1020" i="4" s="1"/>
  <c r="AG1021" i="4" s="1"/>
  <c r="AK1018" i="4"/>
  <c r="AE1020" i="4" l="1"/>
  <c r="AF1021" i="4" s="1"/>
  <c r="AG1022" i="4" s="1"/>
  <c r="AK1019" i="4"/>
  <c r="AE1021" i="4" l="1"/>
  <c r="AF1022" i="4" s="1"/>
  <c r="AG1023" i="4" s="1"/>
  <c r="AK1020" i="4"/>
  <c r="AE1022" i="4" l="1"/>
  <c r="AF1023" i="4" s="1"/>
  <c r="AG1024" i="4" s="1"/>
  <c r="AK1021" i="4"/>
  <c r="AE1023" i="4" l="1"/>
  <c r="AF1024" i="4" s="1"/>
  <c r="AG1025" i="4" s="1"/>
  <c r="AK1022" i="4"/>
  <c r="AE1024" i="4" l="1"/>
  <c r="AF1025" i="4" s="1"/>
  <c r="AG1026" i="4" s="1"/>
  <c r="AK1023" i="4"/>
  <c r="AE1025" i="4" l="1"/>
  <c r="AF1026" i="4" s="1"/>
  <c r="AG1027" i="4" s="1"/>
  <c r="AK1024" i="4"/>
  <c r="AE1026" i="4" l="1"/>
  <c r="AF1027" i="4" s="1"/>
  <c r="AG1028" i="4" s="1"/>
  <c r="AK1025" i="4"/>
  <c r="AE1027" i="4" l="1"/>
  <c r="AF1028" i="4" s="1"/>
  <c r="AG1029" i="4" s="1"/>
  <c r="AK1026" i="4"/>
  <c r="AE1028" i="4" l="1"/>
  <c r="AF1029" i="4" s="1"/>
  <c r="AG1030" i="4" s="1"/>
  <c r="AK1027" i="4"/>
  <c r="AE1029" i="4" l="1"/>
  <c r="AF1030" i="4" s="1"/>
  <c r="AG1031" i="4" s="1"/>
  <c r="AK1028" i="4"/>
  <c r="AE1030" i="4" l="1"/>
  <c r="AF1031" i="4" s="1"/>
  <c r="AG1032" i="4" s="1"/>
  <c r="AK1029" i="4"/>
  <c r="AE1031" i="4" l="1"/>
  <c r="AF1032" i="4" s="1"/>
  <c r="AG1033" i="4" s="1"/>
  <c r="AK1030" i="4"/>
  <c r="AE1032" i="4" l="1"/>
  <c r="AF1033" i="4" s="1"/>
  <c r="AG1034" i="4" s="1"/>
  <c r="AK1031" i="4"/>
  <c r="AE1033" i="4" l="1"/>
  <c r="AF1034" i="4" s="1"/>
  <c r="AG1035" i="4" s="1"/>
  <c r="AK1032" i="4"/>
  <c r="AE1034" i="4" l="1"/>
  <c r="AF1035" i="4" s="1"/>
  <c r="AG1036" i="4" s="1"/>
  <c r="AK1033" i="4"/>
  <c r="AE1035" i="4" l="1"/>
  <c r="AF1036" i="4" s="1"/>
  <c r="AG1037" i="4" s="1"/>
  <c r="AK1034" i="4"/>
  <c r="AE1036" i="4" l="1"/>
  <c r="AF1037" i="4" s="1"/>
  <c r="AG1038" i="4" s="1"/>
  <c r="AK1035" i="4"/>
  <c r="AE1037" i="4" l="1"/>
  <c r="AF1038" i="4" s="1"/>
  <c r="AG1039" i="4" s="1"/>
  <c r="AK1036" i="4"/>
  <c r="AE1038" i="4" l="1"/>
  <c r="AF1039" i="4" s="1"/>
  <c r="AG1040" i="4" s="1"/>
  <c r="AK1037" i="4"/>
  <c r="AE1039" i="4" l="1"/>
  <c r="AF1040" i="4" s="1"/>
  <c r="AG1041" i="4" s="1"/>
  <c r="AK1038" i="4"/>
  <c r="AE1040" i="4" l="1"/>
  <c r="AF1041" i="4" s="1"/>
  <c r="AG1042" i="4" s="1"/>
  <c r="AK1039" i="4"/>
  <c r="AE1041" i="4" l="1"/>
  <c r="AF1042" i="4" s="1"/>
  <c r="AG1043" i="4" s="1"/>
  <c r="AK1040" i="4"/>
  <c r="AE1042" i="4" l="1"/>
  <c r="AF1043" i="4" s="1"/>
  <c r="AG1044" i="4" s="1"/>
  <c r="AK1041" i="4"/>
  <c r="AE1043" i="4" l="1"/>
  <c r="AF1044" i="4" s="1"/>
  <c r="AG1045" i="4" s="1"/>
  <c r="AK1042" i="4"/>
  <c r="AE1044" i="4" l="1"/>
  <c r="AF1045" i="4" s="1"/>
  <c r="AG1046" i="4" s="1"/>
  <c r="AK1043" i="4"/>
  <c r="AE1045" i="4" l="1"/>
  <c r="AF1046" i="4" s="1"/>
  <c r="AG1047" i="4" s="1"/>
  <c r="AK1044" i="4"/>
  <c r="AE1046" i="4" l="1"/>
  <c r="AF1047" i="4" s="1"/>
  <c r="AG1048" i="4" s="1"/>
  <c r="AK1045" i="4"/>
  <c r="AE1047" i="4" l="1"/>
  <c r="AF1048" i="4" s="1"/>
  <c r="AG1049" i="4" s="1"/>
  <c r="AK1046" i="4"/>
  <c r="AE1048" i="4" l="1"/>
  <c r="AF1049" i="4" s="1"/>
  <c r="AG1050" i="4" s="1"/>
  <c r="AK1047" i="4"/>
  <c r="AE1049" i="4" l="1"/>
  <c r="AF1050" i="4" s="1"/>
  <c r="AG1051" i="4" s="1"/>
  <c r="AK1048" i="4"/>
  <c r="AE1050" i="4" l="1"/>
  <c r="AF1051" i="4" s="1"/>
  <c r="AG1052" i="4" s="1"/>
  <c r="AK1049" i="4"/>
  <c r="AE1051" i="4" l="1"/>
  <c r="AF1052" i="4" s="1"/>
  <c r="AG1053" i="4" s="1"/>
  <c r="AK1050" i="4"/>
  <c r="AE1052" i="4" l="1"/>
  <c r="AF1053" i="4" s="1"/>
  <c r="AG1054" i="4" s="1"/>
  <c r="AK1051" i="4"/>
  <c r="AE1053" i="4" l="1"/>
  <c r="AF1054" i="4" s="1"/>
  <c r="AG1055" i="4" s="1"/>
  <c r="AK1052" i="4"/>
  <c r="AE1054" i="4" l="1"/>
  <c r="AF1055" i="4" s="1"/>
  <c r="AG1056" i="4" s="1"/>
  <c r="AK1053" i="4"/>
  <c r="AE1055" i="4" l="1"/>
  <c r="AF1056" i="4" s="1"/>
  <c r="AG1057" i="4" s="1"/>
  <c r="AK1054" i="4"/>
  <c r="AE1056" i="4" l="1"/>
  <c r="AF1057" i="4" s="1"/>
  <c r="AG1058" i="4" s="1"/>
  <c r="AK1055" i="4"/>
  <c r="AE1057" i="4" l="1"/>
  <c r="AF1058" i="4" s="1"/>
  <c r="AG1059" i="4" s="1"/>
  <c r="AK1056" i="4"/>
  <c r="AE1058" i="4" l="1"/>
  <c r="AF1059" i="4" s="1"/>
  <c r="AG1060" i="4" s="1"/>
  <c r="AK1057" i="4"/>
  <c r="AE1059" i="4" l="1"/>
  <c r="AF1060" i="4" s="1"/>
  <c r="AG1061" i="4" s="1"/>
  <c r="AK1058" i="4"/>
  <c r="AE1060" i="4" l="1"/>
  <c r="AF1061" i="4" s="1"/>
  <c r="AG1062" i="4" s="1"/>
  <c r="AK1059" i="4"/>
  <c r="AE1061" i="4" l="1"/>
  <c r="AF1062" i="4" s="1"/>
  <c r="AG1063" i="4" s="1"/>
  <c r="AK1060" i="4"/>
  <c r="AE1062" i="4" l="1"/>
  <c r="AF1063" i="4" s="1"/>
  <c r="AG1064" i="4" s="1"/>
  <c r="AK1061" i="4"/>
  <c r="AE1063" i="4" l="1"/>
  <c r="AF1064" i="4" s="1"/>
  <c r="AG1065" i="4" s="1"/>
  <c r="AK1062" i="4"/>
  <c r="AE1064" i="4" l="1"/>
  <c r="AF1065" i="4" s="1"/>
  <c r="AG1066" i="4" s="1"/>
  <c r="AK1063" i="4"/>
  <c r="AE1065" i="4" l="1"/>
  <c r="AF1066" i="4" s="1"/>
  <c r="AG1067" i="4" s="1"/>
  <c r="AK1064" i="4"/>
  <c r="AE1066" i="4" l="1"/>
  <c r="AF1067" i="4" s="1"/>
  <c r="AG1068" i="4" s="1"/>
  <c r="AK1065" i="4"/>
  <c r="AE1067" i="4" l="1"/>
  <c r="AF1068" i="4" s="1"/>
  <c r="AG1069" i="4" s="1"/>
  <c r="AK1066" i="4"/>
  <c r="AE1068" i="4" l="1"/>
  <c r="AF1069" i="4" s="1"/>
  <c r="AG1070" i="4" s="1"/>
  <c r="AK1067" i="4"/>
  <c r="AE1069" i="4" l="1"/>
  <c r="AF1070" i="4" s="1"/>
  <c r="AG1071" i="4" s="1"/>
  <c r="AK1068" i="4"/>
  <c r="AE1070" i="4" l="1"/>
  <c r="AF1071" i="4" s="1"/>
  <c r="AG1072" i="4" s="1"/>
  <c r="AK1069" i="4"/>
  <c r="AE1071" i="4" l="1"/>
  <c r="AF1072" i="4" s="1"/>
  <c r="AG1073" i="4" s="1"/>
  <c r="AK1070" i="4"/>
  <c r="AE1072" i="4" l="1"/>
  <c r="AF1073" i="4" s="1"/>
  <c r="AG1074" i="4" s="1"/>
  <c r="AK1071" i="4"/>
  <c r="AE1073" i="4" l="1"/>
  <c r="AF1074" i="4" s="1"/>
  <c r="AG1075" i="4" s="1"/>
  <c r="AK1072" i="4"/>
  <c r="AE1074" i="4" l="1"/>
  <c r="AF1075" i="4" s="1"/>
  <c r="AG1076" i="4" s="1"/>
  <c r="AK1073" i="4"/>
  <c r="AE1075" i="4" l="1"/>
  <c r="AF1076" i="4" s="1"/>
  <c r="AG1077" i="4" s="1"/>
  <c r="AK1074" i="4"/>
  <c r="AE1076" i="4" l="1"/>
  <c r="AF1077" i="4" s="1"/>
  <c r="AG1078" i="4" s="1"/>
  <c r="AK1075" i="4"/>
  <c r="AE1077" i="4" l="1"/>
  <c r="AF1078" i="4" s="1"/>
  <c r="AG1079" i="4" s="1"/>
  <c r="AK1076" i="4"/>
  <c r="AE1078" i="4" l="1"/>
  <c r="AF1079" i="4" s="1"/>
  <c r="AG1080" i="4" s="1"/>
  <c r="AK1077" i="4"/>
  <c r="AE1079" i="4" l="1"/>
  <c r="AF1080" i="4" s="1"/>
  <c r="AG1081" i="4" s="1"/>
  <c r="AK1078" i="4"/>
  <c r="AE1080" i="4" l="1"/>
  <c r="AF1081" i="4" s="1"/>
  <c r="AG1082" i="4" s="1"/>
  <c r="AK1079" i="4"/>
  <c r="AE1081" i="4" l="1"/>
  <c r="AF1082" i="4" s="1"/>
  <c r="AG1083" i="4" s="1"/>
  <c r="AK1080" i="4"/>
  <c r="AE1082" i="4" l="1"/>
  <c r="AF1083" i="4" s="1"/>
  <c r="AG1084" i="4" s="1"/>
  <c r="AK1081" i="4"/>
  <c r="AE1083" i="4" l="1"/>
  <c r="AF1084" i="4" s="1"/>
  <c r="AG1085" i="4" s="1"/>
  <c r="AK1082" i="4"/>
  <c r="AE1084" i="4" l="1"/>
  <c r="AF1085" i="4" s="1"/>
  <c r="AG1086" i="4" s="1"/>
  <c r="AK1083" i="4"/>
  <c r="AE1085" i="4" l="1"/>
  <c r="AF1086" i="4" s="1"/>
  <c r="AG1087" i="4" s="1"/>
  <c r="AK1084" i="4"/>
  <c r="AE1086" i="4" l="1"/>
  <c r="AF1087" i="4" s="1"/>
  <c r="AG1088" i="4" s="1"/>
  <c r="AK1085" i="4"/>
  <c r="AE1087" i="4" l="1"/>
  <c r="AF1088" i="4" s="1"/>
  <c r="AG1089" i="4" s="1"/>
  <c r="AK1086" i="4"/>
  <c r="AE1088" i="4" l="1"/>
  <c r="AF1089" i="4" s="1"/>
  <c r="AG1090" i="4" s="1"/>
  <c r="AK1087" i="4"/>
  <c r="AE1089" i="4" l="1"/>
  <c r="AF1090" i="4" s="1"/>
  <c r="AG1091" i="4" s="1"/>
  <c r="AK1088" i="4"/>
  <c r="AE1090" i="4" l="1"/>
  <c r="AF1091" i="4" s="1"/>
  <c r="AG1092" i="4" s="1"/>
  <c r="AK1089" i="4"/>
  <c r="AE1091" i="4" l="1"/>
  <c r="AF1092" i="4" s="1"/>
  <c r="AG1093" i="4" s="1"/>
  <c r="AK1090" i="4"/>
  <c r="AE1092" i="4" l="1"/>
  <c r="AF1093" i="4" s="1"/>
  <c r="AG1094" i="4" s="1"/>
  <c r="AK1091" i="4"/>
  <c r="AE1093" i="4" l="1"/>
  <c r="AF1094" i="4" s="1"/>
  <c r="AG1095" i="4" s="1"/>
  <c r="AK1092" i="4"/>
  <c r="AE1094" i="4" l="1"/>
  <c r="AF1095" i="4" s="1"/>
  <c r="AG1096" i="4" s="1"/>
  <c r="AK1093" i="4"/>
  <c r="AE1095" i="4" l="1"/>
  <c r="AF1096" i="4" s="1"/>
  <c r="AG1097" i="4" s="1"/>
  <c r="AK1094" i="4"/>
  <c r="AE1096" i="4" l="1"/>
  <c r="AF1097" i="4" s="1"/>
  <c r="AG1098" i="4" s="1"/>
  <c r="AK1095" i="4"/>
  <c r="AE1097" i="4" l="1"/>
  <c r="AF1098" i="4" s="1"/>
  <c r="AG1099" i="4" s="1"/>
  <c r="AK1096" i="4"/>
  <c r="AE1098" i="4" l="1"/>
  <c r="AF1099" i="4" s="1"/>
  <c r="AG1100" i="4" s="1"/>
  <c r="AK1097" i="4"/>
  <c r="AE1099" i="4" l="1"/>
  <c r="AF1100" i="4" s="1"/>
  <c r="AG1101" i="4" s="1"/>
  <c r="AK1098" i="4"/>
  <c r="AE1100" i="4" l="1"/>
  <c r="AF1101" i="4" s="1"/>
  <c r="AG1102" i="4" s="1"/>
  <c r="AK1099" i="4"/>
  <c r="AE1101" i="4" l="1"/>
  <c r="AF1102" i="4" s="1"/>
  <c r="AG1103" i="4" s="1"/>
  <c r="AK1100" i="4"/>
  <c r="AE1102" i="4" l="1"/>
  <c r="AF1103" i="4" s="1"/>
  <c r="AG1104" i="4" s="1"/>
  <c r="AK1101" i="4"/>
  <c r="AE1103" i="4" l="1"/>
  <c r="AF1104" i="4" s="1"/>
  <c r="AG1105" i="4" s="1"/>
  <c r="AK1102" i="4"/>
  <c r="AE1104" i="4" l="1"/>
  <c r="AF1105" i="4" s="1"/>
  <c r="AG1106" i="4" s="1"/>
  <c r="AK1103" i="4"/>
  <c r="AE1105" i="4" l="1"/>
  <c r="AF1106" i="4" s="1"/>
  <c r="AG1107" i="4" s="1"/>
  <c r="AK1104" i="4"/>
  <c r="AE1106" i="4" l="1"/>
  <c r="AF1107" i="4" s="1"/>
  <c r="AG1108" i="4" s="1"/>
  <c r="AK1105" i="4"/>
  <c r="AE1107" i="4" l="1"/>
  <c r="AF1108" i="4" s="1"/>
  <c r="AG1109" i="4" s="1"/>
  <c r="AK1106" i="4"/>
  <c r="AE1108" i="4" l="1"/>
  <c r="AF1109" i="4" s="1"/>
  <c r="AG1110" i="4" s="1"/>
  <c r="AK1107" i="4"/>
  <c r="AE1109" i="4" l="1"/>
  <c r="AF1110" i="4" s="1"/>
  <c r="AG1111" i="4" s="1"/>
  <c r="AK1108" i="4"/>
  <c r="AE1110" i="4" l="1"/>
  <c r="AF1111" i="4" s="1"/>
  <c r="AG1112" i="4" s="1"/>
  <c r="AK1109" i="4"/>
  <c r="AE1111" i="4" l="1"/>
  <c r="AF1112" i="4" s="1"/>
  <c r="AG1113" i="4" s="1"/>
  <c r="AK1110" i="4"/>
  <c r="AE1112" i="4" l="1"/>
  <c r="AF1113" i="4" s="1"/>
  <c r="AG1114" i="4" s="1"/>
  <c r="AK1111" i="4"/>
  <c r="AE1113" i="4" l="1"/>
  <c r="AF1114" i="4" s="1"/>
  <c r="AG1115" i="4" s="1"/>
  <c r="AK1112" i="4"/>
  <c r="AE1114" i="4" l="1"/>
  <c r="AF1115" i="4" s="1"/>
  <c r="AG1116" i="4" s="1"/>
  <c r="AK1113" i="4"/>
  <c r="AE1115" i="4" l="1"/>
  <c r="AF1116" i="4" s="1"/>
  <c r="AG1117" i="4" s="1"/>
  <c r="AK1114" i="4"/>
  <c r="AE1116" i="4" l="1"/>
  <c r="AF1117" i="4" s="1"/>
  <c r="AG1118" i="4" s="1"/>
  <c r="AK1115" i="4"/>
  <c r="AE1117" i="4" l="1"/>
  <c r="AF1118" i="4" s="1"/>
  <c r="AG1119" i="4" s="1"/>
  <c r="AK1116" i="4"/>
  <c r="AE1118" i="4" l="1"/>
  <c r="AF1119" i="4" s="1"/>
  <c r="AG1120" i="4" s="1"/>
  <c r="AK1117" i="4"/>
  <c r="AE1119" i="4" l="1"/>
  <c r="AF1120" i="4" s="1"/>
  <c r="AG1121" i="4" s="1"/>
  <c r="AK1118" i="4"/>
  <c r="AE1120" i="4" l="1"/>
  <c r="AF1121" i="4" s="1"/>
  <c r="AG1122" i="4" s="1"/>
  <c r="AK1119" i="4"/>
  <c r="AE1121" i="4" l="1"/>
  <c r="AF1122" i="4" s="1"/>
  <c r="AG1123" i="4" s="1"/>
  <c r="AK1120" i="4"/>
  <c r="AE1122" i="4" l="1"/>
  <c r="AF1123" i="4" s="1"/>
  <c r="AG1124" i="4" s="1"/>
  <c r="AK1121" i="4"/>
  <c r="AE1123" i="4" l="1"/>
  <c r="AF1124" i="4" s="1"/>
  <c r="AG1125" i="4" s="1"/>
  <c r="AK1122" i="4"/>
  <c r="AE1124" i="4" l="1"/>
  <c r="AF1125" i="4" s="1"/>
  <c r="AG1126" i="4" s="1"/>
  <c r="AK1123" i="4"/>
  <c r="AE1125" i="4" l="1"/>
  <c r="AF1126" i="4" s="1"/>
  <c r="AG1127" i="4" s="1"/>
  <c r="AK1124" i="4"/>
  <c r="AE1126" i="4" l="1"/>
  <c r="AF1127" i="4" s="1"/>
  <c r="AG1128" i="4" s="1"/>
  <c r="AK1125" i="4"/>
  <c r="AE1127" i="4" l="1"/>
  <c r="AF1128" i="4" s="1"/>
  <c r="AG1129" i="4" s="1"/>
  <c r="AK1126" i="4"/>
  <c r="AE1128" i="4" l="1"/>
  <c r="AF1129" i="4" s="1"/>
  <c r="AG1130" i="4" s="1"/>
  <c r="AK1127" i="4"/>
  <c r="AE1129" i="4" l="1"/>
  <c r="AF1130" i="4" s="1"/>
  <c r="AG1131" i="4" s="1"/>
  <c r="AK1128" i="4"/>
  <c r="AE1130" i="4" l="1"/>
  <c r="AF1131" i="4" s="1"/>
  <c r="AG1132" i="4" s="1"/>
  <c r="AK1129" i="4"/>
  <c r="AE1131" i="4" l="1"/>
  <c r="AF1132" i="4" s="1"/>
  <c r="AG1133" i="4" s="1"/>
  <c r="AK1130" i="4"/>
  <c r="AE1132" i="4" l="1"/>
  <c r="AF1133" i="4" s="1"/>
  <c r="AG1134" i="4" s="1"/>
  <c r="AK1131" i="4"/>
  <c r="AE1133" i="4" l="1"/>
  <c r="AF1134" i="4" s="1"/>
  <c r="AG1135" i="4" s="1"/>
  <c r="AK1132" i="4"/>
  <c r="AE1134" i="4" l="1"/>
  <c r="AF1135" i="4" s="1"/>
  <c r="AG1136" i="4" s="1"/>
  <c r="AK1133" i="4"/>
  <c r="AE1135" i="4" l="1"/>
  <c r="AF1136" i="4" s="1"/>
  <c r="AG1137" i="4" s="1"/>
  <c r="AK1134" i="4"/>
  <c r="AE1136" i="4" l="1"/>
  <c r="AF1137" i="4" s="1"/>
  <c r="AG1138" i="4" s="1"/>
  <c r="AK1135" i="4"/>
  <c r="AE1137" i="4" l="1"/>
  <c r="AF1138" i="4" s="1"/>
  <c r="AG1139" i="4" s="1"/>
  <c r="AK1136" i="4"/>
  <c r="AE1138" i="4" l="1"/>
  <c r="AF1139" i="4" s="1"/>
  <c r="AG1140" i="4" s="1"/>
  <c r="AK1137" i="4"/>
  <c r="AE1139" i="4" l="1"/>
  <c r="AF1140" i="4" s="1"/>
  <c r="AG1141" i="4" s="1"/>
  <c r="AK1138" i="4"/>
  <c r="AE1140" i="4" l="1"/>
  <c r="AF1141" i="4" s="1"/>
  <c r="AG1142" i="4" s="1"/>
  <c r="AK1139" i="4"/>
  <c r="AE1141" i="4" l="1"/>
  <c r="AF1142" i="4" s="1"/>
  <c r="AG1143" i="4" s="1"/>
  <c r="AK1140" i="4"/>
  <c r="AE1142" i="4" l="1"/>
  <c r="AF1143" i="4" s="1"/>
  <c r="AG1144" i="4" s="1"/>
  <c r="AK1141" i="4"/>
  <c r="AE1143" i="4" l="1"/>
  <c r="AF1144" i="4" s="1"/>
  <c r="AG1145" i="4" s="1"/>
  <c r="AK1142" i="4"/>
  <c r="AE1144" i="4" l="1"/>
  <c r="AF1145" i="4" s="1"/>
  <c r="AG1146" i="4" s="1"/>
  <c r="AK1143" i="4"/>
  <c r="AE1145" i="4" l="1"/>
  <c r="AF1146" i="4" s="1"/>
  <c r="AG1147" i="4" s="1"/>
  <c r="AK1144" i="4"/>
  <c r="AE1146" i="4" l="1"/>
  <c r="AF1147" i="4" s="1"/>
  <c r="AG1148" i="4" s="1"/>
  <c r="AK1145" i="4"/>
  <c r="AE1147" i="4" l="1"/>
  <c r="AF1148" i="4" s="1"/>
  <c r="AG1149" i="4" s="1"/>
  <c r="AK1146" i="4"/>
  <c r="AE1148" i="4" l="1"/>
  <c r="AF1149" i="4" s="1"/>
  <c r="AG1150" i="4" s="1"/>
  <c r="AK1147" i="4"/>
  <c r="AE1149" i="4" l="1"/>
  <c r="AF1150" i="4" s="1"/>
  <c r="AG1151" i="4" s="1"/>
  <c r="AK1148" i="4"/>
  <c r="AE1150" i="4" l="1"/>
  <c r="AF1151" i="4" s="1"/>
  <c r="AG1152" i="4" s="1"/>
  <c r="AK1149" i="4"/>
  <c r="AE1151" i="4" l="1"/>
  <c r="AF1152" i="4" s="1"/>
  <c r="AG1153" i="4" s="1"/>
  <c r="AK1150" i="4"/>
  <c r="AE1152" i="4" l="1"/>
  <c r="AF1153" i="4" s="1"/>
  <c r="AG1154" i="4" s="1"/>
  <c r="AK1151" i="4"/>
  <c r="AE1153" i="4" l="1"/>
  <c r="AF1154" i="4" s="1"/>
  <c r="AG1155" i="4" s="1"/>
  <c r="AK1152" i="4"/>
  <c r="AE1154" i="4" l="1"/>
  <c r="AF1155" i="4" s="1"/>
  <c r="AG1156" i="4" s="1"/>
  <c r="AK1153" i="4"/>
  <c r="AE1155" i="4" l="1"/>
  <c r="AF1156" i="4" s="1"/>
  <c r="AG1157" i="4" s="1"/>
  <c r="AK1154" i="4"/>
  <c r="AE1156" i="4" l="1"/>
  <c r="AF1157" i="4" s="1"/>
  <c r="AG1158" i="4" s="1"/>
  <c r="AK1155" i="4"/>
  <c r="AE1157" i="4" l="1"/>
  <c r="AF1158" i="4" s="1"/>
  <c r="AG1159" i="4" s="1"/>
  <c r="AK1156" i="4"/>
  <c r="AE1158" i="4" l="1"/>
  <c r="AF1159" i="4" s="1"/>
  <c r="AG1160" i="4" s="1"/>
  <c r="AK1157" i="4"/>
  <c r="AE1159" i="4" l="1"/>
  <c r="AF1160" i="4" s="1"/>
  <c r="AG1161" i="4" s="1"/>
  <c r="AK1158" i="4"/>
  <c r="AE1160" i="4" l="1"/>
  <c r="AF1161" i="4" s="1"/>
  <c r="AG1162" i="4" s="1"/>
  <c r="AK1159" i="4"/>
  <c r="AE1161" i="4" l="1"/>
  <c r="AF1162" i="4" s="1"/>
  <c r="AG1163" i="4" s="1"/>
  <c r="AK1160" i="4"/>
  <c r="AE1162" i="4" l="1"/>
  <c r="AF1163" i="4" s="1"/>
  <c r="AG1164" i="4" s="1"/>
  <c r="AK1161" i="4"/>
  <c r="AE1163" i="4" l="1"/>
  <c r="AF1164" i="4" s="1"/>
  <c r="AG1165" i="4" s="1"/>
  <c r="AK1162" i="4"/>
  <c r="AE1164" i="4" l="1"/>
  <c r="AF1165" i="4" s="1"/>
  <c r="AG1166" i="4" s="1"/>
  <c r="AK1163" i="4"/>
  <c r="AE1165" i="4" l="1"/>
  <c r="AF1166" i="4" s="1"/>
  <c r="AG1167" i="4" s="1"/>
  <c r="AK1164" i="4"/>
  <c r="AE1166" i="4" l="1"/>
  <c r="AF1167" i="4" s="1"/>
  <c r="AG1168" i="4" s="1"/>
  <c r="AK1165" i="4"/>
  <c r="AE1167" i="4" l="1"/>
  <c r="AF1168" i="4" s="1"/>
  <c r="AG1169" i="4" s="1"/>
  <c r="AK1166" i="4"/>
  <c r="AE1168" i="4" l="1"/>
  <c r="AF1169" i="4" s="1"/>
  <c r="AG1170" i="4" s="1"/>
  <c r="AK1167" i="4"/>
  <c r="AE1169" i="4" l="1"/>
  <c r="AF1170" i="4" s="1"/>
  <c r="AG1171" i="4" s="1"/>
  <c r="AK1168" i="4"/>
  <c r="AE1170" i="4" l="1"/>
  <c r="AF1171" i="4" s="1"/>
  <c r="AG1172" i="4" s="1"/>
  <c r="AK1169" i="4"/>
  <c r="AE1171" i="4" l="1"/>
  <c r="AF1172" i="4" s="1"/>
  <c r="AG1173" i="4" s="1"/>
  <c r="AK1170" i="4"/>
  <c r="AE1172" i="4" l="1"/>
  <c r="AF1173" i="4" s="1"/>
  <c r="AG1174" i="4" s="1"/>
  <c r="AK1171" i="4"/>
  <c r="AE1173" i="4" l="1"/>
  <c r="AF1174" i="4" s="1"/>
  <c r="AG1175" i="4" s="1"/>
  <c r="AK1172" i="4"/>
  <c r="AE1174" i="4" l="1"/>
  <c r="AF1175" i="4" s="1"/>
  <c r="AG1176" i="4" s="1"/>
  <c r="AK1173" i="4"/>
  <c r="AE1175" i="4" l="1"/>
  <c r="AF1176" i="4" s="1"/>
  <c r="AG1177" i="4" s="1"/>
  <c r="AK1174" i="4"/>
  <c r="AE1176" i="4" l="1"/>
  <c r="AF1177" i="4" s="1"/>
  <c r="AG1178" i="4" s="1"/>
  <c r="AK1175" i="4"/>
  <c r="AE1177" i="4" l="1"/>
  <c r="AF1178" i="4" s="1"/>
  <c r="AG1179" i="4" s="1"/>
  <c r="AK1176" i="4"/>
  <c r="AE1178" i="4" l="1"/>
  <c r="AF1179" i="4" s="1"/>
  <c r="AG1180" i="4" s="1"/>
  <c r="AK1177" i="4"/>
  <c r="AE1179" i="4" l="1"/>
  <c r="AF1180" i="4" s="1"/>
  <c r="AG1181" i="4" s="1"/>
  <c r="AK1178" i="4"/>
  <c r="AE1180" i="4" l="1"/>
  <c r="AF1181" i="4" s="1"/>
  <c r="AG1182" i="4" s="1"/>
  <c r="AK1179" i="4"/>
  <c r="AE1181" i="4" l="1"/>
  <c r="AF1182" i="4" s="1"/>
  <c r="AG1183" i="4" s="1"/>
  <c r="AK1180" i="4"/>
  <c r="AE1182" i="4" l="1"/>
  <c r="AF1183" i="4" s="1"/>
  <c r="AG1184" i="4" s="1"/>
  <c r="AK1181" i="4"/>
  <c r="AE1183" i="4" l="1"/>
  <c r="AF1184" i="4" s="1"/>
  <c r="AG1185" i="4" s="1"/>
  <c r="AK1182" i="4"/>
  <c r="AE1184" i="4" l="1"/>
  <c r="AF1185" i="4" s="1"/>
  <c r="AG1186" i="4" s="1"/>
  <c r="AK1183" i="4"/>
  <c r="AE1185" i="4" l="1"/>
  <c r="AF1186" i="4" s="1"/>
  <c r="AG1187" i="4" s="1"/>
  <c r="AK1184" i="4"/>
  <c r="AE1186" i="4" l="1"/>
  <c r="AF1187" i="4" s="1"/>
  <c r="AG1188" i="4" s="1"/>
  <c r="AK1185" i="4"/>
  <c r="AE1187" i="4" l="1"/>
  <c r="AF1188" i="4" s="1"/>
  <c r="AG1189" i="4" s="1"/>
  <c r="AK1186" i="4"/>
  <c r="AE1188" i="4" l="1"/>
  <c r="AF1189" i="4" s="1"/>
  <c r="AG1190" i="4" s="1"/>
  <c r="AK1187" i="4"/>
  <c r="AE1189" i="4" l="1"/>
  <c r="AF1190" i="4" s="1"/>
  <c r="AG1191" i="4" s="1"/>
  <c r="AK1188" i="4"/>
  <c r="AE1190" i="4" l="1"/>
  <c r="AF1191" i="4" s="1"/>
  <c r="AG1192" i="4" s="1"/>
  <c r="AK1189" i="4"/>
  <c r="AE1191" i="4" l="1"/>
  <c r="AF1192" i="4" s="1"/>
  <c r="AG1193" i="4" s="1"/>
  <c r="AK1190" i="4"/>
  <c r="AE1192" i="4" l="1"/>
  <c r="AF1193" i="4" s="1"/>
  <c r="AG1194" i="4" s="1"/>
  <c r="AK1191" i="4"/>
  <c r="AE1193" i="4" l="1"/>
  <c r="AF1194" i="4" s="1"/>
  <c r="AG1195" i="4" s="1"/>
  <c r="AK1192" i="4"/>
  <c r="AE1194" i="4" l="1"/>
  <c r="AF1195" i="4" s="1"/>
  <c r="AG1196" i="4" s="1"/>
  <c r="AK1193" i="4"/>
  <c r="AE1195" i="4" l="1"/>
  <c r="AF1196" i="4" s="1"/>
  <c r="AG1197" i="4" s="1"/>
  <c r="AK1194" i="4"/>
  <c r="AE1196" i="4" l="1"/>
  <c r="AF1197" i="4" s="1"/>
  <c r="AG1198" i="4" s="1"/>
  <c r="AK1195" i="4"/>
  <c r="AE1197" i="4" l="1"/>
  <c r="AF1198" i="4" s="1"/>
  <c r="AG1199" i="4" s="1"/>
  <c r="AK1196" i="4"/>
  <c r="AE1198" i="4" l="1"/>
  <c r="AF1199" i="4" s="1"/>
  <c r="AG1200" i="4" s="1"/>
  <c r="AK1197" i="4"/>
  <c r="AE1199" i="4" l="1"/>
  <c r="AF1200" i="4" s="1"/>
  <c r="AG1201" i="4" s="1"/>
  <c r="AK1198" i="4"/>
  <c r="AE1200" i="4" l="1"/>
  <c r="AF1201" i="4" s="1"/>
  <c r="AG1202" i="4" s="1"/>
  <c r="AK1199" i="4"/>
  <c r="AE1201" i="4" l="1"/>
  <c r="AF1202" i="4" s="1"/>
  <c r="AG1203" i="4" s="1"/>
  <c r="AK1200" i="4"/>
  <c r="AE1202" i="4" l="1"/>
  <c r="AF1203" i="4" s="1"/>
  <c r="AG1204" i="4" s="1"/>
  <c r="AK1201" i="4"/>
  <c r="AE1203" i="4" l="1"/>
  <c r="AF1204" i="4" s="1"/>
  <c r="AG1205" i="4" s="1"/>
  <c r="AK1202" i="4"/>
  <c r="AE1204" i="4" l="1"/>
  <c r="AF1205" i="4" s="1"/>
  <c r="AG1206" i="4" s="1"/>
  <c r="AK1203" i="4"/>
  <c r="AE1205" i="4" l="1"/>
  <c r="AF1206" i="4" s="1"/>
  <c r="AG1207" i="4" s="1"/>
  <c r="AK1204" i="4"/>
  <c r="AE1206" i="4" l="1"/>
  <c r="AF1207" i="4" s="1"/>
  <c r="AG1208" i="4" s="1"/>
  <c r="AK1205" i="4"/>
  <c r="AE1207" i="4" l="1"/>
  <c r="AF1208" i="4" s="1"/>
  <c r="AG1209" i="4" s="1"/>
  <c r="AK1206" i="4"/>
  <c r="AE1208" i="4" l="1"/>
  <c r="AF1209" i="4" s="1"/>
  <c r="AG1210" i="4" s="1"/>
  <c r="AK1207" i="4"/>
  <c r="AE1209" i="4" l="1"/>
  <c r="AF1210" i="4" s="1"/>
  <c r="AG1211" i="4" s="1"/>
  <c r="AK1208" i="4"/>
  <c r="AE1210" i="4" l="1"/>
  <c r="AF1211" i="4" s="1"/>
  <c r="AG1212" i="4" s="1"/>
  <c r="AK1209" i="4"/>
  <c r="AE1211" i="4" l="1"/>
  <c r="AF1212" i="4" s="1"/>
  <c r="AG1213" i="4" s="1"/>
  <c r="AK1210" i="4"/>
  <c r="AE1212" i="4" l="1"/>
  <c r="AF1213" i="4" s="1"/>
  <c r="AG1214" i="4" s="1"/>
  <c r="AK1211" i="4"/>
  <c r="AE1213" i="4" l="1"/>
  <c r="AF1214" i="4" s="1"/>
  <c r="AG1215" i="4" s="1"/>
  <c r="AK1212" i="4"/>
  <c r="AE1214" i="4" l="1"/>
  <c r="AF1215" i="4" s="1"/>
  <c r="AG1216" i="4" s="1"/>
  <c r="AK1213" i="4"/>
  <c r="AE1215" i="4" l="1"/>
  <c r="AF1216" i="4" s="1"/>
  <c r="AG1217" i="4" s="1"/>
  <c r="AK1214" i="4"/>
  <c r="AE1216" i="4" l="1"/>
  <c r="AF1217" i="4" s="1"/>
  <c r="AG1218" i="4" s="1"/>
  <c r="AK1215" i="4"/>
  <c r="AE1217" i="4" l="1"/>
  <c r="AF1218" i="4" s="1"/>
  <c r="AG1219" i="4" s="1"/>
  <c r="AK1216" i="4"/>
  <c r="AE1218" i="4" l="1"/>
  <c r="AF1219" i="4" s="1"/>
  <c r="AG1220" i="4" s="1"/>
  <c r="AK1217" i="4"/>
  <c r="AE1219" i="4" l="1"/>
  <c r="AF1220" i="4" s="1"/>
  <c r="AG1221" i="4" s="1"/>
  <c r="AK1218" i="4"/>
  <c r="AE1220" i="4" l="1"/>
  <c r="AF1221" i="4" s="1"/>
  <c r="AG1222" i="4" s="1"/>
  <c r="AK1219" i="4"/>
  <c r="AE1221" i="4" l="1"/>
  <c r="AF1222" i="4" s="1"/>
  <c r="AG1223" i="4" s="1"/>
  <c r="AK1220" i="4"/>
  <c r="AE1222" i="4" l="1"/>
  <c r="AF1223" i="4" s="1"/>
  <c r="AG1224" i="4" s="1"/>
  <c r="AK1221" i="4"/>
  <c r="AE1223" i="4" l="1"/>
  <c r="AF1224" i="4" s="1"/>
  <c r="AG1225" i="4" s="1"/>
  <c r="AK1222" i="4"/>
  <c r="AE1224" i="4" l="1"/>
  <c r="AF1225" i="4" s="1"/>
  <c r="AG1226" i="4" s="1"/>
  <c r="AK1223" i="4"/>
  <c r="AE1225" i="4" l="1"/>
  <c r="AF1226" i="4" s="1"/>
  <c r="AG1227" i="4" s="1"/>
  <c r="AK1224" i="4"/>
  <c r="AE1226" i="4" l="1"/>
  <c r="AF1227" i="4" s="1"/>
  <c r="AG1228" i="4" s="1"/>
  <c r="AK1225" i="4"/>
  <c r="AE1227" i="4" l="1"/>
  <c r="AF1228" i="4" s="1"/>
  <c r="AG1229" i="4" s="1"/>
  <c r="AK1226" i="4"/>
  <c r="AE1228" i="4" l="1"/>
  <c r="AF1229" i="4" s="1"/>
  <c r="AG1230" i="4" s="1"/>
  <c r="AK1227" i="4"/>
  <c r="AE1229" i="4" l="1"/>
  <c r="AF1230" i="4" s="1"/>
  <c r="AG1231" i="4" s="1"/>
  <c r="AK1228" i="4"/>
  <c r="AE1230" i="4" l="1"/>
  <c r="AF1231" i="4" s="1"/>
  <c r="AG1232" i="4" s="1"/>
  <c r="AK1229" i="4"/>
  <c r="AE1231" i="4" l="1"/>
  <c r="AF1232" i="4" s="1"/>
  <c r="AG1233" i="4" s="1"/>
  <c r="AK1230" i="4"/>
  <c r="AE1232" i="4" l="1"/>
  <c r="AF1233" i="4" s="1"/>
  <c r="AG1234" i="4" s="1"/>
  <c r="AK1231" i="4"/>
  <c r="AE1233" i="4" l="1"/>
  <c r="AF1234" i="4" s="1"/>
  <c r="AG1235" i="4" s="1"/>
  <c r="AK1232" i="4"/>
  <c r="AE1234" i="4" l="1"/>
  <c r="AF1235" i="4" s="1"/>
  <c r="AG1236" i="4" s="1"/>
  <c r="AK1233" i="4"/>
  <c r="AE1235" i="4" l="1"/>
  <c r="AF1236" i="4" s="1"/>
  <c r="AG1237" i="4" s="1"/>
  <c r="AK1234" i="4"/>
  <c r="AE1236" i="4" l="1"/>
  <c r="AF1237" i="4" s="1"/>
  <c r="AG1238" i="4" s="1"/>
  <c r="AK1235" i="4"/>
  <c r="AE1237" i="4" l="1"/>
  <c r="AF1238" i="4" s="1"/>
  <c r="AG1239" i="4" s="1"/>
  <c r="AK1236" i="4"/>
  <c r="AE1238" i="4" l="1"/>
  <c r="AF1239" i="4" s="1"/>
  <c r="AG1240" i="4" s="1"/>
  <c r="AK1237" i="4"/>
  <c r="AE1239" i="4" l="1"/>
  <c r="AF1240" i="4" s="1"/>
  <c r="AG1241" i="4" s="1"/>
  <c r="AK1238" i="4"/>
  <c r="AE1240" i="4" l="1"/>
  <c r="AF1241" i="4" s="1"/>
  <c r="AG1242" i="4" s="1"/>
  <c r="AK1239" i="4"/>
  <c r="AE1241" i="4" l="1"/>
  <c r="AF1242" i="4" s="1"/>
  <c r="AG1243" i="4" s="1"/>
  <c r="AK1240" i="4"/>
  <c r="AE1242" i="4" l="1"/>
  <c r="AF1243" i="4" s="1"/>
  <c r="AG1244" i="4" s="1"/>
  <c r="AK1241" i="4"/>
  <c r="AE1243" i="4" l="1"/>
  <c r="AF1244" i="4" s="1"/>
  <c r="AG1245" i="4" s="1"/>
  <c r="AK1242" i="4"/>
  <c r="AE1244" i="4" l="1"/>
  <c r="AF1245" i="4" s="1"/>
  <c r="AG1246" i="4" s="1"/>
  <c r="AK1243" i="4"/>
  <c r="AE1245" i="4" l="1"/>
  <c r="AF1246" i="4" s="1"/>
  <c r="AG1247" i="4" s="1"/>
  <c r="AK1244" i="4"/>
  <c r="AE1246" i="4" l="1"/>
  <c r="AF1247" i="4" s="1"/>
  <c r="AG1248" i="4" s="1"/>
  <c r="AK1245" i="4"/>
  <c r="AE1247" i="4" l="1"/>
  <c r="AF1248" i="4" s="1"/>
  <c r="AG1249" i="4" s="1"/>
  <c r="AK1246" i="4"/>
  <c r="AE1248" i="4" l="1"/>
  <c r="AF1249" i="4" s="1"/>
  <c r="AG1250" i="4" s="1"/>
  <c r="AK1247" i="4"/>
  <c r="AE1249" i="4" l="1"/>
  <c r="AF1250" i="4" s="1"/>
  <c r="AG1251" i="4" s="1"/>
  <c r="AK1248" i="4"/>
  <c r="AE1250" i="4" l="1"/>
  <c r="AF1251" i="4" s="1"/>
  <c r="AG1252" i="4" s="1"/>
  <c r="AK1249" i="4"/>
  <c r="AE1251" i="4" l="1"/>
  <c r="AF1252" i="4" s="1"/>
  <c r="AG1253" i="4" s="1"/>
  <c r="AK1250" i="4"/>
  <c r="AE1252" i="4" l="1"/>
  <c r="AF1253" i="4" s="1"/>
  <c r="AG1254" i="4" s="1"/>
  <c r="AK1251" i="4"/>
  <c r="AE1253" i="4" l="1"/>
  <c r="AF1254" i="4" s="1"/>
  <c r="AG1255" i="4" s="1"/>
  <c r="AK1252" i="4"/>
  <c r="AE1254" i="4" l="1"/>
  <c r="AF1255" i="4" s="1"/>
  <c r="AG1256" i="4" s="1"/>
  <c r="AK1253" i="4"/>
  <c r="AE1255" i="4" l="1"/>
  <c r="AF1256" i="4" s="1"/>
  <c r="AG1257" i="4" s="1"/>
  <c r="AK1254" i="4"/>
  <c r="AE1256" i="4" l="1"/>
  <c r="AF1257" i="4" s="1"/>
  <c r="AG1258" i="4" s="1"/>
  <c r="AK1255" i="4"/>
  <c r="AE1257" i="4" l="1"/>
  <c r="AF1258" i="4" s="1"/>
  <c r="AG1259" i="4" s="1"/>
  <c r="AK1256" i="4"/>
  <c r="AE1258" i="4" l="1"/>
  <c r="AF1259" i="4" s="1"/>
  <c r="AG1260" i="4" s="1"/>
  <c r="AK1257" i="4"/>
  <c r="AE1259" i="4" l="1"/>
  <c r="AF1260" i="4" s="1"/>
  <c r="AG1261" i="4" s="1"/>
  <c r="AK1258" i="4"/>
  <c r="AE1260" i="4" l="1"/>
  <c r="AF1261" i="4" s="1"/>
  <c r="AG1262" i="4" s="1"/>
  <c r="AK1259" i="4"/>
  <c r="AE1261" i="4" l="1"/>
  <c r="AF1262" i="4" s="1"/>
  <c r="AG1263" i="4" s="1"/>
  <c r="AK1260" i="4"/>
  <c r="AE1262" i="4" l="1"/>
  <c r="AF1263" i="4" s="1"/>
  <c r="AG1264" i="4" s="1"/>
  <c r="AK1261" i="4"/>
  <c r="AE1263" i="4" l="1"/>
  <c r="AF1264" i="4" s="1"/>
  <c r="AG1265" i="4" s="1"/>
  <c r="AK1262" i="4"/>
  <c r="AE1264" i="4" l="1"/>
  <c r="AF1265" i="4" s="1"/>
  <c r="AG1266" i="4" s="1"/>
  <c r="AK1263" i="4"/>
  <c r="AE1265" i="4" l="1"/>
  <c r="AF1266" i="4" s="1"/>
  <c r="AG1267" i="4" s="1"/>
  <c r="AK1264" i="4"/>
  <c r="AE1266" i="4" l="1"/>
  <c r="AF1267" i="4" s="1"/>
  <c r="AG1268" i="4" s="1"/>
  <c r="AK1265" i="4"/>
  <c r="AE1267" i="4" l="1"/>
  <c r="AF1268" i="4" s="1"/>
  <c r="AG1269" i="4" s="1"/>
  <c r="AK1266" i="4"/>
  <c r="AE1268" i="4" l="1"/>
  <c r="AF1269" i="4" s="1"/>
  <c r="AG1270" i="4" s="1"/>
  <c r="AK1267" i="4"/>
  <c r="AE1269" i="4" l="1"/>
  <c r="AF1270" i="4" s="1"/>
  <c r="AG1271" i="4" s="1"/>
  <c r="AK1268" i="4"/>
  <c r="AE1270" i="4" l="1"/>
  <c r="AF1271" i="4" s="1"/>
  <c r="AG1272" i="4" s="1"/>
  <c r="AK1269" i="4"/>
  <c r="AE1271" i="4" l="1"/>
  <c r="AF1272" i="4" s="1"/>
  <c r="AG1273" i="4" s="1"/>
  <c r="AK1270" i="4"/>
  <c r="AE1272" i="4" l="1"/>
  <c r="AF1273" i="4" s="1"/>
  <c r="AG1274" i="4" s="1"/>
  <c r="AK1271" i="4"/>
  <c r="AE1273" i="4" l="1"/>
  <c r="AF1274" i="4" s="1"/>
  <c r="AG1275" i="4" s="1"/>
  <c r="AK1272" i="4"/>
  <c r="AE1274" i="4" l="1"/>
  <c r="AF1275" i="4" s="1"/>
  <c r="AG1276" i="4" s="1"/>
  <c r="AK1273" i="4"/>
  <c r="AE1275" i="4" l="1"/>
  <c r="AF1276" i="4" s="1"/>
  <c r="AG1277" i="4" s="1"/>
  <c r="AK1274" i="4"/>
  <c r="AE1276" i="4" l="1"/>
  <c r="AF1277" i="4" s="1"/>
  <c r="AG1278" i="4" s="1"/>
  <c r="AK1275" i="4"/>
  <c r="AE1277" i="4" l="1"/>
  <c r="AF1278" i="4" s="1"/>
  <c r="AG1279" i="4" s="1"/>
  <c r="AK1276" i="4"/>
  <c r="AE1278" i="4" l="1"/>
  <c r="AF1279" i="4" s="1"/>
  <c r="AG1280" i="4" s="1"/>
  <c r="AK1277" i="4"/>
  <c r="AE1279" i="4" l="1"/>
  <c r="AF1280" i="4" s="1"/>
  <c r="AG1281" i="4" s="1"/>
  <c r="AK1278" i="4"/>
  <c r="AE1280" i="4" l="1"/>
  <c r="AF1281" i="4" s="1"/>
  <c r="AG1282" i="4" s="1"/>
  <c r="AK1279" i="4"/>
  <c r="AE1281" i="4" l="1"/>
  <c r="AF1282" i="4" s="1"/>
  <c r="AG1283" i="4" s="1"/>
  <c r="AK1280" i="4"/>
  <c r="AE1282" i="4" l="1"/>
  <c r="AF1283" i="4" s="1"/>
  <c r="AG1284" i="4" s="1"/>
  <c r="AK1281" i="4"/>
  <c r="AE1283" i="4" l="1"/>
  <c r="AF1284" i="4" s="1"/>
  <c r="AG1285" i="4" s="1"/>
  <c r="AK1282" i="4"/>
  <c r="AE1284" i="4" l="1"/>
  <c r="AF1285" i="4" s="1"/>
  <c r="AG1286" i="4" s="1"/>
  <c r="AK1283" i="4"/>
  <c r="AE1285" i="4" l="1"/>
  <c r="AF1286" i="4" s="1"/>
  <c r="AG1287" i="4" s="1"/>
  <c r="AK1284" i="4"/>
  <c r="AE1286" i="4" l="1"/>
  <c r="AF1287" i="4" s="1"/>
  <c r="AG1288" i="4" s="1"/>
  <c r="AK1285" i="4"/>
  <c r="AE1287" i="4" l="1"/>
  <c r="AF1288" i="4" s="1"/>
  <c r="AG1289" i="4" s="1"/>
  <c r="AK1286" i="4"/>
  <c r="AE1288" i="4" l="1"/>
  <c r="AF1289" i="4" s="1"/>
  <c r="AG1290" i="4" s="1"/>
  <c r="AK1287" i="4"/>
  <c r="AE1289" i="4" l="1"/>
  <c r="AF1290" i="4" s="1"/>
  <c r="AG1291" i="4" s="1"/>
  <c r="AK1288" i="4"/>
  <c r="AE1290" i="4" l="1"/>
  <c r="AF1291" i="4" s="1"/>
  <c r="AG1292" i="4" s="1"/>
  <c r="AK1289" i="4"/>
  <c r="AE1291" i="4" l="1"/>
  <c r="AF1292" i="4" s="1"/>
  <c r="AG1293" i="4" s="1"/>
  <c r="AK1290" i="4"/>
  <c r="AE1292" i="4" l="1"/>
  <c r="AF1293" i="4" s="1"/>
  <c r="AG1294" i="4" s="1"/>
  <c r="AK1291" i="4"/>
  <c r="AE1293" i="4" l="1"/>
  <c r="AF1294" i="4" s="1"/>
  <c r="AG1295" i="4" s="1"/>
  <c r="AK1292" i="4"/>
  <c r="AE1294" i="4" l="1"/>
  <c r="AF1295" i="4" s="1"/>
  <c r="AG1296" i="4" s="1"/>
  <c r="AK1293" i="4"/>
  <c r="AE1295" i="4" l="1"/>
  <c r="AF1296" i="4" s="1"/>
  <c r="AG1297" i="4" s="1"/>
  <c r="AK1294" i="4"/>
  <c r="AE1296" i="4" l="1"/>
  <c r="AF1297" i="4" s="1"/>
  <c r="AG1298" i="4" s="1"/>
  <c r="AK1295" i="4"/>
  <c r="AE1297" i="4" l="1"/>
  <c r="AF1298" i="4" s="1"/>
  <c r="AG1299" i="4" s="1"/>
  <c r="AK1296" i="4"/>
  <c r="AE1298" i="4" l="1"/>
  <c r="AF1299" i="4" s="1"/>
  <c r="AG1300" i="4" s="1"/>
  <c r="AK1297" i="4"/>
  <c r="AE1299" i="4" l="1"/>
  <c r="AF1300" i="4" s="1"/>
  <c r="AG1301" i="4" s="1"/>
  <c r="AK1298" i="4"/>
  <c r="AE1300" i="4" l="1"/>
  <c r="AF1301" i="4" s="1"/>
  <c r="AG1302" i="4" s="1"/>
  <c r="AK1299" i="4"/>
  <c r="AE1301" i="4" l="1"/>
  <c r="AF1302" i="4" s="1"/>
  <c r="AG1303" i="4" s="1"/>
  <c r="AK1300" i="4"/>
  <c r="AE1302" i="4" l="1"/>
  <c r="AF1303" i="4" s="1"/>
  <c r="AG1304" i="4" s="1"/>
  <c r="AK1301" i="4"/>
  <c r="AE1303" i="4" l="1"/>
  <c r="AF1304" i="4" s="1"/>
  <c r="AG1305" i="4" s="1"/>
  <c r="AK1302" i="4"/>
  <c r="AE1304" i="4" l="1"/>
  <c r="AF1305" i="4" s="1"/>
  <c r="AG1306" i="4" s="1"/>
  <c r="AK1303" i="4"/>
  <c r="AE1305" i="4" l="1"/>
  <c r="AF1306" i="4" s="1"/>
  <c r="AG1307" i="4" s="1"/>
  <c r="AK1304" i="4"/>
  <c r="AE1306" i="4" l="1"/>
  <c r="AF1307" i="4" s="1"/>
  <c r="AG1308" i="4" s="1"/>
  <c r="AK1305" i="4"/>
  <c r="AE1307" i="4" l="1"/>
  <c r="AF1308" i="4" s="1"/>
  <c r="AG1309" i="4" s="1"/>
  <c r="AK1306" i="4"/>
  <c r="AE1308" i="4" l="1"/>
  <c r="AF1309" i="4" s="1"/>
  <c r="AG1310" i="4" s="1"/>
  <c r="AK1307" i="4"/>
  <c r="AE1309" i="4" l="1"/>
  <c r="AF1310" i="4" s="1"/>
  <c r="AG1311" i="4" s="1"/>
  <c r="AK1308" i="4"/>
  <c r="AE1310" i="4" l="1"/>
  <c r="AF1311" i="4" s="1"/>
  <c r="AG1312" i="4" s="1"/>
  <c r="AK1309" i="4"/>
  <c r="AE1311" i="4" l="1"/>
  <c r="AF1312" i="4" s="1"/>
  <c r="AG1313" i="4" s="1"/>
  <c r="AK1310" i="4"/>
  <c r="AE1312" i="4" l="1"/>
  <c r="AF1313" i="4" s="1"/>
  <c r="AG1314" i="4" s="1"/>
  <c r="AK1311" i="4"/>
  <c r="AE1313" i="4" l="1"/>
  <c r="AF1314" i="4" s="1"/>
  <c r="AG1315" i="4" s="1"/>
  <c r="AK1312" i="4"/>
  <c r="AE1314" i="4" l="1"/>
  <c r="AF1315" i="4" s="1"/>
  <c r="AG1316" i="4" s="1"/>
  <c r="AK1313" i="4"/>
  <c r="AE1315" i="4" l="1"/>
  <c r="AF1316" i="4" s="1"/>
  <c r="AG1317" i="4" s="1"/>
  <c r="AK1314" i="4"/>
  <c r="AE1316" i="4" l="1"/>
  <c r="AF1317" i="4" s="1"/>
  <c r="AG1318" i="4" s="1"/>
  <c r="AK1315" i="4"/>
  <c r="AE1317" i="4" l="1"/>
  <c r="AF1318" i="4" s="1"/>
  <c r="AG1319" i="4" s="1"/>
  <c r="AK1316" i="4"/>
  <c r="AE1318" i="4" l="1"/>
  <c r="AF1319" i="4" s="1"/>
  <c r="AG1320" i="4" s="1"/>
  <c r="AK1317" i="4"/>
  <c r="AE1319" i="4" l="1"/>
  <c r="AF1320" i="4" s="1"/>
  <c r="AG1321" i="4" s="1"/>
  <c r="AK1318" i="4"/>
  <c r="AE1320" i="4" l="1"/>
  <c r="AF1321" i="4" s="1"/>
  <c r="AG1322" i="4" s="1"/>
  <c r="AK1319" i="4"/>
  <c r="AE1321" i="4" l="1"/>
  <c r="AF1322" i="4" s="1"/>
  <c r="AG1323" i="4" s="1"/>
  <c r="AK1320" i="4"/>
  <c r="AE1322" i="4" l="1"/>
  <c r="AF1323" i="4" s="1"/>
  <c r="AG1324" i="4" s="1"/>
  <c r="AK1321" i="4"/>
  <c r="AE1323" i="4" l="1"/>
  <c r="AF1324" i="4" s="1"/>
  <c r="AG1325" i="4" s="1"/>
  <c r="AK1322" i="4"/>
  <c r="AE1324" i="4" l="1"/>
  <c r="AF1325" i="4" s="1"/>
  <c r="AG1326" i="4" s="1"/>
  <c r="AK1323" i="4"/>
  <c r="AE1325" i="4" l="1"/>
  <c r="AF1326" i="4" s="1"/>
  <c r="AG1327" i="4" s="1"/>
  <c r="AK1324" i="4"/>
  <c r="AE1326" i="4" l="1"/>
  <c r="AF1327" i="4" s="1"/>
  <c r="AG1328" i="4" s="1"/>
  <c r="AK1325" i="4"/>
  <c r="AE1327" i="4" l="1"/>
  <c r="AF1328" i="4" s="1"/>
  <c r="AG1329" i="4" s="1"/>
  <c r="AK1326" i="4"/>
  <c r="AE1328" i="4" l="1"/>
  <c r="AF1329" i="4" s="1"/>
  <c r="AG1330" i="4" s="1"/>
  <c r="AK1327" i="4"/>
  <c r="AE1329" i="4" l="1"/>
  <c r="AF1330" i="4" s="1"/>
  <c r="AG1331" i="4" s="1"/>
  <c r="AK1328" i="4"/>
  <c r="AE1330" i="4" l="1"/>
  <c r="AF1331" i="4" s="1"/>
  <c r="AG1332" i="4" s="1"/>
  <c r="AK1329" i="4"/>
  <c r="AE1331" i="4" l="1"/>
  <c r="AF1332" i="4" s="1"/>
  <c r="AG1333" i="4" s="1"/>
  <c r="AK1330" i="4"/>
  <c r="AE1332" i="4" l="1"/>
  <c r="AF1333" i="4" s="1"/>
  <c r="AG1334" i="4" s="1"/>
  <c r="AK1331" i="4"/>
  <c r="AE1333" i="4" l="1"/>
  <c r="AF1334" i="4" s="1"/>
  <c r="AG1335" i="4" s="1"/>
  <c r="AK1332" i="4"/>
  <c r="AE1334" i="4" l="1"/>
  <c r="AF1335" i="4" s="1"/>
  <c r="AG1336" i="4" s="1"/>
  <c r="AK1333" i="4"/>
  <c r="AE1335" i="4" l="1"/>
  <c r="AF1336" i="4" s="1"/>
  <c r="AG1337" i="4" s="1"/>
  <c r="AK1334" i="4"/>
  <c r="AE1336" i="4" l="1"/>
  <c r="AF1337" i="4" s="1"/>
  <c r="AG1338" i="4" s="1"/>
  <c r="AK1335" i="4"/>
  <c r="AE1337" i="4" l="1"/>
  <c r="AF1338" i="4" s="1"/>
  <c r="AG1339" i="4" s="1"/>
  <c r="AK1336" i="4"/>
  <c r="AE1338" i="4" l="1"/>
  <c r="AF1339" i="4" s="1"/>
  <c r="AG1340" i="4" s="1"/>
  <c r="AK1337" i="4"/>
  <c r="AE1339" i="4" l="1"/>
  <c r="AF1340" i="4" s="1"/>
  <c r="AG1341" i="4" s="1"/>
  <c r="AK1338" i="4"/>
  <c r="AE1340" i="4" l="1"/>
  <c r="AF1341" i="4" s="1"/>
  <c r="AG1342" i="4" s="1"/>
  <c r="AK1339" i="4"/>
  <c r="AE1341" i="4" l="1"/>
  <c r="AF1342" i="4" s="1"/>
  <c r="AG1343" i="4" s="1"/>
  <c r="AK1340" i="4"/>
  <c r="AE1342" i="4" l="1"/>
  <c r="AF1343" i="4" s="1"/>
  <c r="AG1344" i="4" s="1"/>
  <c r="AK1341" i="4"/>
  <c r="AE1343" i="4" l="1"/>
  <c r="AF1344" i="4" s="1"/>
  <c r="AG1345" i="4" s="1"/>
  <c r="AK1342" i="4"/>
  <c r="AE1344" i="4" l="1"/>
  <c r="AF1345" i="4" s="1"/>
  <c r="AG1346" i="4" s="1"/>
  <c r="AK1343" i="4"/>
  <c r="AE1345" i="4" l="1"/>
  <c r="AF1346" i="4" s="1"/>
  <c r="AG1347" i="4" s="1"/>
  <c r="AK1344" i="4"/>
  <c r="AE1346" i="4" l="1"/>
  <c r="AF1347" i="4" s="1"/>
  <c r="AG1348" i="4" s="1"/>
  <c r="AK1345" i="4"/>
  <c r="AE1347" i="4" l="1"/>
  <c r="AF1348" i="4" s="1"/>
  <c r="AG1349" i="4" s="1"/>
  <c r="AK1346" i="4"/>
  <c r="AE1348" i="4" l="1"/>
  <c r="AF1349" i="4" s="1"/>
  <c r="AG1350" i="4" s="1"/>
  <c r="AK1347" i="4"/>
  <c r="AE1349" i="4" l="1"/>
  <c r="AF1350" i="4" s="1"/>
  <c r="AG1351" i="4" s="1"/>
  <c r="AK1348" i="4"/>
  <c r="AE1350" i="4" l="1"/>
  <c r="AF1351" i="4" s="1"/>
  <c r="AG1352" i="4" s="1"/>
  <c r="AK1349" i="4"/>
  <c r="AE1351" i="4" l="1"/>
  <c r="AF1352" i="4" s="1"/>
  <c r="AG1353" i="4" s="1"/>
  <c r="AK1350" i="4"/>
  <c r="AE1352" i="4" l="1"/>
  <c r="AF1353" i="4" s="1"/>
  <c r="AG1354" i="4" s="1"/>
  <c r="AK1351" i="4"/>
  <c r="AE1353" i="4" l="1"/>
  <c r="AF1354" i="4" s="1"/>
  <c r="AG1355" i="4" s="1"/>
  <c r="AK1352" i="4"/>
  <c r="AE1354" i="4" l="1"/>
  <c r="AF1355" i="4" s="1"/>
  <c r="AG1356" i="4" s="1"/>
  <c r="AK1353" i="4"/>
  <c r="AE1355" i="4" l="1"/>
  <c r="AF1356" i="4" s="1"/>
  <c r="AG1357" i="4" s="1"/>
  <c r="AK1354" i="4"/>
  <c r="AE1356" i="4" l="1"/>
  <c r="AF1357" i="4" s="1"/>
  <c r="AG1358" i="4" s="1"/>
  <c r="AK1355" i="4"/>
  <c r="AE1357" i="4" l="1"/>
  <c r="AF1358" i="4" s="1"/>
  <c r="AG1359" i="4" s="1"/>
  <c r="AK1356" i="4"/>
  <c r="AE1358" i="4" l="1"/>
  <c r="AF1359" i="4" s="1"/>
  <c r="AG1360" i="4" s="1"/>
  <c r="AK1357" i="4"/>
  <c r="AE1359" i="4" l="1"/>
  <c r="AF1360" i="4" s="1"/>
  <c r="AG1361" i="4" s="1"/>
  <c r="AK1358" i="4"/>
  <c r="AE1360" i="4" l="1"/>
  <c r="AF1361" i="4" s="1"/>
  <c r="AG1362" i="4" s="1"/>
  <c r="AK1359" i="4"/>
  <c r="AE1361" i="4" l="1"/>
  <c r="AF1362" i="4" s="1"/>
  <c r="AG1363" i="4" s="1"/>
  <c r="AK1360" i="4"/>
  <c r="AE1362" i="4" l="1"/>
  <c r="AF1363" i="4" s="1"/>
  <c r="AG1364" i="4" s="1"/>
  <c r="AK1361" i="4"/>
  <c r="AE1363" i="4" l="1"/>
  <c r="AF1364" i="4" s="1"/>
  <c r="AG1365" i="4" s="1"/>
  <c r="AK1362" i="4"/>
  <c r="AE1364" i="4" l="1"/>
  <c r="AF1365" i="4" s="1"/>
  <c r="AG1366" i="4" s="1"/>
  <c r="AK1363" i="4"/>
  <c r="AE1365" i="4" l="1"/>
  <c r="AF1366" i="4" s="1"/>
  <c r="AG1367" i="4" s="1"/>
  <c r="AK1364" i="4"/>
  <c r="AE1366" i="4" l="1"/>
  <c r="AF1367" i="4" s="1"/>
  <c r="AG1368" i="4" s="1"/>
  <c r="AK1365" i="4"/>
  <c r="AE1367" i="4" l="1"/>
  <c r="AF1368" i="4" s="1"/>
  <c r="AG1369" i="4" s="1"/>
  <c r="AK1366" i="4"/>
  <c r="AE1368" i="4" l="1"/>
  <c r="AF1369" i="4" s="1"/>
  <c r="AG1370" i="4" s="1"/>
  <c r="AK1367" i="4"/>
  <c r="AE1369" i="4" l="1"/>
  <c r="AF1370" i="4" s="1"/>
  <c r="AG1371" i="4" s="1"/>
  <c r="AK1368" i="4"/>
  <c r="AE1370" i="4" l="1"/>
  <c r="AF1371" i="4" s="1"/>
  <c r="AG1372" i="4" s="1"/>
  <c r="AK1369" i="4"/>
  <c r="AE1371" i="4" l="1"/>
  <c r="AF1372" i="4" s="1"/>
  <c r="AG1373" i="4" s="1"/>
  <c r="AK1370" i="4"/>
  <c r="AE1372" i="4" l="1"/>
  <c r="AF1373" i="4" s="1"/>
  <c r="AG1374" i="4" s="1"/>
  <c r="AK1371" i="4"/>
  <c r="AE1373" i="4" l="1"/>
  <c r="AF1374" i="4" s="1"/>
  <c r="AG1375" i="4" s="1"/>
  <c r="AK1372" i="4"/>
  <c r="AE1374" i="4" l="1"/>
  <c r="AF1375" i="4" s="1"/>
  <c r="AG1376" i="4" s="1"/>
  <c r="AK1373" i="4"/>
  <c r="AE1375" i="4" l="1"/>
  <c r="AF1376" i="4" s="1"/>
  <c r="AG1377" i="4" s="1"/>
  <c r="AK1374" i="4"/>
  <c r="AE1376" i="4" l="1"/>
  <c r="AF1377" i="4" s="1"/>
  <c r="AG1378" i="4" s="1"/>
  <c r="AK1375" i="4"/>
  <c r="AE1377" i="4" l="1"/>
  <c r="AF1378" i="4" s="1"/>
  <c r="AG1379" i="4" s="1"/>
  <c r="AK1376" i="4"/>
  <c r="AE1378" i="4" l="1"/>
  <c r="AF1379" i="4" s="1"/>
  <c r="AG1380" i="4" s="1"/>
  <c r="AK1377" i="4"/>
  <c r="AE1379" i="4" l="1"/>
  <c r="AF1380" i="4" s="1"/>
  <c r="AG1381" i="4" s="1"/>
  <c r="AK1378" i="4"/>
  <c r="AE1380" i="4" l="1"/>
  <c r="AF1381" i="4" s="1"/>
  <c r="AG1382" i="4" s="1"/>
  <c r="AK1379" i="4"/>
  <c r="AE1381" i="4" l="1"/>
  <c r="AF1382" i="4" s="1"/>
  <c r="AG1383" i="4" s="1"/>
  <c r="AK1380" i="4"/>
  <c r="AE1382" i="4" l="1"/>
  <c r="AF1383" i="4" s="1"/>
  <c r="AG1384" i="4" s="1"/>
  <c r="AK1381" i="4"/>
  <c r="AE1383" i="4" l="1"/>
  <c r="AF1384" i="4" s="1"/>
  <c r="AG1385" i="4" s="1"/>
  <c r="AK1382" i="4"/>
  <c r="AE1384" i="4" l="1"/>
  <c r="AF1385" i="4" s="1"/>
  <c r="AG1386" i="4" s="1"/>
  <c r="AK1383" i="4"/>
  <c r="AE1385" i="4" l="1"/>
  <c r="AF1386" i="4" s="1"/>
  <c r="AG1387" i="4" s="1"/>
  <c r="AK1384" i="4"/>
  <c r="AE1386" i="4" l="1"/>
  <c r="AF1387" i="4" s="1"/>
  <c r="AG1388" i="4" s="1"/>
  <c r="AK1385" i="4"/>
  <c r="AE1387" i="4" l="1"/>
  <c r="AF1388" i="4" s="1"/>
  <c r="AG1389" i="4" s="1"/>
  <c r="AK1386" i="4"/>
  <c r="AE1388" i="4" l="1"/>
  <c r="AF1389" i="4" s="1"/>
  <c r="AG1390" i="4" s="1"/>
  <c r="AK1387" i="4"/>
  <c r="AE1389" i="4" l="1"/>
  <c r="AF1390" i="4" s="1"/>
  <c r="AG1391" i="4" s="1"/>
  <c r="AK1388" i="4"/>
  <c r="AE1390" i="4" l="1"/>
  <c r="AF1391" i="4" s="1"/>
  <c r="AG1392" i="4" s="1"/>
  <c r="AK1389" i="4"/>
  <c r="AE1391" i="4" l="1"/>
  <c r="AF1392" i="4" s="1"/>
  <c r="AG1393" i="4" s="1"/>
  <c r="AK1390" i="4"/>
  <c r="AE1392" i="4" l="1"/>
  <c r="AF1393" i="4" s="1"/>
  <c r="AG1394" i="4" s="1"/>
  <c r="AK1391" i="4"/>
  <c r="AE1393" i="4" l="1"/>
  <c r="AF1394" i="4" s="1"/>
  <c r="AG1395" i="4" s="1"/>
  <c r="AK1392" i="4"/>
  <c r="AE1394" i="4" l="1"/>
  <c r="AF1395" i="4" s="1"/>
  <c r="AG1396" i="4" s="1"/>
  <c r="AK1393" i="4"/>
  <c r="AE1395" i="4" l="1"/>
  <c r="AF1396" i="4" s="1"/>
  <c r="AG1397" i="4" s="1"/>
  <c r="AK1394" i="4"/>
  <c r="AE1396" i="4" l="1"/>
  <c r="AF1397" i="4" s="1"/>
  <c r="AG1398" i="4" s="1"/>
  <c r="AK1395" i="4"/>
  <c r="AE1397" i="4" l="1"/>
  <c r="AF1398" i="4" s="1"/>
  <c r="AG1399" i="4" s="1"/>
  <c r="AK1396" i="4"/>
  <c r="AE1398" i="4" l="1"/>
  <c r="AF1399" i="4" s="1"/>
  <c r="AG1400" i="4" s="1"/>
  <c r="AK1397" i="4"/>
  <c r="AE1399" i="4" l="1"/>
  <c r="AF1400" i="4" s="1"/>
  <c r="AG1401" i="4" s="1"/>
  <c r="AK1398" i="4"/>
  <c r="AE1400" i="4" l="1"/>
  <c r="AF1401" i="4" s="1"/>
  <c r="AG1402" i="4" s="1"/>
  <c r="AK1399" i="4"/>
  <c r="AE1401" i="4" l="1"/>
  <c r="AF1402" i="4" s="1"/>
  <c r="AG1403" i="4" s="1"/>
  <c r="AK1400" i="4"/>
  <c r="AE1402" i="4" l="1"/>
  <c r="AF1403" i="4" s="1"/>
  <c r="AG1404" i="4" s="1"/>
  <c r="AK1401" i="4"/>
  <c r="AE1403" i="4" l="1"/>
  <c r="AF1404" i="4" s="1"/>
  <c r="AG1405" i="4" s="1"/>
  <c r="AK1402" i="4"/>
  <c r="AE1404" i="4" l="1"/>
  <c r="AF1405" i="4" s="1"/>
  <c r="AG1406" i="4" s="1"/>
  <c r="AK1403" i="4"/>
  <c r="AE1405" i="4" l="1"/>
  <c r="AF1406" i="4" s="1"/>
  <c r="AG1407" i="4" s="1"/>
  <c r="AK1404" i="4"/>
  <c r="AE1406" i="4" l="1"/>
  <c r="AF1407" i="4" s="1"/>
  <c r="AG1408" i="4" s="1"/>
  <c r="AK1405" i="4"/>
  <c r="AE1407" i="4" l="1"/>
  <c r="AF1408" i="4" s="1"/>
  <c r="AG1409" i="4" s="1"/>
  <c r="AK1406" i="4"/>
  <c r="AE1408" i="4" l="1"/>
  <c r="AF1409" i="4" s="1"/>
  <c r="AG1410" i="4" s="1"/>
  <c r="AK1407" i="4"/>
  <c r="AE1409" i="4" l="1"/>
  <c r="AF1410" i="4" s="1"/>
  <c r="AG1411" i="4" s="1"/>
  <c r="AK1408" i="4"/>
  <c r="AE1410" i="4" l="1"/>
  <c r="AF1411" i="4" s="1"/>
  <c r="AG1412" i="4" s="1"/>
  <c r="AK1409" i="4"/>
  <c r="AE1411" i="4" l="1"/>
  <c r="AF1412" i="4" s="1"/>
  <c r="AG1413" i="4" s="1"/>
  <c r="AK1410" i="4"/>
  <c r="AE1412" i="4" l="1"/>
  <c r="AF1413" i="4" s="1"/>
  <c r="AG1414" i="4" s="1"/>
  <c r="AK1411" i="4"/>
  <c r="AE1413" i="4" l="1"/>
  <c r="AF1414" i="4" s="1"/>
  <c r="AG1415" i="4" s="1"/>
  <c r="AK1412" i="4"/>
  <c r="AE1414" i="4" l="1"/>
  <c r="AF1415" i="4" s="1"/>
  <c r="AG1416" i="4" s="1"/>
  <c r="AK1413" i="4"/>
  <c r="AE1415" i="4" l="1"/>
  <c r="AF1416" i="4" s="1"/>
  <c r="AG1417" i="4" s="1"/>
  <c r="AK1414" i="4"/>
  <c r="AE1416" i="4" l="1"/>
  <c r="AF1417" i="4" s="1"/>
  <c r="AG1418" i="4" s="1"/>
  <c r="AK1415" i="4"/>
  <c r="AE1417" i="4" l="1"/>
  <c r="AF1418" i="4" s="1"/>
  <c r="AG1419" i="4" s="1"/>
  <c r="AK1416" i="4"/>
  <c r="AE1418" i="4" l="1"/>
  <c r="AF1419" i="4" s="1"/>
  <c r="AG1420" i="4" s="1"/>
  <c r="AK1417" i="4"/>
  <c r="AE1419" i="4" l="1"/>
  <c r="AF1420" i="4" s="1"/>
  <c r="AG1421" i="4" s="1"/>
  <c r="AK1418" i="4"/>
  <c r="AE1420" i="4" l="1"/>
  <c r="AF1421" i="4" s="1"/>
  <c r="AG1422" i="4" s="1"/>
  <c r="AK1419" i="4"/>
  <c r="AE1421" i="4" l="1"/>
  <c r="AF1422" i="4" s="1"/>
  <c r="AG1423" i="4" s="1"/>
  <c r="AK1420" i="4"/>
  <c r="AE1422" i="4" l="1"/>
  <c r="AF1423" i="4" s="1"/>
  <c r="AG1424" i="4" s="1"/>
  <c r="AK1421" i="4"/>
  <c r="AE1423" i="4" l="1"/>
  <c r="AF1424" i="4" s="1"/>
  <c r="AG1425" i="4" s="1"/>
  <c r="AK1422" i="4"/>
  <c r="AE1424" i="4" l="1"/>
  <c r="AF1425" i="4" s="1"/>
  <c r="AG1426" i="4" s="1"/>
  <c r="AK1423" i="4"/>
  <c r="AE1425" i="4" l="1"/>
  <c r="AF1426" i="4" s="1"/>
  <c r="AG1427" i="4" s="1"/>
  <c r="AK1424" i="4"/>
  <c r="AE1426" i="4" l="1"/>
  <c r="AF1427" i="4" s="1"/>
  <c r="AG1428" i="4" s="1"/>
  <c r="AK1425" i="4"/>
  <c r="AE1427" i="4" l="1"/>
  <c r="AF1428" i="4" s="1"/>
  <c r="AG1429" i="4" s="1"/>
  <c r="AK1426" i="4"/>
  <c r="AE1428" i="4" l="1"/>
  <c r="AF1429" i="4" s="1"/>
  <c r="AG1430" i="4" s="1"/>
  <c r="AK1427" i="4"/>
  <c r="AE1429" i="4" l="1"/>
  <c r="AF1430" i="4" s="1"/>
  <c r="AG1431" i="4" s="1"/>
  <c r="AK1428" i="4"/>
  <c r="AE1430" i="4" l="1"/>
  <c r="AF1431" i="4" s="1"/>
  <c r="AG1432" i="4" s="1"/>
  <c r="AK1429" i="4"/>
  <c r="AE1431" i="4" l="1"/>
  <c r="AF1432" i="4" s="1"/>
  <c r="AG1433" i="4" s="1"/>
  <c r="AK1430" i="4"/>
  <c r="AE1432" i="4" l="1"/>
  <c r="AF1433" i="4" s="1"/>
  <c r="AG1434" i="4" s="1"/>
  <c r="AK1431" i="4"/>
  <c r="AE1433" i="4" l="1"/>
  <c r="AF1434" i="4" s="1"/>
  <c r="AG1435" i="4" s="1"/>
  <c r="AK1432" i="4"/>
  <c r="AE1434" i="4" l="1"/>
  <c r="AF1435" i="4" s="1"/>
  <c r="AG1436" i="4" s="1"/>
  <c r="AK1433" i="4"/>
  <c r="AE1435" i="4" l="1"/>
  <c r="AF1436" i="4" s="1"/>
  <c r="AG1437" i="4" s="1"/>
  <c r="AK1434" i="4"/>
  <c r="AE1436" i="4" l="1"/>
  <c r="AF1437" i="4" s="1"/>
  <c r="AG1438" i="4" s="1"/>
  <c r="AK1435" i="4"/>
  <c r="AE1437" i="4" l="1"/>
  <c r="AF1438" i="4" s="1"/>
  <c r="AG1439" i="4" s="1"/>
  <c r="AK1436" i="4"/>
  <c r="AE1438" i="4" l="1"/>
  <c r="AF1439" i="4" s="1"/>
  <c r="AG1440" i="4" s="1"/>
  <c r="AK1437" i="4"/>
  <c r="AE1439" i="4" l="1"/>
  <c r="AF1440" i="4" s="1"/>
  <c r="AG1441" i="4" s="1"/>
  <c r="AK1438" i="4"/>
  <c r="AE1440" i="4" l="1"/>
  <c r="AF1441" i="4" s="1"/>
  <c r="AG1442" i="4" s="1"/>
  <c r="AK1439" i="4"/>
  <c r="AE1441" i="4" l="1"/>
  <c r="AF1442" i="4" s="1"/>
  <c r="AG1443" i="4" s="1"/>
  <c r="AK1440" i="4"/>
  <c r="AE1442" i="4" l="1"/>
  <c r="AF1443" i="4" s="1"/>
  <c r="AG1444" i="4" s="1"/>
  <c r="AK1441" i="4"/>
  <c r="AE1443" i="4" l="1"/>
  <c r="AF1444" i="4" s="1"/>
  <c r="AG1445" i="4" s="1"/>
  <c r="AK1442" i="4"/>
  <c r="AE1444" i="4" l="1"/>
  <c r="AF1445" i="4" s="1"/>
  <c r="AG1446" i="4" s="1"/>
  <c r="AK1443" i="4"/>
  <c r="AE1445" i="4" l="1"/>
  <c r="AF1446" i="4" s="1"/>
  <c r="AG1447" i="4" s="1"/>
  <c r="AK1444" i="4"/>
  <c r="AE1446" i="4" l="1"/>
  <c r="AF1447" i="4" s="1"/>
  <c r="AG1448" i="4" s="1"/>
  <c r="AK1445" i="4"/>
  <c r="AE1447" i="4" l="1"/>
  <c r="AF1448" i="4" s="1"/>
  <c r="AG1449" i="4" s="1"/>
  <c r="AK1446" i="4"/>
  <c r="AE1448" i="4" l="1"/>
  <c r="AF1449" i="4" s="1"/>
  <c r="AG1450" i="4" s="1"/>
  <c r="AK1447" i="4"/>
  <c r="AE1449" i="4" l="1"/>
  <c r="AF1450" i="4" s="1"/>
  <c r="AG1451" i="4" s="1"/>
  <c r="AK1448" i="4"/>
  <c r="AE1450" i="4" l="1"/>
  <c r="AF1451" i="4" s="1"/>
  <c r="AG1452" i="4" s="1"/>
  <c r="AK1449" i="4"/>
  <c r="AE1451" i="4" l="1"/>
  <c r="AF1452" i="4" s="1"/>
  <c r="AG1453" i="4" s="1"/>
  <c r="AK1450" i="4"/>
  <c r="AE1452" i="4" l="1"/>
  <c r="AF1453" i="4" s="1"/>
  <c r="AG1454" i="4" s="1"/>
  <c r="AK1451" i="4"/>
  <c r="AE1453" i="4" l="1"/>
  <c r="AF1454" i="4" s="1"/>
  <c r="AG1455" i="4" s="1"/>
  <c r="AK1452" i="4"/>
  <c r="AE1454" i="4" l="1"/>
  <c r="AF1455" i="4" s="1"/>
  <c r="AG1456" i="4" s="1"/>
  <c r="AK1453" i="4"/>
  <c r="AE1455" i="4" l="1"/>
  <c r="AF1456" i="4" s="1"/>
  <c r="AG1457" i="4" s="1"/>
  <c r="AK1454" i="4"/>
  <c r="AE1456" i="4" l="1"/>
  <c r="AF1457" i="4" s="1"/>
  <c r="AG1458" i="4" s="1"/>
  <c r="AK1455" i="4"/>
  <c r="AE1457" i="4" l="1"/>
  <c r="AF1458" i="4" s="1"/>
  <c r="AG1459" i="4" s="1"/>
  <c r="AK1456" i="4"/>
  <c r="AE1458" i="4" l="1"/>
  <c r="AF1459" i="4" s="1"/>
  <c r="AG1460" i="4" s="1"/>
  <c r="AK1457" i="4"/>
  <c r="AE1459" i="4" l="1"/>
  <c r="AF1460" i="4" s="1"/>
  <c r="AG1461" i="4" s="1"/>
  <c r="AK1458" i="4"/>
  <c r="AE1460" i="4" l="1"/>
  <c r="AF1461" i="4" s="1"/>
  <c r="AG1462" i="4" s="1"/>
  <c r="AK1459" i="4"/>
  <c r="AE1461" i="4" l="1"/>
  <c r="AF1462" i="4" s="1"/>
  <c r="AG1463" i="4" s="1"/>
  <c r="AK1460" i="4"/>
  <c r="AE1462" i="4" l="1"/>
  <c r="AF1463" i="4" s="1"/>
  <c r="AG1464" i="4" s="1"/>
  <c r="AK1461" i="4"/>
  <c r="AE1463" i="4" l="1"/>
  <c r="AF1464" i="4" s="1"/>
  <c r="AG1465" i="4" s="1"/>
  <c r="AK1462" i="4"/>
  <c r="AE1464" i="4" l="1"/>
  <c r="AF1465" i="4" s="1"/>
  <c r="AG1466" i="4" s="1"/>
  <c r="AK1463" i="4"/>
  <c r="AE1465" i="4" l="1"/>
  <c r="AF1466" i="4" s="1"/>
  <c r="AG1467" i="4" s="1"/>
  <c r="AK1464" i="4"/>
  <c r="AE1466" i="4" l="1"/>
  <c r="AF1467" i="4" s="1"/>
  <c r="AG1468" i="4" s="1"/>
  <c r="AK1465" i="4"/>
  <c r="AE1467" i="4" l="1"/>
  <c r="AF1468" i="4" s="1"/>
  <c r="AG1469" i="4" s="1"/>
  <c r="AK1466" i="4"/>
  <c r="AE1468" i="4" l="1"/>
  <c r="AF1469" i="4" s="1"/>
  <c r="AG1470" i="4" s="1"/>
  <c r="AK1467" i="4"/>
  <c r="AE1469" i="4" l="1"/>
  <c r="AF1470" i="4" s="1"/>
  <c r="AG1471" i="4" s="1"/>
  <c r="AK1468" i="4"/>
  <c r="AE1470" i="4" l="1"/>
  <c r="AF1471" i="4" s="1"/>
  <c r="AG1472" i="4" s="1"/>
  <c r="AK1469" i="4"/>
  <c r="AE1471" i="4" l="1"/>
  <c r="AF1472" i="4" s="1"/>
  <c r="AG1473" i="4" s="1"/>
  <c r="AK1470" i="4"/>
  <c r="AE1472" i="4" l="1"/>
  <c r="AF1473" i="4" s="1"/>
  <c r="AG1474" i="4" s="1"/>
  <c r="AK1471" i="4"/>
  <c r="AE1473" i="4" l="1"/>
  <c r="AF1474" i="4" s="1"/>
  <c r="AG1475" i="4" s="1"/>
  <c r="AK1472" i="4"/>
  <c r="AE1474" i="4" l="1"/>
  <c r="AF1475" i="4" s="1"/>
  <c r="AG1476" i="4" s="1"/>
  <c r="AK1473" i="4"/>
  <c r="AE1475" i="4" l="1"/>
  <c r="AF1476" i="4" s="1"/>
  <c r="AG1477" i="4" s="1"/>
  <c r="AK1474" i="4"/>
  <c r="AE1476" i="4" l="1"/>
  <c r="AF1477" i="4" s="1"/>
  <c r="AG1478" i="4" s="1"/>
  <c r="AK1475" i="4"/>
  <c r="AE1477" i="4" l="1"/>
  <c r="AF1478" i="4" s="1"/>
  <c r="AG1479" i="4" s="1"/>
  <c r="AK1476" i="4"/>
  <c r="AE1478" i="4" l="1"/>
  <c r="AF1479" i="4" s="1"/>
  <c r="AG1480" i="4" s="1"/>
  <c r="AK1477" i="4"/>
  <c r="AE1479" i="4" l="1"/>
  <c r="AF1480" i="4" s="1"/>
  <c r="AG1481" i="4" s="1"/>
  <c r="AK1478" i="4"/>
  <c r="AE1480" i="4" l="1"/>
  <c r="AF1481" i="4" s="1"/>
  <c r="AG1482" i="4" s="1"/>
  <c r="AK1479" i="4"/>
  <c r="AE1481" i="4" l="1"/>
  <c r="AF1482" i="4" s="1"/>
  <c r="AG1483" i="4" s="1"/>
  <c r="AK1480" i="4"/>
  <c r="AE1482" i="4" l="1"/>
  <c r="AF1483" i="4" s="1"/>
  <c r="AG1484" i="4" s="1"/>
  <c r="AK1481" i="4"/>
  <c r="AE1483" i="4" l="1"/>
  <c r="AF1484" i="4" s="1"/>
  <c r="AG1485" i="4" s="1"/>
  <c r="AK1482" i="4"/>
  <c r="AE1484" i="4" l="1"/>
  <c r="AF1485" i="4" s="1"/>
  <c r="AG1486" i="4" s="1"/>
  <c r="AK1483" i="4"/>
  <c r="AE1485" i="4" l="1"/>
  <c r="AF1486" i="4" s="1"/>
  <c r="AG1487" i="4" s="1"/>
  <c r="AK1484" i="4"/>
  <c r="AE1486" i="4" l="1"/>
  <c r="AF1487" i="4" s="1"/>
  <c r="AG1488" i="4" s="1"/>
  <c r="AK1485" i="4"/>
  <c r="AE1487" i="4" l="1"/>
  <c r="AF1488" i="4" s="1"/>
  <c r="AG1489" i="4" s="1"/>
  <c r="AK1486" i="4"/>
  <c r="AE1488" i="4" l="1"/>
  <c r="AF1489" i="4" s="1"/>
  <c r="AG1490" i="4" s="1"/>
  <c r="AK1487" i="4"/>
  <c r="AE1489" i="4" l="1"/>
  <c r="AF1490" i="4" s="1"/>
  <c r="AG1491" i="4" s="1"/>
  <c r="AK1488" i="4"/>
  <c r="AE1490" i="4" l="1"/>
  <c r="AF1491" i="4" s="1"/>
  <c r="AG1492" i="4" s="1"/>
  <c r="AK1489" i="4"/>
  <c r="AE1491" i="4" l="1"/>
  <c r="AF1492" i="4" s="1"/>
  <c r="AG1493" i="4" s="1"/>
  <c r="AK1490" i="4"/>
  <c r="AE1492" i="4" l="1"/>
  <c r="AF1493" i="4" s="1"/>
  <c r="AG1494" i="4" s="1"/>
  <c r="AK1491" i="4"/>
  <c r="AE1493" i="4" l="1"/>
  <c r="AF1494" i="4" s="1"/>
  <c r="AG1495" i="4" s="1"/>
  <c r="AK1492" i="4"/>
  <c r="AE1494" i="4" l="1"/>
  <c r="AF1495" i="4" s="1"/>
  <c r="AG1496" i="4" s="1"/>
  <c r="AK1493" i="4"/>
  <c r="AE1495" i="4" l="1"/>
  <c r="AF1496" i="4" s="1"/>
  <c r="AG1497" i="4" s="1"/>
  <c r="AK1494" i="4"/>
  <c r="AE1496" i="4" l="1"/>
  <c r="AF1497" i="4" s="1"/>
  <c r="AG1498" i="4" s="1"/>
  <c r="AK1495" i="4"/>
  <c r="AE1497" i="4" l="1"/>
  <c r="AF1498" i="4" s="1"/>
  <c r="AG1499" i="4" s="1"/>
  <c r="AK1496" i="4"/>
  <c r="AE1498" i="4" l="1"/>
  <c r="AF1499" i="4" s="1"/>
  <c r="AG1500" i="4" s="1"/>
  <c r="AK1497" i="4"/>
  <c r="AE1499" i="4" l="1"/>
  <c r="AF1500" i="4" s="1"/>
  <c r="AG1501" i="4" s="1"/>
  <c r="AK1498" i="4"/>
  <c r="AE1500" i="4" l="1"/>
  <c r="AF1501" i="4" s="1"/>
  <c r="AG1502" i="4" s="1"/>
  <c r="AK1499" i="4"/>
  <c r="AE1501" i="4" l="1"/>
  <c r="AF1502" i="4" s="1"/>
  <c r="AG1503" i="4" s="1"/>
  <c r="AK1500" i="4"/>
  <c r="AE1502" i="4" l="1"/>
  <c r="AF1503" i="4" s="1"/>
  <c r="AG1504" i="4" s="1"/>
  <c r="AK1501" i="4"/>
  <c r="AE1503" i="4" l="1"/>
  <c r="AF1504" i="4" s="1"/>
  <c r="AG1505" i="4" s="1"/>
  <c r="AK1502" i="4"/>
  <c r="AE1504" i="4" l="1"/>
  <c r="AF1505" i="4" s="1"/>
  <c r="AG1506" i="4" s="1"/>
  <c r="AK1503" i="4"/>
  <c r="AE1505" i="4" l="1"/>
  <c r="AF1506" i="4" s="1"/>
  <c r="AG1507" i="4" s="1"/>
  <c r="AK1504" i="4"/>
  <c r="AE1506" i="4" l="1"/>
  <c r="AF1507" i="4" s="1"/>
  <c r="AG1508" i="4" s="1"/>
  <c r="AK1505" i="4"/>
  <c r="AE1507" i="4" l="1"/>
  <c r="AF1508" i="4" s="1"/>
  <c r="AG1509" i="4" s="1"/>
  <c r="AK1506" i="4"/>
  <c r="AE1508" i="4" l="1"/>
  <c r="AF1509" i="4" s="1"/>
  <c r="AG1510" i="4" s="1"/>
  <c r="AK1507" i="4"/>
  <c r="AE1509" i="4" l="1"/>
  <c r="AF1510" i="4" s="1"/>
  <c r="AG1511" i="4" s="1"/>
  <c r="AK1508" i="4"/>
  <c r="AE1510" i="4" l="1"/>
  <c r="AF1511" i="4" s="1"/>
  <c r="AG1512" i="4" s="1"/>
  <c r="AK1509" i="4"/>
  <c r="AE1511" i="4" l="1"/>
  <c r="AF1512" i="4" s="1"/>
  <c r="AG1513" i="4" s="1"/>
  <c r="AK1510" i="4"/>
  <c r="AE1512" i="4" l="1"/>
  <c r="AF1513" i="4" s="1"/>
  <c r="AG1514" i="4" s="1"/>
  <c r="AK1511" i="4"/>
  <c r="AE1513" i="4" l="1"/>
  <c r="AF1514" i="4" s="1"/>
  <c r="AG1515" i="4" s="1"/>
  <c r="AK1512" i="4"/>
  <c r="AE1514" i="4" l="1"/>
  <c r="AF1515" i="4" s="1"/>
  <c r="AG1516" i="4" s="1"/>
  <c r="AK1513" i="4"/>
  <c r="AE1515" i="4" l="1"/>
  <c r="AF1516" i="4" s="1"/>
  <c r="AG1517" i="4" s="1"/>
  <c r="AK1514" i="4"/>
  <c r="AE1516" i="4" l="1"/>
  <c r="AF1517" i="4" s="1"/>
  <c r="AK1515" i="4"/>
  <c r="AE1517" i="4" l="1"/>
  <c r="AK1517" i="4" s="1"/>
  <c r="AM5" i="4" s="1"/>
  <c r="AK1516" i="4"/>
</calcChain>
</file>

<file path=xl/sharedStrings.xml><?xml version="1.0" encoding="utf-8"?>
<sst xmlns="http://schemas.openxmlformats.org/spreadsheetml/2006/main" count="161" uniqueCount="62">
  <si>
    <t>Date</t>
  </si>
  <si>
    <t>JPY</t>
  </si>
  <si>
    <t>GBP=</t>
  </si>
  <si>
    <t>EUR=</t>
  </si>
  <si>
    <t>AR Specifications:</t>
  </si>
  <si>
    <t>Yt</t>
  </si>
  <si>
    <t>Yt-1</t>
  </si>
  <si>
    <t>Yt-2</t>
  </si>
  <si>
    <t>Yt-3</t>
  </si>
  <si>
    <t>DeltaYt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</si>
  <si>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</si>
  <si>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</si>
  <si>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</si>
  <si>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</si>
  <si>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</si>
  <si>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</si>
  <si>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</si>
  <si>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</si>
  <si>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</si>
  <si>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</si>
  <si>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</si>
  <si>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</si>
  <si>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</si>
  <si>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</si>
  <si>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</si>
  <si>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</si>
  <si>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</si>
  <si>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</si>
  <si>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</si>
  <si>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</si>
  <si>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</si>
  <si>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</si>
  <si>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</si>
  <si>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</si>
  <si>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</si>
  <si>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</si>
  <si>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DeltaYt</t>
  </si>
  <si>
    <t>Residuals</t>
  </si>
  <si>
    <t>AR(1)</t>
  </si>
  <si>
    <t>AR(2)</t>
  </si>
  <si>
    <t>AR(3)</t>
  </si>
  <si>
    <t>ACF</t>
  </si>
  <si>
    <t>PACF</t>
  </si>
  <si>
    <t>Predicted Yt</t>
  </si>
  <si>
    <t>AIC</t>
  </si>
  <si>
    <t>BIC</t>
  </si>
  <si>
    <t>Yhat</t>
  </si>
  <si>
    <t>Y bar</t>
  </si>
  <si>
    <t>MA Specifications:</t>
  </si>
  <si>
    <t xml:space="preserve">JPY revenue </t>
  </si>
  <si>
    <t>MA(1)</t>
  </si>
  <si>
    <t>MA(2)</t>
  </si>
  <si>
    <t>MA(3)</t>
  </si>
  <si>
    <t>Estimation</t>
  </si>
  <si>
    <t>mu</t>
  </si>
  <si>
    <t>thetha</t>
  </si>
  <si>
    <t>Epslion:</t>
  </si>
  <si>
    <t>Epslion squarred:</t>
  </si>
  <si>
    <t>Sum:</t>
  </si>
  <si>
    <t>Epsilon-1:</t>
  </si>
  <si>
    <t>Epsilon-2:</t>
  </si>
  <si>
    <t>Correl: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</si>
</sst>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3" borderId="0" xfId="0" applyFill="1"/>
    <xf numFmtId="0" fontId="0" fillId="4" borderId="0" xfId="0" applyFill="1"/>
    <xf numFmtId="164" fontId="0" fillId="2" borderId="0" xfId="0" applyNumberFormat="1" applyFill="1"/>
  </cellXfs>
  <cellStyles count="2">
    <cellStyle name="Normal" xfId="0" builtinId="0"/>
    <cellStyle name="Normal 2" xfId="1" xr:uid="{34384D67-6203-495E-9401-DC21B7E12B9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B798-FBFA-4901-BB6E-0C435B1210CA}">
  <dimension ref="A1:AR1517"/>
  <sheetViews>
    <sheetView showGridLines="0" tabSelected="1" topLeftCell="AD1" workbookViewId="0">
      <selection activeCell="AP11" sqref="AP11"/>
    </sheetView>
  </sheetViews>
  <sheetFormatPr defaultColWidth="11.19921875" defaultRowHeight="15.9" outlineLevelCol="1" x14ac:dyDescent="0.3"/>
  <cols>
    <col min="1" max="1" width="11.796875" customWidth="1"/>
    <col min="2" max="4" width="8.796875" customWidth="1"/>
    <col min="6" max="6" width="11.19921875" customWidth="1"/>
    <col min="7" max="20" width="11.19921875" hidden="1" customWidth="1" outlineLevel="1"/>
    <col min="21" max="21" width="11.19921875" collapsed="1"/>
  </cols>
  <sheetData>
    <row r="1" spans="1:44" x14ac:dyDescent="0.3">
      <c r="F1" t="s">
        <v>4</v>
      </c>
      <c r="V1" t="s">
        <v>48</v>
      </c>
    </row>
    <row r="3" spans="1:44" x14ac:dyDescent="0.3">
      <c r="W3" t="s">
        <v>49</v>
      </c>
      <c r="X3" t="s">
        <v>6</v>
      </c>
      <c r="Y3" t="s">
        <v>7</v>
      </c>
      <c r="Z3" t="s">
        <v>8</v>
      </c>
      <c r="AB3" t="s">
        <v>53</v>
      </c>
      <c r="AE3" t="s">
        <v>56</v>
      </c>
      <c r="AF3" t="s">
        <v>59</v>
      </c>
      <c r="AG3" t="s">
        <v>60</v>
      </c>
      <c r="AK3" t="s">
        <v>57</v>
      </c>
    </row>
    <row r="4" spans="1:44" x14ac:dyDescent="0.3">
      <c r="A4" t="s">
        <v>0</v>
      </c>
      <c r="B4" t="s">
        <v>3</v>
      </c>
      <c r="C4" t="s">
        <v>2</v>
      </c>
      <c r="D4" t="s">
        <v>1</v>
      </c>
      <c r="G4" t="s">
        <v>5</v>
      </c>
      <c r="H4" t="s">
        <v>6</v>
      </c>
      <c r="I4" t="s">
        <v>7</v>
      </c>
      <c r="J4" t="s">
        <v>8</v>
      </c>
      <c r="L4" t="s">
        <v>9</v>
      </c>
      <c r="M4" t="s">
        <v>46</v>
      </c>
      <c r="P4" s="7"/>
      <c r="Q4" s="8" t="s">
        <v>38</v>
      </c>
      <c r="R4" s="7" t="s">
        <v>39</v>
      </c>
      <c r="S4" s="7" t="s">
        <v>40</v>
      </c>
      <c r="W4" s="2"/>
      <c r="X4" s="2"/>
      <c r="Y4" s="2"/>
      <c r="Z4" s="2"/>
      <c r="AB4" t="s">
        <v>54</v>
      </c>
      <c r="AC4">
        <v>2.5483807119633292E-4</v>
      </c>
      <c r="AO4" s="7"/>
      <c r="AP4" s="7" t="s">
        <v>50</v>
      </c>
      <c r="AQ4" s="7" t="s">
        <v>51</v>
      </c>
      <c r="AR4" s="7" t="s">
        <v>52</v>
      </c>
    </row>
    <row r="5" spans="1:44" x14ac:dyDescent="0.3">
      <c r="A5" s="1">
        <v>43930</v>
      </c>
      <c r="B5">
        <v>1.0927</v>
      </c>
      <c r="C5">
        <v>1.2455000000000001</v>
      </c>
      <c r="D5">
        <v>108.46</v>
      </c>
      <c r="G5">
        <v>1.0927</v>
      </c>
      <c r="H5" s="2">
        <v>0</v>
      </c>
      <c r="I5" s="2">
        <v>0</v>
      </c>
      <c r="J5" s="2">
        <v>0</v>
      </c>
      <c r="L5">
        <f>G5-H5</f>
        <v>1.0927</v>
      </c>
      <c r="P5" s="7" t="s">
        <v>41</v>
      </c>
      <c r="Q5" s="8">
        <f>CORREL(G5:G1517,H5:H1517)</f>
        <v>0.89778192077298957</v>
      </c>
      <c r="R5" s="7">
        <f>CORREL(G5:G1517,I5:I1517)</f>
        <v>0.82206126257155721</v>
      </c>
      <c r="S5" s="7">
        <f>CORREL(G5:G1517,J5:J1517)</f>
        <v>0.76335144811385425</v>
      </c>
      <c r="W5" s="2"/>
      <c r="X5" s="2"/>
      <c r="Y5" s="2"/>
      <c r="Z5" s="2"/>
      <c r="AB5" t="s">
        <v>55</v>
      </c>
      <c r="AC5">
        <v>-0.2414307764927866</v>
      </c>
      <c r="AH5" t="s">
        <v>61</v>
      </c>
      <c r="AL5" t="s">
        <v>58</v>
      </c>
      <c r="AM5">
        <f>SUM(AK7:AK1517)</f>
        <v>7.821239031085428E-2</v>
      </c>
      <c r="AO5" s="7" t="s">
        <v>41</v>
      </c>
      <c r="AP5" s="7">
        <f>CORREL($W$4:$W$1517,X4:X1517)</f>
        <v>-0.21897774591252275</v>
      </c>
      <c r="AQ5" s="7">
        <f>CORREL($W$4:$W$1517,Y4:Y1517)</f>
        <v>-2.4370986548793733E-2</v>
      </c>
      <c r="AR5" s="7">
        <f>CORREL($W$4:$W$1517,Z4:Z1517)</f>
        <v>9.5016326893344449E-3</v>
      </c>
    </row>
    <row r="6" spans="1:44" x14ac:dyDescent="0.3">
      <c r="A6" s="1">
        <v>43931</v>
      </c>
      <c r="B6">
        <v>1.0934999999999999</v>
      </c>
      <c r="C6">
        <v>1.2452000000000001</v>
      </c>
      <c r="D6">
        <v>108.46</v>
      </c>
      <c r="G6">
        <v>1.0934999999999999</v>
      </c>
      <c r="H6">
        <f>G5</f>
        <v>1.0927</v>
      </c>
      <c r="I6" s="2">
        <v>0</v>
      </c>
      <c r="J6" s="2">
        <v>0</v>
      </c>
      <c r="L6">
        <f t="shared" ref="L6:L69" si="0">G6-H6</f>
        <v>7.9999999999991189E-4</v>
      </c>
      <c r="P6" s="7" t="s">
        <v>42</v>
      </c>
      <c r="Q6" s="8">
        <f>PACF_AR1</f>
        <v>0.80421138205365805</v>
      </c>
      <c r="R6" s="7">
        <f>PACF_AR2</f>
        <v>-6.5744047911257646E-4</v>
      </c>
      <c r="S6" s="7">
        <f>PACF_AR3</f>
        <v>3.4493932927654697E-3</v>
      </c>
      <c r="W6">
        <f>(D6-D5)/D5</f>
        <v>0</v>
      </c>
      <c r="Y6" s="2"/>
      <c r="Z6" s="2"/>
      <c r="AH6">
        <f>CORREL($AE$7:$AE$1517,AF7:AF1517)</f>
        <v>4.325959188170172E-3</v>
      </c>
      <c r="AI6">
        <f>CORREL($AE$7:$AE$1517,AG7:AG1517)</f>
        <v>-2.1570687691631875E-2</v>
      </c>
      <c r="AO6" s="7" t="s">
        <v>42</v>
      </c>
      <c r="AP6" s="7"/>
      <c r="AQ6" s="7"/>
      <c r="AR6" s="7"/>
    </row>
    <row r="7" spans="1:44" x14ac:dyDescent="0.3">
      <c r="A7" s="1">
        <v>43934</v>
      </c>
      <c r="B7">
        <v>1.0912999999999999</v>
      </c>
      <c r="C7">
        <v>1.2506999999999999</v>
      </c>
      <c r="D7">
        <v>107.76</v>
      </c>
      <c r="G7">
        <v>1.0912999999999999</v>
      </c>
      <c r="H7">
        <f t="shared" ref="H7:J70" si="1">G6</f>
        <v>1.0934999999999999</v>
      </c>
      <c r="I7">
        <f>H6</f>
        <v>1.0927</v>
      </c>
      <c r="J7" s="2">
        <v>0</v>
      </c>
      <c r="L7">
        <f t="shared" si="0"/>
        <v>-2.1999999999999797E-3</v>
      </c>
      <c r="Q7" s="8"/>
      <c r="W7">
        <f t="shared" ref="W7:W70" si="2">(D7-D6)/D6</f>
        <v>-6.4539922552091893E-3</v>
      </c>
      <c r="X7">
        <f>W6</f>
        <v>0</v>
      </c>
      <c r="Y7" s="2"/>
      <c r="Z7" s="2"/>
      <c r="AE7">
        <f>W7-mu-theta*AE6</f>
        <v>-6.7088303264055222E-3</v>
      </c>
      <c r="AK7">
        <f>POWER(AE7,2)</f>
        <v>4.5008404348498423E-5</v>
      </c>
      <c r="AO7" s="7"/>
      <c r="AP7" s="7"/>
      <c r="AQ7" s="7"/>
      <c r="AR7" s="7"/>
    </row>
    <row r="8" spans="1:44" x14ac:dyDescent="0.3">
      <c r="A8" s="1">
        <v>43935</v>
      </c>
      <c r="B8">
        <v>1.0979000000000001</v>
      </c>
      <c r="C8">
        <v>1.2623</v>
      </c>
      <c r="D8">
        <v>107.2</v>
      </c>
      <c r="G8">
        <v>1.0979000000000001</v>
      </c>
      <c r="H8">
        <f t="shared" si="1"/>
        <v>1.0912999999999999</v>
      </c>
      <c r="I8">
        <f t="shared" si="1"/>
        <v>1.0934999999999999</v>
      </c>
      <c r="J8">
        <f>I7</f>
        <v>1.0927</v>
      </c>
      <c r="L8">
        <f t="shared" si="0"/>
        <v>6.6000000000001613E-3</v>
      </c>
      <c r="P8" s="7" t="s">
        <v>44</v>
      </c>
      <c r="Q8" s="8">
        <f>obs*LN('AR(1)'!C13/obs)+2</f>
        <v>-11070.198663633711</v>
      </c>
      <c r="R8" s="7">
        <f>obs*LN('AR(2)'!C13/obs)+4</f>
        <v>-11068.213123415569</v>
      </c>
      <c r="S8" s="7">
        <f>obs*LN(PACF!C13/obs)+3</f>
        <v>-11069.235399234623</v>
      </c>
      <c r="W8">
        <f t="shared" si="2"/>
        <v>-5.1967334818114538E-3</v>
      </c>
      <c r="X8">
        <f t="shared" ref="X8:Z71" si="3">W7</f>
        <v>-6.4539922552091893E-3</v>
      </c>
      <c r="Y8">
        <f>X7</f>
        <v>0</v>
      </c>
      <c r="Z8" s="2"/>
      <c r="AE8">
        <f>W8-mu-theta*AE7</f>
        <v>-7.0712896680702273E-3</v>
      </c>
      <c r="AF8">
        <f>AE7</f>
        <v>-6.7088303264055222E-3</v>
      </c>
      <c r="AK8">
        <f t="shared" ref="AK8:AK71" si="4">POWER(AE8,2)</f>
        <v>5.0003137569756743E-5</v>
      </c>
    </row>
    <row r="9" spans="1:44" x14ac:dyDescent="0.3">
      <c r="A9" s="1">
        <v>43936</v>
      </c>
      <c r="B9">
        <v>1.0907</v>
      </c>
      <c r="C9">
        <v>1.2514000000000001</v>
      </c>
      <c r="D9">
        <v>107.47</v>
      </c>
      <c r="G9">
        <v>1.0907</v>
      </c>
      <c r="H9">
        <f t="shared" si="1"/>
        <v>1.0979000000000001</v>
      </c>
      <c r="I9">
        <f t="shared" si="1"/>
        <v>1.0912999999999999</v>
      </c>
      <c r="J9">
        <f t="shared" si="1"/>
        <v>1.0934999999999999</v>
      </c>
      <c r="L9">
        <f t="shared" si="0"/>
        <v>-7.2000000000000952E-3</v>
      </c>
      <c r="P9" s="7" t="s">
        <v>45</v>
      </c>
      <c r="Q9" s="8">
        <f>obs*LN('AR(1)'!C13/obs)+LN(obs)</f>
        <v>-11064.876813919924</v>
      </c>
      <c r="R9" s="7">
        <f>obs*LN('AR(2)'!C13/obs)+2*LN(obs)</f>
        <v>-11057.569423987992</v>
      </c>
      <c r="S9" s="7">
        <f>obs*LN(PACF!C13/obs)+3*LN(obs)</f>
        <v>-11050.269850093258</v>
      </c>
      <c r="W9">
        <f t="shared" si="2"/>
        <v>2.5186567164178731E-3</v>
      </c>
      <c r="X9">
        <f t="shared" si="3"/>
        <v>-5.1967334818114538E-3</v>
      </c>
      <c r="Y9">
        <f t="shared" si="3"/>
        <v>-6.4539922552091893E-3</v>
      </c>
      <c r="Z9">
        <f>Y8</f>
        <v>0</v>
      </c>
      <c r="AE9">
        <f>W9-mu-theta*AE8</f>
        <v>5.5659168985392588E-4</v>
      </c>
      <c r="AF9">
        <f t="shared" ref="AF9:AG72" si="5">AE8</f>
        <v>-7.0712896680702273E-3</v>
      </c>
      <c r="AG9">
        <f>AF8</f>
        <v>-6.7088303264055222E-3</v>
      </c>
      <c r="AK9">
        <f t="shared" si="4"/>
        <v>3.0979430921444882E-7</v>
      </c>
    </row>
    <row r="10" spans="1:44" x14ac:dyDescent="0.3">
      <c r="A10" s="1">
        <v>43937</v>
      </c>
      <c r="B10">
        <v>1.0834999999999999</v>
      </c>
      <c r="C10">
        <v>1.2455000000000001</v>
      </c>
      <c r="D10">
        <v>107.94</v>
      </c>
      <c r="G10">
        <v>1.0834999999999999</v>
      </c>
      <c r="H10">
        <f t="shared" si="1"/>
        <v>1.0907</v>
      </c>
      <c r="I10">
        <f t="shared" si="1"/>
        <v>1.0979000000000001</v>
      </c>
      <c r="J10">
        <f t="shared" si="1"/>
        <v>1.0912999999999999</v>
      </c>
      <c r="L10">
        <f t="shared" si="0"/>
        <v>-7.2000000000000952E-3</v>
      </c>
      <c r="W10">
        <f t="shared" si="2"/>
        <v>4.3733134828324079E-3</v>
      </c>
      <c r="X10">
        <f t="shared" si="3"/>
        <v>2.5186567164178731E-3</v>
      </c>
      <c r="Y10">
        <f t="shared" si="3"/>
        <v>-5.1967334818114538E-3</v>
      </c>
      <c r="Z10">
        <f t="shared" si="3"/>
        <v>-6.4539922552091893E-3</v>
      </c>
      <c r="AE10">
        <f>W10-mu-theta*AE9</f>
        <v>4.2528537755069408E-3</v>
      </c>
      <c r="AF10">
        <f t="shared" si="5"/>
        <v>5.5659168985392588E-4</v>
      </c>
      <c r="AG10">
        <f t="shared" si="5"/>
        <v>-7.0712896680702273E-3</v>
      </c>
      <c r="AK10">
        <f t="shared" si="4"/>
        <v>1.8086765235843641E-5</v>
      </c>
    </row>
    <row r="11" spans="1:44" x14ac:dyDescent="0.3">
      <c r="A11" s="1">
        <v>43938</v>
      </c>
      <c r="B11">
        <v>1.0875999999999999</v>
      </c>
      <c r="C11">
        <v>1.2499</v>
      </c>
      <c r="D11">
        <v>107.51</v>
      </c>
      <c r="G11">
        <v>1.0875999999999999</v>
      </c>
      <c r="H11">
        <f t="shared" si="1"/>
        <v>1.0834999999999999</v>
      </c>
      <c r="I11">
        <f t="shared" si="1"/>
        <v>1.0907</v>
      </c>
      <c r="J11">
        <f t="shared" si="1"/>
        <v>1.0979000000000001</v>
      </c>
      <c r="L11">
        <f t="shared" si="0"/>
        <v>4.0999999999999925E-3</v>
      </c>
      <c r="W11">
        <f t="shared" si="2"/>
        <v>-3.9836946451731756E-3</v>
      </c>
      <c r="X11">
        <f t="shared" si="3"/>
        <v>4.3733134828324079E-3</v>
      </c>
      <c r="Y11">
        <f t="shared" si="3"/>
        <v>2.5186567164178731E-3</v>
      </c>
      <c r="Z11">
        <f t="shared" si="3"/>
        <v>-5.1967334818114538E-3</v>
      </c>
      <c r="AE11">
        <f>W11-mu-theta*AE10</f>
        <v>-3.2117629270385886E-3</v>
      </c>
      <c r="AF11">
        <f t="shared" si="5"/>
        <v>4.2528537755069408E-3</v>
      </c>
      <c r="AG11">
        <f t="shared" si="5"/>
        <v>5.5659168985392588E-4</v>
      </c>
      <c r="AK11">
        <f t="shared" si="4"/>
        <v>1.0315421099499482E-5</v>
      </c>
    </row>
    <row r="12" spans="1:44" x14ac:dyDescent="0.3">
      <c r="A12" s="1">
        <v>43941</v>
      </c>
      <c r="B12">
        <v>1.0862000000000001</v>
      </c>
      <c r="C12">
        <v>1.2435</v>
      </c>
      <c r="D12">
        <v>107.61</v>
      </c>
      <c r="G12">
        <v>1.0862000000000001</v>
      </c>
      <c r="H12">
        <f t="shared" si="1"/>
        <v>1.0875999999999999</v>
      </c>
      <c r="I12">
        <f t="shared" si="1"/>
        <v>1.0834999999999999</v>
      </c>
      <c r="J12">
        <f t="shared" si="1"/>
        <v>1.0907</v>
      </c>
      <c r="L12">
        <f t="shared" si="0"/>
        <v>-1.3999999999998458E-3</v>
      </c>
      <c r="W12">
        <f t="shared" si="2"/>
        <v>9.3014603292711662E-4</v>
      </c>
      <c r="X12">
        <f t="shared" si="3"/>
        <v>-3.9836946451731756E-3</v>
      </c>
      <c r="Y12">
        <f t="shared" si="3"/>
        <v>4.3733134828324079E-3</v>
      </c>
      <c r="Z12">
        <f t="shared" si="3"/>
        <v>2.5186567164178731E-3</v>
      </c>
      <c r="AE12">
        <f>W12-mu-theta*AE11</f>
        <v>-1.0011045565488778E-4</v>
      </c>
      <c r="AF12">
        <f t="shared" si="5"/>
        <v>-3.2117629270385886E-3</v>
      </c>
      <c r="AG12">
        <f t="shared" si="5"/>
        <v>4.2528537755069408E-3</v>
      </c>
      <c r="AK12">
        <f t="shared" si="4"/>
        <v>1.0022103331429252E-8</v>
      </c>
    </row>
    <row r="13" spans="1:44" x14ac:dyDescent="0.3">
      <c r="A13" s="1">
        <v>43942</v>
      </c>
      <c r="B13">
        <v>1.0855999999999999</v>
      </c>
      <c r="C13">
        <v>1.2293000000000001</v>
      </c>
      <c r="D13">
        <v>107.76</v>
      </c>
      <c r="G13">
        <v>1.0855999999999999</v>
      </c>
      <c r="H13">
        <f t="shared" si="1"/>
        <v>1.0862000000000001</v>
      </c>
      <c r="I13">
        <f t="shared" si="1"/>
        <v>1.0875999999999999</v>
      </c>
      <c r="J13">
        <f t="shared" si="1"/>
        <v>1.0834999999999999</v>
      </c>
      <c r="L13">
        <f t="shared" si="0"/>
        <v>-6.0000000000015596E-4</v>
      </c>
      <c r="P13" t="s">
        <v>47</v>
      </c>
      <c r="W13">
        <f t="shared" si="2"/>
        <v>1.3939224979091691E-3</v>
      </c>
      <c r="X13">
        <f t="shared" si="3"/>
        <v>9.3014603292711662E-4</v>
      </c>
      <c r="Y13">
        <f t="shared" si="3"/>
        <v>-3.9836946451731756E-3</v>
      </c>
      <c r="Z13">
        <f t="shared" si="3"/>
        <v>4.3733134828324079E-3</v>
      </c>
      <c r="AE13">
        <f>W13-mu-theta*AE12</f>
        <v>1.1149146816690299E-3</v>
      </c>
      <c r="AF13">
        <f t="shared" si="5"/>
        <v>-1.0011045565488778E-4</v>
      </c>
      <c r="AG13">
        <f t="shared" si="5"/>
        <v>-3.2117629270385886E-3</v>
      </c>
      <c r="AK13">
        <f t="shared" si="4"/>
        <v>1.2430347474011541E-6</v>
      </c>
    </row>
    <row r="14" spans="1:44" x14ac:dyDescent="0.3">
      <c r="A14" s="1">
        <v>43943</v>
      </c>
      <c r="B14">
        <v>1.0822000000000001</v>
      </c>
      <c r="C14">
        <v>1.2332000000000001</v>
      </c>
      <c r="D14">
        <v>107.72</v>
      </c>
      <c r="G14">
        <v>1.0822000000000001</v>
      </c>
      <c r="H14">
        <f t="shared" si="1"/>
        <v>1.0855999999999999</v>
      </c>
      <c r="I14">
        <f t="shared" si="1"/>
        <v>1.0862000000000001</v>
      </c>
      <c r="J14">
        <f t="shared" si="1"/>
        <v>1.0875999999999999</v>
      </c>
      <c r="L14">
        <f t="shared" si="0"/>
        <v>-3.3999999999998476E-3</v>
      </c>
      <c r="W14">
        <f t="shared" si="2"/>
        <v>-3.7119524870087462E-4</v>
      </c>
      <c r="X14">
        <f t="shared" si="3"/>
        <v>1.3939224979091691E-3</v>
      </c>
      <c r="Y14">
        <f t="shared" si="3"/>
        <v>9.3014603292711662E-4</v>
      </c>
      <c r="Z14">
        <f t="shared" si="3"/>
        <v>-3.9836946451731756E-3</v>
      </c>
      <c r="AE14">
        <f>W14-mu-theta*AE13</f>
        <v>-3.5685860257864561E-4</v>
      </c>
      <c r="AF14">
        <f t="shared" si="5"/>
        <v>1.1149146816690299E-3</v>
      </c>
      <c r="AG14">
        <f t="shared" si="5"/>
        <v>-1.0011045565488778E-4</v>
      </c>
      <c r="AK14">
        <f t="shared" si="4"/>
        <v>1.2734806223438373E-7</v>
      </c>
    </row>
    <row r="15" spans="1:44" x14ac:dyDescent="0.3">
      <c r="A15" s="1">
        <v>43944</v>
      </c>
      <c r="B15">
        <v>1.0775999999999999</v>
      </c>
      <c r="C15">
        <v>1.2342</v>
      </c>
      <c r="D15">
        <v>107.58</v>
      </c>
      <c r="G15">
        <v>1.0775999999999999</v>
      </c>
      <c r="H15">
        <f t="shared" si="1"/>
        <v>1.0822000000000001</v>
      </c>
      <c r="I15">
        <f t="shared" si="1"/>
        <v>1.0855999999999999</v>
      </c>
      <c r="J15">
        <f t="shared" si="1"/>
        <v>1.0862000000000001</v>
      </c>
      <c r="L15">
        <f t="shared" si="0"/>
        <v>-4.6000000000001595E-3</v>
      </c>
      <c r="W15">
        <f t="shared" si="2"/>
        <v>-1.2996658002228051E-3</v>
      </c>
      <c r="X15">
        <f t="shared" si="3"/>
        <v>-3.7119524870087462E-4</v>
      </c>
      <c r="Y15">
        <f t="shared" si="3"/>
        <v>1.3939224979091691E-3</v>
      </c>
      <c r="Z15">
        <f t="shared" si="3"/>
        <v>9.3014603292711662E-4</v>
      </c>
      <c r="AE15">
        <f>W15-mu-theta*AE14</f>
        <v>-1.6406605209378312E-3</v>
      </c>
      <c r="AF15">
        <f t="shared" si="5"/>
        <v>-3.5685860257864561E-4</v>
      </c>
      <c r="AG15">
        <f t="shared" si="5"/>
        <v>1.1149146816690299E-3</v>
      </c>
      <c r="AK15">
        <f t="shared" si="4"/>
        <v>2.6917669449639957E-6</v>
      </c>
    </row>
    <row r="16" spans="1:44" x14ac:dyDescent="0.3">
      <c r="A16" s="1">
        <v>43945</v>
      </c>
      <c r="B16">
        <v>1.0820000000000001</v>
      </c>
      <c r="C16">
        <v>1.2366999999999999</v>
      </c>
      <c r="D16">
        <v>107.5</v>
      </c>
      <c r="G16">
        <v>1.0820000000000001</v>
      </c>
      <c r="H16">
        <f t="shared" si="1"/>
        <v>1.0775999999999999</v>
      </c>
      <c r="I16">
        <f t="shared" si="1"/>
        <v>1.0822000000000001</v>
      </c>
      <c r="J16">
        <f t="shared" si="1"/>
        <v>1.0855999999999999</v>
      </c>
      <c r="L16">
        <f t="shared" si="0"/>
        <v>4.4000000000001815E-3</v>
      </c>
      <c r="W16">
        <f t="shared" si="2"/>
        <v>-7.4363264547312041E-4</v>
      </c>
      <c r="X16">
        <f t="shared" si="3"/>
        <v>-1.2996658002228051E-3</v>
      </c>
      <c r="Y16">
        <f t="shared" si="3"/>
        <v>-3.7119524870087462E-4</v>
      </c>
      <c r="Z16">
        <f t="shared" si="3"/>
        <v>1.3939224979091691E-3</v>
      </c>
      <c r="AE16">
        <f>W16-mu-theta*AE15</f>
        <v>-1.3945766602005338E-3</v>
      </c>
      <c r="AF16">
        <f t="shared" si="5"/>
        <v>-1.6406605209378312E-3</v>
      </c>
      <c r="AG16">
        <f t="shared" si="5"/>
        <v>-3.5685860257864561E-4</v>
      </c>
      <c r="AK16">
        <f t="shared" si="4"/>
        <v>1.9448440611760749E-6</v>
      </c>
    </row>
    <row r="17" spans="1:37" x14ac:dyDescent="0.3">
      <c r="A17" s="1">
        <v>43948</v>
      </c>
      <c r="B17">
        <v>1.0828</v>
      </c>
      <c r="C17">
        <v>1.2427999999999999</v>
      </c>
      <c r="D17">
        <v>107.22</v>
      </c>
      <c r="G17">
        <v>1.0828</v>
      </c>
      <c r="H17">
        <f t="shared" si="1"/>
        <v>1.0820000000000001</v>
      </c>
      <c r="I17">
        <f t="shared" si="1"/>
        <v>1.0775999999999999</v>
      </c>
      <c r="J17">
        <f t="shared" si="1"/>
        <v>1.0822000000000001</v>
      </c>
      <c r="L17">
        <f t="shared" si="0"/>
        <v>7.9999999999991189E-4</v>
      </c>
      <c r="W17">
        <f t="shared" si="2"/>
        <v>-2.6046511627907084E-3</v>
      </c>
      <c r="X17">
        <f t="shared" si="3"/>
        <v>-7.4363264547312041E-4</v>
      </c>
      <c r="Y17">
        <f t="shared" si="3"/>
        <v>-1.2996658002228051E-3</v>
      </c>
      <c r="Z17">
        <f t="shared" si="3"/>
        <v>-3.7119524870087462E-4</v>
      </c>
      <c r="AE17">
        <f>W17-mu-theta*AE16</f>
        <v>-3.1961829599379734E-3</v>
      </c>
      <c r="AF17">
        <f t="shared" si="5"/>
        <v>-1.3945766602005338E-3</v>
      </c>
      <c r="AG17">
        <f t="shared" si="5"/>
        <v>-1.6406605209378312E-3</v>
      </c>
      <c r="AK17">
        <f t="shared" si="4"/>
        <v>1.0215585513397865E-5</v>
      </c>
    </row>
    <row r="18" spans="1:37" x14ac:dyDescent="0.3">
      <c r="A18" s="1">
        <v>43949</v>
      </c>
      <c r="B18">
        <v>1.0818000000000001</v>
      </c>
      <c r="C18">
        <v>1.2421</v>
      </c>
      <c r="D18">
        <v>106.86</v>
      </c>
      <c r="G18">
        <v>1.0818000000000001</v>
      </c>
      <c r="H18">
        <f t="shared" si="1"/>
        <v>1.0828</v>
      </c>
      <c r="I18">
        <f t="shared" si="1"/>
        <v>1.0820000000000001</v>
      </c>
      <c r="J18">
        <f t="shared" si="1"/>
        <v>1.0775999999999999</v>
      </c>
      <c r="L18">
        <f t="shared" si="0"/>
        <v>-9.9999999999988987E-4</v>
      </c>
      <c r="W18">
        <f t="shared" si="2"/>
        <v>-3.3575825405707839E-3</v>
      </c>
      <c r="X18">
        <f t="shared" si="3"/>
        <v>-2.6046511627907084E-3</v>
      </c>
      <c r="Y18">
        <f t="shared" si="3"/>
        <v>-7.4363264547312041E-4</v>
      </c>
      <c r="Z18">
        <f t="shared" si="3"/>
        <v>-1.2996658002228051E-3</v>
      </c>
      <c r="AE18">
        <f>W18-mu-theta*AE17</f>
        <v>-4.3840775455979549E-3</v>
      </c>
      <c r="AF18">
        <f t="shared" si="5"/>
        <v>-3.1961829599379734E-3</v>
      </c>
      <c r="AG18">
        <f t="shared" si="5"/>
        <v>-1.3945766602005338E-3</v>
      </c>
      <c r="AK18">
        <f t="shared" si="4"/>
        <v>1.9220135925816188E-5</v>
      </c>
    </row>
    <row r="19" spans="1:37" x14ac:dyDescent="0.3">
      <c r="A19" s="1">
        <v>43950</v>
      </c>
      <c r="B19">
        <v>1.0872999999999999</v>
      </c>
      <c r="C19">
        <v>1.2464</v>
      </c>
      <c r="D19">
        <v>106.7</v>
      </c>
      <c r="G19">
        <v>1.0872999999999999</v>
      </c>
      <c r="H19">
        <f t="shared" si="1"/>
        <v>1.0818000000000001</v>
      </c>
      <c r="I19">
        <f t="shared" si="1"/>
        <v>1.0828</v>
      </c>
      <c r="J19">
        <f t="shared" si="1"/>
        <v>1.0820000000000001</v>
      </c>
      <c r="L19">
        <f t="shared" si="0"/>
        <v>5.4999999999998384E-3</v>
      </c>
      <c r="W19">
        <f t="shared" si="2"/>
        <v>-1.4972861688189835E-3</v>
      </c>
      <c r="X19">
        <f t="shared" si="3"/>
        <v>-3.3575825405707839E-3</v>
      </c>
      <c r="Y19">
        <f t="shared" si="3"/>
        <v>-2.6046511627907084E-3</v>
      </c>
      <c r="Z19">
        <f t="shared" si="3"/>
        <v>-7.4363264547312041E-4</v>
      </c>
      <c r="AE19">
        <f>W19-mu-theta*AE18</f>
        <v>-2.810575486053621E-3</v>
      </c>
      <c r="AF19">
        <f t="shared" si="5"/>
        <v>-4.3840775455979549E-3</v>
      </c>
      <c r="AG19">
        <f t="shared" si="5"/>
        <v>-3.1961829599379734E-3</v>
      </c>
      <c r="AK19">
        <f t="shared" si="4"/>
        <v>7.8993345628055484E-6</v>
      </c>
    </row>
    <row r="20" spans="1:37" x14ac:dyDescent="0.3">
      <c r="A20" s="1">
        <v>43951</v>
      </c>
      <c r="B20">
        <v>1.0954999999999999</v>
      </c>
      <c r="C20">
        <v>1.2592000000000001</v>
      </c>
      <c r="D20">
        <v>107.17</v>
      </c>
      <c r="G20">
        <v>1.0954999999999999</v>
      </c>
      <c r="H20">
        <f t="shared" si="1"/>
        <v>1.0872999999999999</v>
      </c>
      <c r="I20">
        <f t="shared" si="1"/>
        <v>1.0818000000000001</v>
      </c>
      <c r="J20">
        <f t="shared" si="1"/>
        <v>1.0828</v>
      </c>
      <c r="L20">
        <f t="shared" si="0"/>
        <v>8.1999999999999851E-3</v>
      </c>
      <c r="W20">
        <f t="shared" si="2"/>
        <v>4.404873477038415E-3</v>
      </c>
      <c r="X20">
        <f t="shared" si="3"/>
        <v>-1.4972861688189835E-3</v>
      </c>
      <c r="Y20">
        <f t="shared" si="3"/>
        <v>-3.3575825405707839E-3</v>
      </c>
      <c r="Z20">
        <f t="shared" si="3"/>
        <v>-2.6046511627907084E-3</v>
      </c>
      <c r="AE20">
        <f>W20-mu-theta*AE19</f>
        <v>3.4714759838525653E-3</v>
      </c>
      <c r="AF20">
        <f t="shared" si="5"/>
        <v>-2.810575486053621E-3</v>
      </c>
      <c r="AG20">
        <f t="shared" si="5"/>
        <v>-4.3840775455979549E-3</v>
      </c>
      <c r="AK20">
        <f t="shared" si="4"/>
        <v>1.2051145506465137E-5</v>
      </c>
    </row>
    <row r="21" spans="1:37" x14ac:dyDescent="0.3">
      <c r="A21" s="1">
        <v>43952</v>
      </c>
      <c r="B21">
        <v>1.0983000000000001</v>
      </c>
      <c r="C21">
        <v>1.2502</v>
      </c>
      <c r="D21">
        <v>106.93</v>
      </c>
      <c r="G21">
        <v>1.0983000000000001</v>
      </c>
      <c r="H21">
        <f t="shared" si="1"/>
        <v>1.0954999999999999</v>
      </c>
      <c r="I21">
        <f t="shared" si="1"/>
        <v>1.0872999999999999</v>
      </c>
      <c r="J21">
        <f t="shared" si="1"/>
        <v>1.0818000000000001</v>
      </c>
      <c r="L21">
        <f t="shared" si="0"/>
        <v>2.8000000000001357E-3</v>
      </c>
      <c r="W21">
        <f t="shared" si="2"/>
        <v>-2.2394326770550982E-3</v>
      </c>
      <c r="X21">
        <f t="shared" si="3"/>
        <v>4.404873477038415E-3</v>
      </c>
      <c r="Y21">
        <f t="shared" si="3"/>
        <v>-1.4972861688189835E-3</v>
      </c>
      <c r="Z21">
        <f t="shared" si="3"/>
        <v>-3.3575825405707839E-3</v>
      </c>
      <c r="AE21">
        <f>W21-mu-theta*AE20</f>
        <v>-1.6561496058938459E-3</v>
      </c>
      <c r="AF21">
        <f t="shared" si="5"/>
        <v>3.4714759838525653E-3</v>
      </c>
      <c r="AG21">
        <f t="shared" si="5"/>
        <v>-2.810575486053621E-3</v>
      </c>
      <c r="AK21">
        <f t="shared" si="4"/>
        <v>2.7428315171023412E-6</v>
      </c>
    </row>
    <row r="22" spans="1:37" x14ac:dyDescent="0.3">
      <c r="A22" s="1">
        <v>43955</v>
      </c>
      <c r="B22">
        <v>1.0906</v>
      </c>
      <c r="C22">
        <v>1.2442</v>
      </c>
      <c r="D22">
        <v>106.73</v>
      </c>
      <c r="G22">
        <v>1.0906</v>
      </c>
      <c r="H22">
        <f t="shared" si="1"/>
        <v>1.0983000000000001</v>
      </c>
      <c r="I22">
        <f t="shared" si="1"/>
        <v>1.0954999999999999</v>
      </c>
      <c r="J22">
        <f t="shared" si="1"/>
        <v>1.0872999999999999</v>
      </c>
      <c r="L22">
        <f t="shared" si="0"/>
        <v>-7.7000000000000401E-3</v>
      </c>
      <c r="W22">
        <f t="shared" si="2"/>
        <v>-1.8703824932198899E-3</v>
      </c>
      <c r="X22">
        <f t="shared" si="3"/>
        <v>-2.2394326770550982E-3</v>
      </c>
      <c r="Y22">
        <f t="shared" si="3"/>
        <v>4.404873477038415E-3</v>
      </c>
      <c r="Z22">
        <f t="shared" si="3"/>
        <v>-1.4972861688189835E-3</v>
      </c>
      <c r="AE22">
        <f>W22-mu-theta*AE21</f>
        <v>-2.5250660497553963E-3</v>
      </c>
      <c r="AF22">
        <f t="shared" si="5"/>
        <v>-1.6561496058938459E-3</v>
      </c>
      <c r="AG22">
        <f t="shared" si="5"/>
        <v>3.4714759838525653E-3</v>
      </c>
      <c r="AK22">
        <f t="shared" si="4"/>
        <v>6.3759585556273212E-6</v>
      </c>
    </row>
    <row r="23" spans="1:37" x14ac:dyDescent="0.3">
      <c r="A23" s="1">
        <v>43956</v>
      </c>
      <c r="B23">
        <v>1.0838000000000001</v>
      </c>
      <c r="C23">
        <v>1.2434000000000001</v>
      </c>
      <c r="D23">
        <v>106.58</v>
      </c>
      <c r="G23">
        <v>1.0838000000000001</v>
      </c>
      <c r="H23">
        <f t="shared" si="1"/>
        <v>1.0906</v>
      </c>
      <c r="I23">
        <f t="shared" si="1"/>
        <v>1.0983000000000001</v>
      </c>
      <c r="J23">
        <f t="shared" si="1"/>
        <v>1.0954999999999999</v>
      </c>
      <c r="L23">
        <f t="shared" si="0"/>
        <v>-6.7999999999999172E-3</v>
      </c>
      <c r="W23">
        <f t="shared" si="2"/>
        <v>-1.4054155345264282E-3</v>
      </c>
      <c r="X23">
        <f t="shared" si="3"/>
        <v>-1.8703824932198899E-3</v>
      </c>
      <c r="Y23">
        <f t="shared" si="3"/>
        <v>-2.2394326770550982E-3</v>
      </c>
      <c r="Z23">
        <f t="shared" si="3"/>
        <v>4.404873477038415E-3</v>
      </c>
      <c r="AE23">
        <f>W23-mu-theta*AE22</f>
        <v>-2.2698822628107801E-3</v>
      </c>
      <c r="AF23">
        <f t="shared" si="5"/>
        <v>-2.5250660497553963E-3</v>
      </c>
      <c r="AG23">
        <f t="shared" si="5"/>
        <v>-1.6561496058938459E-3</v>
      </c>
      <c r="AK23">
        <f t="shared" si="4"/>
        <v>5.1523654870229875E-6</v>
      </c>
    </row>
    <row r="24" spans="1:37" x14ac:dyDescent="0.3">
      <c r="A24" s="1">
        <v>43957</v>
      </c>
      <c r="B24">
        <v>1.0793999999999999</v>
      </c>
      <c r="C24">
        <v>1.2341</v>
      </c>
      <c r="D24">
        <v>106.14</v>
      </c>
      <c r="G24">
        <v>1.0793999999999999</v>
      </c>
      <c r="H24">
        <f t="shared" si="1"/>
        <v>1.0838000000000001</v>
      </c>
      <c r="I24">
        <f t="shared" si="1"/>
        <v>1.0906</v>
      </c>
      <c r="J24">
        <f t="shared" si="1"/>
        <v>1.0983000000000001</v>
      </c>
      <c r="L24">
        <f t="shared" si="0"/>
        <v>-4.4000000000001815E-3</v>
      </c>
      <c r="W24">
        <f t="shared" si="2"/>
        <v>-4.1283542878588642E-3</v>
      </c>
      <c r="X24">
        <f t="shared" si="3"/>
        <v>-1.4054155345264282E-3</v>
      </c>
      <c r="Y24">
        <f t="shared" si="3"/>
        <v>-1.8703824932198899E-3</v>
      </c>
      <c r="Z24">
        <f t="shared" si="3"/>
        <v>-2.2394326770550982E-3</v>
      </c>
      <c r="AE24">
        <f>W24-mu-theta*AE23</f>
        <v>-4.9312117963128069E-3</v>
      </c>
      <c r="AF24">
        <f t="shared" si="5"/>
        <v>-2.2698822628107801E-3</v>
      </c>
      <c r="AG24">
        <f t="shared" si="5"/>
        <v>-2.5250660497553963E-3</v>
      </c>
      <c r="AK24">
        <f t="shared" si="4"/>
        <v>2.4316849780094581E-5</v>
      </c>
    </row>
    <row r="25" spans="1:37" x14ac:dyDescent="0.3">
      <c r="A25" s="1">
        <v>43958</v>
      </c>
      <c r="B25">
        <v>1.0831999999999999</v>
      </c>
      <c r="C25">
        <v>1.2361</v>
      </c>
      <c r="D25">
        <v>106.27</v>
      </c>
      <c r="G25">
        <v>1.0831999999999999</v>
      </c>
      <c r="H25">
        <f t="shared" si="1"/>
        <v>1.0793999999999999</v>
      </c>
      <c r="I25">
        <f t="shared" si="1"/>
        <v>1.0838000000000001</v>
      </c>
      <c r="J25">
        <f t="shared" si="1"/>
        <v>1.0906</v>
      </c>
      <c r="L25">
        <f t="shared" si="0"/>
        <v>3.8000000000000256E-3</v>
      </c>
      <c r="W25">
        <f t="shared" si="2"/>
        <v>1.2247974373468574E-3</v>
      </c>
      <c r="X25">
        <f t="shared" si="3"/>
        <v>-4.1283542878588642E-3</v>
      </c>
      <c r="Y25">
        <f t="shared" si="3"/>
        <v>-1.4054155345264282E-3</v>
      </c>
      <c r="Z25">
        <f t="shared" si="3"/>
        <v>-1.8703824932198899E-3</v>
      </c>
      <c r="AE25">
        <f>W25-mu-theta*AE24</f>
        <v>-2.2058692688366557E-4</v>
      </c>
      <c r="AF25">
        <f t="shared" si="5"/>
        <v>-4.9312117963128069E-3</v>
      </c>
      <c r="AG25">
        <f t="shared" si="5"/>
        <v>-2.2698822628107801E-3</v>
      </c>
      <c r="AK25">
        <f t="shared" si="4"/>
        <v>4.865859231197962E-8</v>
      </c>
    </row>
    <row r="26" spans="1:37" x14ac:dyDescent="0.3">
      <c r="A26" s="1">
        <v>43959</v>
      </c>
      <c r="B26">
        <v>1.0840000000000001</v>
      </c>
      <c r="C26">
        <v>1.2406999999999999</v>
      </c>
      <c r="D26">
        <v>106.65</v>
      </c>
      <c r="G26">
        <v>1.0840000000000001</v>
      </c>
      <c r="H26">
        <f t="shared" si="1"/>
        <v>1.0831999999999999</v>
      </c>
      <c r="I26">
        <f t="shared" si="1"/>
        <v>1.0793999999999999</v>
      </c>
      <c r="J26">
        <f t="shared" si="1"/>
        <v>1.0838000000000001</v>
      </c>
      <c r="L26">
        <f t="shared" si="0"/>
        <v>8.0000000000013394E-4</v>
      </c>
      <c r="W26">
        <f t="shared" si="2"/>
        <v>3.5757974969418431E-3</v>
      </c>
      <c r="X26">
        <f t="shared" si="3"/>
        <v>1.2247974373468574E-3</v>
      </c>
      <c r="Y26">
        <f t="shared" si="3"/>
        <v>-4.1283542878588642E-3</v>
      </c>
      <c r="Z26">
        <f t="shared" si="3"/>
        <v>-1.4054155345264282E-3</v>
      </c>
      <c r="AE26">
        <f>W26-mu-theta*AE25</f>
        <v>3.267702952703829E-3</v>
      </c>
      <c r="AF26">
        <f t="shared" si="5"/>
        <v>-2.2058692688366557E-4</v>
      </c>
      <c r="AG26">
        <f t="shared" si="5"/>
        <v>-4.9312117963128069E-3</v>
      </c>
      <c r="AK26">
        <f t="shared" si="4"/>
        <v>1.0677882587109323E-5</v>
      </c>
    </row>
    <row r="27" spans="1:37" x14ac:dyDescent="0.3">
      <c r="A27" s="1">
        <v>43962</v>
      </c>
      <c r="B27">
        <v>1.0806</v>
      </c>
      <c r="C27">
        <v>1.2335</v>
      </c>
      <c r="D27">
        <v>107.66</v>
      </c>
      <c r="G27">
        <v>1.0806</v>
      </c>
      <c r="H27">
        <f t="shared" si="1"/>
        <v>1.0840000000000001</v>
      </c>
      <c r="I27">
        <f t="shared" si="1"/>
        <v>1.0831999999999999</v>
      </c>
      <c r="J27">
        <f t="shared" si="1"/>
        <v>1.0793999999999999</v>
      </c>
      <c r="L27">
        <f t="shared" si="0"/>
        <v>-3.4000000000000696E-3</v>
      </c>
      <c r="W27">
        <f t="shared" si="2"/>
        <v>9.4702297233941954E-3</v>
      </c>
      <c r="X27">
        <f t="shared" si="3"/>
        <v>3.5757974969418431E-3</v>
      </c>
      <c r="Y27">
        <f t="shared" si="3"/>
        <v>1.2247974373468574E-3</v>
      </c>
      <c r="Z27">
        <f t="shared" si="3"/>
        <v>-4.1283542878588642E-3</v>
      </c>
      <c r="AE27">
        <f>W27-mu-theta*AE26</f>
        <v>1.0004315713416921E-2</v>
      </c>
      <c r="AF27">
        <f t="shared" si="5"/>
        <v>3.267702952703829E-3</v>
      </c>
      <c r="AG27">
        <f t="shared" si="5"/>
        <v>-2.2058692688366557E-4</v>
      </c>
      <c r="AK27">
        <f t="shared" si="4"/>
        <v>1.0008633289372072E-4</v>
      </c>
    </row>
    <row r="28" spans="1:37" x14ac:dyDescent="0.3">
      <c r="A28" s="1">
        <v>43963</v>
      </c>
      <c r="B28">
        <v>1.0846</v>
      </c>
      <c r="C28">
        <v>1.2259</v>
      </c>
      <c r="D28">
        <v>107.13</v>
      </c>
      <c r="G28">
        <v>1.0846</v>
      </c>
      <c r="H28">
        <f t="shared" si="1"/>
        <v>1.0806</v>
      </c>
      <c r="I28">
        <f t="shared" si="1"/>
        <v>1.0840000000000001</v>
      </c>
      <c r="J28">
        <f t="shared" si="1"/>
        <v>1.0831999999999999</v>
      </c>
      <c r="L28">
        <f t="shared" si="0"/>
        <v>4.0000000000000036E-3</v>
      </c>
      <c r="W28">
        <f t="shared" si="2"/>
        <v>-4.9229054430615007E-3</v>
      </c>
      <c r="X28">
        <f t="shared" si="3"/>
        <v>9.4702297233941954E-3</v>
      </c>
      <c r="Y28">
        <f t="shared" si="3"/>
        <v>3.5757974969418431E-3</v>
      </c>
      <c r="Z28">
        <f t="shared" si="3"/>
        <v>1.2247974373468574E-3</v>
      </c>
      <c r="AE28">
        <f>W28-mu-theta*AE27</f>
        <v>-2.7623938032886003E-3</v>
      </c>
      <c r="AF28">
        <f t="shared" si="5"/>
        <v>1.0004315713416921E-2</v>
      </c>
      <c r="AG28">
        <f t="shared" si="5"/>
        <v>3.267702952703829E-3</v>
      </c>
      <c r="AK28">
        <f t="shared" si="4"/>
        <v>7.6308195244472579E-6</v>
      </c>
    </row>
    <row r="29" spans="1:37" x14ac:dyDescent="0.3">
      <c r="A29" s="1">
        <v>43964</v>
      </c>
      <c r="B29">
        <v>1.0815999999999999</v>
      </c>
      <c r="C29">
        <v>1.2229000000000001</v>
      </c>
      <c r="D29">
        <v>107.02</v>
      </c>
      <c r="G29">
        <v>1.0815999999999999</v>
      </c>
      <c r="H29">
        <f t="shared" si="1"/>
        <v>1.0846</v>
      </c>
      <c r="I29">
        <f t="shared" si="1"/>
        <v>1.0806</v>
      </c>
      <c r="J29">
        <f t="shared" si="1"/>
        <v>1.0840000000000001</v>
      </c>
      <c r="L29">
        <f t="shared" si="0"/>
        <v>-3.0000000000001137E-3</v>
      </c>
      <c r="W29">
        <f t="shared" si="2"/>
        <v>-1.0267898814524357E-3</v>
      </c>
      <c r="X29">
        <f t="shared" si="3"/>
        <v>-4.9229054430615007E-3</v>
      </c>
      <c r="Y29">
        <f t="shared" si="3"/>
        <v>9.4702297233941954E-3</v>
      </c>
      <c r="Z29">
        <f t="shared" si="3"/>
        <v>3.5757974969418431E-3</v>
      </c>
      <c r="AE29">
        <f>W29-mu-theta*AE28</f>
        <v>-1.9485548335555975E-3</v>
      </c>
      <c r="AF29">
        <f t="shared" si="5"/>
        <v>-2.7623938032886003E-3</v>
      </c>
      <c r="AG29">
        <f t="shared" si="5"/>
        <v>1.0004315713416921E-2</v>
      </c>
      <c r="AK29">
        <f t="shared" si="4"/>
        <v>3.7968659393728823E-6</v>
      </c>
    </row>
    <row r="30" spans="1:37" x14ac:dyDescent="0.3">
      <c r="A30" s="1">
        <v>43965</v>
      </c>
      <c r="B30">
        <v>1.0804</v>
      </c>
      <c r="C30">
        <v>1.2225999999999999</v>
      </c>
      <c r="D30">
        <v>107.24</v>
      </c>
      <c r="G30">
        <v>1.0804</v>
      </c>
      <c r="H30">
        <f t="shared" si="1"/>
        <v>1.0815999999999999</v>
      </c>
      <c r="I30">
        <f t="shared" si="1"/>
        <v>1.0846</v>
      </c>
      <c r="J30">
        <f t="shared" si="1"/>
        <v>1.0806</v>
      </c>
      <c r="L30">
        <f t="shared" si="0"/>
        <v>-1.1999999999998678E-3</v>
      </c>
      <c r="W30">
        <f t="shared" si="2"/>
        <v>2.0556905251354783E-3</v>
      </c>
      <c r="X30">
        <f t="shared" si="3"/>
        <v>-1.0267898814524357E-3</v>
      </c>
      <c r="Y30">
        <f t="shared" si="3"/>
        <v>-4.9229054430615007E-3</v>
      </c>
      <c r="Z30">
        <f t="shared" si="3"/>
        <v>9.4702297233941954E-3</v>
      </c>
      <c r="AE30">
        <f>W30-mu-theta*AE29</f>
        <v>1.3304113474350448E-3</v>
      </c>
      <c r="AF30">
        <f t="shared" si="5"/>
        <v>-1.9485548335555975E-3</v>
      </c>
      <c r="AG30">
        <f t="shared" si="5"/>
        <v>-2.7623938032886003E-3</v>
      </c>
      <c r="AK30">
        <f t="shared" si="4"/>
        <v>1.7699943533839314E-6</v>
      </c>
    </row>
    <row r="31" spans="1:37" x14ac:dyDescent="0.3">
      <c r="A31" s="1">
        <v>43966</v>
      </c>
      <c r="B31">
        <v>1.0814999999999999</v>
      </c>
      <c r="C31">
        <v>1.2103999999999999</v>
      </c>
      <c r="D31">
        <v>107.02</v>
      </c>
      <c r="G31">
        <v>1.0814999999999999</v>
      </c>
      <c r="H31">
        <f t="shared" si="1"/>
        <v>1.0804</v>
      </c>
      <c r="I31">
        <f t="shared" si="1"/>
        <v>1.0815999999999999</v>
      </c>
      <c r="J31">
        <f t="shared" si="1"/>
        <v>1.0846</v>
      </c>
      <c r="L31">
        <f t="shared" si="0"/>
        <v>1.0999999999998789E-3</v>
      </c>
      <c r="W31">
        <f t="shared" si="2"/>
        <v>-2.0514733308466884E-3</v>
      </c>
      <c r="X31">
        <f t="shared" si="3"/>
        <v>2.0556905251354783E-3</v>
      </c>
      <c r="Y31">
        <f t="shared" si="3"/>
        <v>-1.0267898814524357E-3</v>
      </c>
      <c r="Z31">
        <f t="shared" si="3"/>
        <v>-4.9229054430615007E-3</v>
      </c>
      <c r="AE31">
        <f>W31-mu-theta*AE30</f>
        <v>-1.985109157376964E-3</v>
      </c>
      <c r="AF31">
        <f t="shared" si="5"/>
        <v>1.3304113474350448E-3</v>
      </c>
      <c r="AG31">
        <f t="shared" si="5"/>
        <v>-1.9485548335555975E-3</v>
      </c>
      <c r="AK31">
        <f t="shared" si="4"/>
        <v>3.9406583667018796E-6</v>
      </c>
    </row>
    <row r="32" spans="1:37" x14ac:dyDescent="0.3">
      <c r="A32" s="1">
        <v>43969</v>
      </c>
      <c r="B32">
        <v>1.0911999999999999</v>
      </c>
      <c r="C32">
        <v>1.2189000000000001</v>
      </c>
      <c r="D32">
        <v>107.33</v>
      </c>
      <c r="G32">
        <v>1.0911999999999999</v>
      </c>
      <c r="H32">
        <f t="shared" si="1"/>
        <v>1.0814999999999999</v>
      </c>
      <c r="I32">
        <f t="shared" si="1"/>
        <v>1.0804</v>
      </c>
      <c r="J32">
        <f t="shared" si="1"/>
        <v>1.0815999999999999</v>
      </c>
      <c r="L32">
        <f t="shared" si="0"/>
        <v>9.7000000000000419E-3</v>
      </c>
      <c r="W32">
        <f t="shared" si="2"/>
        <v>2.8966548308727554E-3</v>
      </c>
      <c r="X32">
        <f t="shared" si="3"/>
        <v>-2.0514733308466884E-3</v>
      </c>
      <c r="Y32">
        <f t="shared" si="3"/>
        <v>2.0556905251354783E-3</v>
      </c>
      <c r="Z32">
        <f t="shared" si="3"/>
        <v>-1.0267898814524357E-3</v>
      </c>
      <c r="AE32">
        <f>W32-mu-theta*AE31</f>
        <v>2.1625503143879606E-3</v>
      </c>
      <c r="AF32">
        <f t="shared" si="5"/>
        <v>-1.985109157376964E-3</v>
      </c>
      <c r="AG32">
        <f t="shared" si="5"/>
        <v>1.3304113474350448E-3</v>
      </c>
      <c r="AK32">
        <f t="shared" si="4"/>
        <v>4.6766238622594671E-6</v>
      </c>
    </row>
    <row r="33" spans="1:37" x14ac:dyDescent="0.3">
      <c r="A33" s="1">
        <v>43970</v>
      </c>
      <c r="B33">
        <v>1.0921000000000001</v>
      </c>
      <c r="C33">
        <v>1.2251000000000001</v>
      </c>
      <c r="D33">
        <v>107.68</v>
      </c>
      <c r="G33">
        <v>1.0921000000000001</v>
      </c>
      <c r="H33">
        <f t="shared" si="1"/>
        <v>1.0911999999999999</v>
      </c>
      <c r="I33">
        <f t="shared" si="1"/>
        <v>1.0814999999999999</v>
      </c>
      <c r="J33">
        <f t="shared" si="1"/>
        <v>1.0804</v>
      </c>
      <c r="L33">
        <f t="shared" si="0"/>
        <v>9.0000000000012292E-4</v>
      </c>
      <c r="W33">
        <f t="shared" si="2"/>
        <v>3.2609708376037318E-3</v>
      </c>
      <c r="X33">
        <f t="shared" si="3"/>
        <v>2.8966548308727554E-3</v>
      </c>
      <c r="Y33">
        <f t="shared" si="3"/>
        <v>-2.0514733308466884E-3</v>
      </c>
      <c r="Z33">
        <f t="shared" si="3"/>
        <v>2.0556905251354783E-3</v>
      </c>
      <c r="AE33">
        <f>W33-mu-theta*AE32</f>
        <v>3.5282389680148041E-3</v>
      </c>
      <c r="AF33">
        <f t="shared" si="5"/>
        <v>2.1625503143879606E-3</v>
      </c>
      <c r="AG33">
        <f t="shared" si="5"/>
        <v>-1.985109157376964E-3</v>
      </c>
      <c r="AK33">
        <f t="shared" si="4"/>
        <v>1.244847021541817E-5</v>
      </c>
    </row>
    <row r="34" spans="1:37" x14ac:dyDescent="0.3">
      <c r="A34" s="1">
        <v>43971</v>
      </c>
      <c r="B34">
        <v>1.0976999999999999</v>
      </c>
      <c r="C34">
        <v>1.2239</v>
      </c>
      <c r="D34">
        <v>107.51</v>
      </c>
      <c r="G34">
        <v>1.0976999999999999</v>
      </c>
      <c r="H34">
        <f t="shared" si="1"/>
        <v>1.0921000000000001</v>
      </c>
      <c r="I34">
        <f t="shared" si="1"/>
        <v>1.0911999999999999</v>
      </c>
      <c r="J34">
        <f t="shared" si="1"/>
        <v>1.0814999999999999</v>
      </c>
      <c r="L34">
        <f t="shared" si="0"/>
        <v>5.5999999999998273E-3</v>
      </c>
      <c r="W34">
        <f t="shared" si="2"/>
        <v>-1.5787518573551419E-3</v>
      </c>
      <c r="X34">
        <f t="shared" si="3"/>
        <v>3.2609708376037318E-3</v>
      </c>
      <c r="Y34">
        <f t="shared" si="3"/>
        <v>2.8966548308727554E-3</v>
      </c>
      <c r="Z34">
        <f t="shared" si="3"/>
        <v>-2.0514733308466884E-3</v>
      </c>
      <c r="AE34">
        <f>W34-mu-theta*AE33</f>
        <v>-9.8176445485155268E-4</v>
      </c>
      <c r="AF34">
        <f t="shared" si="5"/>
        <v>3.5282389680148041E-3</v>
      </c>
      <c r="AG34">
        <f t="shared" si="5"/>
        <v>2.1625503143879606E-3</v>
      </c>
      <c r="AK34">
        <f t="shared" si="4"/>
        <v>9.6386144480996647E-7</v>
      </c>
    </row>
    <row r="35" spans="1:37" x14ac:dyDescent="0.3">
      <c r="A35" s="1">
        <v>43972</v>
      </c>
      <c r="B35">
        <v>1.0949</v>
      </c>
      <c r="C35">
        <v>1.2222</v>
      </c>
      <c r="D35">
        <v>107.61</v>
      </c>
      <c r="G35">
        <v>1.0949</v>
      </c>
      <c r="H35">
        <f t="shared" si="1"/>
        <v>1.0976999999999999</v>
      </c>
      <c r="I35">
        <f t="shared" si="1"/>
        <v>1.0921000000000001</v>
      </c>
      <c r="J35">
        <f t="shared" si="1"/>
        <v>1.0911999999999999</v>
      </c>
      <c r="L35">
        <f t="shared" si="0"/>
        <v>-2.7999999999999137E-3</v>
      </c>
      <c r="W35">
        <f t="shared" si="2"/>
        <v>9.3014603292711662E-4</v>
      </c>
      <c r="X35">
        <f t="shared" si="3"/>
        <v>-1.5787518573551419E-3</v>
      </c>
      <c r="Y35">
        <f t="shared" si="3"/>
        <v>3.2609708376037318E-3</v>
      </c>
      <c r="Z35">
        <f t="shared" si="3"/>
        <v>2.8966548308727554E-3</v>
      </c>
      <c r="AE35">
        <f>W35-mu-theta*AE34</f>
        <v>4.3827980706295604E-4</v>
      </c>
      <c r="AF35">
        <f t="shared" si="5"/>
        <v>-9.8176445485155268E-4</v>
      </c>
      <c r="AG35">
        <f t="shared" si="5"/>
        <v>3.5282389680148041E-3</v>
      </c>
      <c r="AK35">
        <f t="shared" si="4"/>
        <v>1.9208918927914198E-7</v>
      </c>
    </row>
    <row r="36" spans="1:37" x14ac:dyDescent="0.3">
      <c r="A36" s="1">
        <v>43973</v>
      </c>
      <c r="B36">
        <v>1.0900000000000001</v>
      </c>
      <c r="C36">
        <v>1.2163999999999999</v>
      </c>
      <c r="D36">
        <v>107.61</v>
      </c>
      <c r="G36">
        <v>1.0900000000000001</v>
      </c>
      <c r="H36">
        <f t="shared" si="1"/>
        <v>1.0949</v>
      </c>
      <c r="I36">
        <f t="shared" si="1"/>
        <v>1.0976999999999999</v>
      </c>
      <c r="J36">
        <f t="shared" si="1"/>
        <v>1.0921000000000001</v>
      </c>
      <c r="L36">
        <f t="shared" si="0"/>
        <v>-4.8999999999999044E-3</v>
      </c>
      <c r="W36">
        <f t="shared" si="2"/>
        <v>0</v>
      </c>
      <c r="X36">
        <f t="shared" si="3"/>
        <v>9.3014603292711662E-4</v>
      </c>
      <c r="Y36">
        <f t="shared" si="3"/>
        <v>-1.5787518573551419E-3</v>
      </c>
      <c r="Z36">
        <f t="shared" si="3"/>
        <v>3.2609708376037318E-3</v>
      </c>
      <c r="AE36">
        <f>W36-mu-theta*AE35</f>
        <v>-1.4902383705601475E-4</v>
      </c>
      <c r="AF36">
        <f t="shared" si="5"/>
        <v>4.3827980706295604E-4</v>
      </c>
      <c r="AG36">
        <f t="shared" si="5"/>
        <v>-9.8176445485155268E-4</v>
      </c>
      <c r="AK36">
        <f t="shared" si="4"/>
        <v>2.2208104010897634E-8</v>
      </c>
    </row>
    <row r="37" spans="1:37" x14ac:dyDescent="0.3">
      <c r="A37" s="1">
        <v>43976</v>
      </c>
      <c r="B37">
        <v>1.0899000000000001</v>
      </c>
      <c r="C37">
        <v>1.2181999999999999</v>
      </c>
      <c r="D37">
        <v>107.69</v>
      </c>
      <c r="G37">
        <v>1.0899000000000001</v>
      </c>
      <c r="H37">
        <f t="shared" si="1"/>
        <v>1.0900000000000001</v>
      </c>
      <c r="I37">
        <f t="shared" si="1"/>
        <v>1.0949</v>
      </c>
      <c r="J37">
        <f t="shared" si="1"/>
        <v>1.0976999999999999</v>
      </c>
      <c r="L37">
        <f t="shared" si="0"/>
        <v>-9.9999999999988987E-5</v>
      </c>
      <c r="W37">
        <f t="shared" si="2"/>
        <v>7.4342533221817954E-4</v>
      </c>
      <c r="X37">
        <f t="shared" si="3"/>
        <v>0</v>
      </c>
      <c r="Y37">
        <f t="shared" si="3"/>
        <v>9.3014603292711662E-4</v>
      </c>
      <c r="Z37">
        <f t="shared" si="3"/>
        <v>-1.5787518573551419E-3</v>
      </c>
      <c r="AE37">
        <f>W37-mu-theta*AE36</f>
        <v>4.5260832032547856E-4</v>
      </c>
      <c r="AF37">
        <f t="shared" si="5"/>
        <v>-1.4902383705601475E-4</v>
      </c>
      <c r="AG37">
        <f t="shared" si="5"/>
        <v>4.3827980706295604E-4</v>
      </c>
      <c r="AK37">
        <f t="shared" si="4"/>
        <v>2.0485429162785101E-7</v>
      </c>
    </row>
    <row r="38" spans="1:37" x14ac:dyDescent="0.3">
      <c r="A38" s="1">
        <v>43977</v>
      </c>
      <c r="B38">
        <v>1.0980000000000001</v>
      </c>
      <c r="C38">
        <v>1.2331000000000001</v>
      </c>
      <c r="D38">
        <v>107.52</v>
      </c>
      <c r="G38">
        <v>1.0980000000000001</v>
      </c>
      <c r="H38">
        <f t="shared" si="1"/>
        <v>1.0899000000000001</v>
      </c>
      <c r="I38">
        <f t="shared" si="1"/>
        <v>1.0900000000000001</v>
      </c>
      <c r="J38">
        <f t="shared" si="1"/>
        <v>1.0949</v>
      </c>
      <c r="L38">
        <f t="shared" si="0"/>
        <v>8.0999999999999961E-3</v>
      </c>
      <c r="W38">
        <f t="shared" si="2"/>
        <v>-1.5786052558269266E-3</v>
      </c>
      <c r="X38">
        <f t="shared" si="3"/>
        <v>7.4342533221817954E-4</v>
      </c>
      <c r="Y38">
        <f t="shared" si="3"/>
        <v>0</v>
      </c>
      <c r="Z38">
        <f t="shared" si="3"/>
        <v>9.3014603292711662E-4</v>
      </c>
      <c r="AE38">
        <f>W38-mu-theta*AE37</f>
        <v>-1.7241697487999834E-3</v>
      </c>
      <c r="AF38">
        <f t="shared" si="5"/>
        <v>4.5260832032547856E-4</v>
      </c>
      <c r="AG38">
        <f t="shared" si="5"/>
        <v>-1.4902383705601475E-4</v>
      </c>
      <c r="AK38">
        <f t="shared" si="4"/>
        <v>2.9727613226769977E-6</v>
      </c>
    </row>
    <row r="39" spans="1:37" x14ac:dyDescent="0.3">
      <c r="A39" s="1">
        <v>43978</v>
      </c>
      <c r="B39">
        <v>1.1003000000000001</v>
      </c>
      <c r="C39">
        <v>1.2250000000000001</v>
      </c>
      <c r="D39">
        <v>107.71</v>
      </c>
      <c r="G39">
        <v>1.1003000000000001</v>
      </c>
      <c r="H39">
        <f t="shared" si="1"/>
        <v>1.0980000000000001</v>
      </c>
      <c r="I39">
        <f t="shared" si="1"/>
        <v>1.0899000000000001</v>
      </c>
      <c r="J39">
        <f t="shared" si="1"/>
        <v>1.0900000000000001</v>
      </c>
      <c r="L39">
        <f t="shared" si="0"/>
        <v>2.2999999999999687E-3</v>
      </c>
      <c r="W39">
        <f t="shared" si="2"/>
        <v>1.7671130952380742E-3</v>
      </c>
      <c r="X39">
        <f t="shared" si="3"/>
        <v>-1.5786052558269266E-3</v>
      </c>
      <c r="Y39">
        <f t="shared" si="3"/>
        <v>7.4342533221817954E-4</v>
      </c>
      <c r="Z39">
        <f t="shared" si="3"/>
        <v>0</v>
      </c>
      <c r="AE39">
        <f>W39-mu-theta*AE38</f>
        <v>1.0960073827835884E-3</v>
      </c>
      <c r="AF39">
        <f t="shared" si="5"/>
        <v>-1.7241697487999834E-3</v>
      </c>
      <c r="AG39">
        <f t="shared" si="5"/>
        <v>4.5260832032547856E-4</v>
      </c>
      <c r="AK39">
        <f t="shared" si="4"/>
        <v>1.2012321831161314E-6</v>
      </c>
    </row>
    <row r="40" spans="1:37" x14ac:dyDescent="0.3">
      <c r="A40" s="1">
        <v>43979</v>
      </c>
      <c r="B40">
        <v>1.1075999999999999</v>
      </c>
      <c r="C40">
        <v>1.2316</v>
      </c>
      <c r="D40">
        <v>107.63</v>
      </c>
      <c r="G40">
        <v>1.1075999999999999</v>
      </c>
      <c r="H40">
        <f t="shared" si="1"/>
        <v>1.1003000000000001</v>
      </c>
      <c r="I40">
        <f t="shared" si="1"/>
        <v>1.0980000000000001</v>
      </c>
      <c r="J40">
        <f t="shared" si="1"/>
        <v>1.0899000000000001</v>
      </c>
      <c r="L40">
        <f t="shared" si="0"/>
        <v>7.2999999999998622E-3</v>
      </c>
      <c r="W40">
        <f t="shared" si="2"/>
        <v>-7.4273512208706996E-4</v>
      </c>
      <c r="X40">
        <f t="shared" si="3"/>
        <v>1.7671130952380742E-3</v>
      </c>
      <c r="Y40">
        <f t="shared" si="3"/>
        <v>-1.5786052558269266E-3</v>
      </c>
      <c r="Z40">
        <f t="shared" si="3"/>
        <v>7.4342533221817954E-4</v>
      </c>
      <c r="AE40">
        <f>W40-mu-theta*AE39</f>
        <v>-7.3296327981613434E-4</v>
      </c>
      <c r="AF40">
        <f t="shared" si="5"/>
        <v>1.0960073827835884E-3</v>
      </c>
      <c r="AG40">
        <f t="shared" si="5"/>
        <v>-1.7241697487999834E-3</v>
      </c>
      <c r="AK40">
        <f t="shared" si="4"/>
        <v>5.3723516955882481E-7</v>
      </c>
    </row>
    <row r="41" spans="1:37" x14ac:dyDescent="0.3">
      <c r="A41" s="1">
        <v>43980</v>
      </c>
      <c r="B41">
        <v>1.1097999999999999</v>
      </c>
      <c r="C41">
        <v>1.2343999999999999</v>
      </c>
      <c r="D41">
        <v>107.77</v>
      </c>
      <c r="G41">
        <v>1.1097999999999999</v>
      </c>
      <c r="H41">
        <f t="shared" si="1"/>
        <v>1.1075999999999999</v>
      </c>
      <c r="I41">
        <f t="shared" si="1"/>
        <v>1.1003000000000001</v>
      </c>
      <c r="J41">
        <f t="shared" si="1"/>
        <v>1.0980000000000001</v>
      </c>
      <c r="L41">
        <f t="shared" si="0"/>
        <v>2.1999999999999797E-3</v>
      </c>
      <c r="W41">
        <f t="shared" si="2"/>
        <v>1.3007525782774373E-3</v>
      </c>
      <c r="X41">
        <f t="shared" si="3"/>
        <v>-7.4273512208706996E-4</v>
      </c>
      <c r="Y41">
        <f t="shared" si="3"/>
        <v>1.7671130952380742E-3</v>
      </c>
      <c r="Z41">
        <f t="shared" si="3"/>
        <v>-1.5786052558269266E-3</v>
      </c>
      <c r="AE41">
        <f>W41-mu-theta*AE40</f>
        <v>8.6895461329439543E-4</v>
      </c>
      <c r="AF41">
        <f t="shared" si="5"/>
        <v>-7.3296327981613434E-4</v>
      </c>
      <c r="AG41">
        <f t="shared" si="5"/>
        <v>1.0960073827835884E-3</v>
      </c>
      <c r="AK41">
        <f t="shared" si="4"/>
        <v>7.5508211996561229E-7</v>
      </c>
    </row>
    <row r="42" spans="1:37" x14ac:dyDescent="0.3">
      <c r="A42" s="1">
        <v>43983</v>
      </c>
      <c r="B42">
        <v>1.1133999999999999</v>
      </c>
      <c r="C42">
        <v>1.2492000000000001</v>
      </c>
      <c r="D42">
        <v>107.58</v>
      </c>
      <c r="G42">
        <v>1.1133999999999999</v>
      </c>
      <c r="H42">
        <f t="shared" si="1"/>
        <v>1.1097999999999999</v>
      </c>
      <c r="I42">
        <f t="shared" si="1"/>
        <v>1.1075999999999999</v>
      </c>
      <c r="J42">
        <f t="shared" si="1"/>
        <v>1.1003000000000001</v>
      </c>
      <c r="L42">
        <f t="shared" si="0"/>
        <v>3.6000000000000476E-3</v>
      </c>
      <c r="W42">
        <f t="shared" si="2"/>
        <v>-1.7630138257399809E-3</v>
      </c>
      <c r="X42">
        <f t="shared" si="3"/>
        <v>1.3007525782774373E-3</v>
      </c>
      <c r="Y42">
        <f t="shared" si="3"/>
        <v>-7.4273512208706996E-4</v>
      </c>
      <c r="Z42">
        <f t="shared" si="3"/>
        <v>1.7671130952380742E-3</v>
      </c>
      <c r="AE42">
        <f>W42-mu-theta*AE41</f>
        <v>-1.8080595099116586E-3</v>
      </c>
      <c r="AF42">
        <f t="shared" si="5"/>
        <v>8.6895461329439543E-4</v>
      </c>
      <c r="AG42">
        <f t="shared" si="5"/>
        <v>-7.3296327981613434E-4</v>
      </c>
      <c r="AK42">
        <f t="shared" si="4"/>
        <v>3.2690791913819871E-6</v>
      </c>
    </row>
    <row r="43" spans="1:37" x14ac:dyDescent="0.3">
      <c r="A43" s="1">
        <v>43984</v>
      </c>
      <c r="B43">
        <v>1.1169</v>
      </c>
      <c r="C43">
        <v>1.2548999999999999</v>
      </c>
      <c r="D43">
        <v>108.66</v>
      </c>
      <c r="G43">
        <v>1.1169</v>
      </c>
      <c r="H43">
        <f t="shared" si="1"/>
        <v>1.1133999999999999</v>
      </c>
      <c r="I43">
        <f t="shared" si="1"/>
        <v>1.1097999999999999</v>
      </c>
      <c r="J43">
        <f t="shared" si="1"/>
        <v>1.1075999999999999</v>
      </c>
      <c r="L43">
        <f t="shared" si="0"/>
        <v>3.5000000000000586E-3</v>
      </c>
      <c r="W43">
        <f t="shared" si="2"/>
        <v>1.0039040713887323E-2</v>
      </c>
      <c r="X43">
        <f t="shared" si="3"/>
        <v>-1.7630138257399809E-3</v>
      </c>
      <c r="Y43">
        <f t="shared" si="3"/>
        <v>1.3007525782774373E-3</v>
      </c>
      <c r="Z43">
        <f t="shared" si="3"/>
        <v>-7.4273512208706996E-4</v>
      </c>
      <c r="AE43">
        <f>W43-mu-theta*AE42</f>
        <v>9.3476814312678531E-3</v>
      </c>
      <c r="AF43">
        <f t="shared" si="5"/>
        <v>-1.8080595099116586E-3</v>
      </c>
      <c r="AG43">
        <f t="shared" si="5"/>
        <v>8.6895461329439543E-4</v>
      </c>
      <c r="AK43">
        <f t="shared" si="4"/>
        <v>8.7379148140469812E-5</v>
      </c>
    </row>
    <row r="44" spans="1:37" x14ac:dyDescent="0.3">
      <c r="A44" s="1">
        <v>43985</v>
      </c>
      <c r="B44">
        <v>1.1232</v>
      </c>
      <c r="C44">
        <v>1.2572000000000001</v>
      </c>
      <c r="D44">
        <v>108.89</v>
      </c>
      <c r="G44">
        <v>1.1232</v>
      </c>
      <c r="H44">
        <f t="shared" si="1"/>
        <v>1.1169</v>
      </c>
      <c r="I44">
        <f t="shared" si="1"/>
        <v>1.1133999999999999</v>
      </c>
      <c r="J44">
        <f t="shared" si="1"/>
        <v>1.1097999999999999</v>
      </c>
      <c r="L44">
        <f t="shared" si="0"/>
        <v>6.2999999999999723E-3</v>
      </c>
      <c r="W44">
        <f t="shared" si="2"/>
        <v>2.1166942757224736E-3</v>
      </c>
      <c r="X44">
        <f t="shared" si="3"/>
        <v>1.0039040713887323E-2</v>
      </c>
      <c r="Y44">
        <f t="shared" si="3"/>
        <v>-1.7630138257399809E-3</v>
      </c>
      <c r="Z44">
        <f t="shared" si="3"/>
        <v>1.3007525782774373E-3</v>
      </c>
      <c r="AE44">
        <f>W44-mu-theta*AE43</f>
        <v>4.1186741908843414E-3</v>
      </c>
      <c r="AF44">
        <f t="shared" si="5"/>
        <v>9.3476814312678531E-3</v>
      </c>
      <c r="AG44">
        <f t="shared" si="5"/>
        <v>-1.8080595099116586E-3</v>
      </c>
      <c r="AK44">
        <f t="shared" si="4"/>
        <v>1.6963477090656786E-5</v>
      </c>
    </row>
    <row r="45" spans="1:37" x14ac:dyDescent="0.3">
      <c r="A45" s="1">
        <v>43986</v>
      </c>
      <c r="B45">
        <v>1.1335999999999999</v>
      </c>
      <c r="C45">
        <v>1.2594000000000001</v>
      </c>
      <c r="D45">
        <v>109.13</v>
      </c>
      <c r="G45">
        <v>1.1335999999999999</v>
      </c>
      <c r="H45">
        <f t="shared" si="1"/>
        <v>1.1232</v>
      </c>
      <c r="I45">
        <f t="shared" si="1"/>
        <v>1.1169</v>
      </c>
      <c r="J45">
        <f t="shared" si="1"/>
        <v>1.1133999999999999</v>
      </c>
      <c r="L45">
        <f t="shared" si="0"/>
        <v>1.0399999999999965E-2</v>
      </c>
      <c r="W45">
        <f t="shared" si="2"/>
        <v>2.2040591422536034E-3</v>
      </c>
      <c r="X45">
        <f t="shared" si="3"/>
        <v>2.1166942757224736E-3</v>
      </c>
      <c r="Y45">
        <f t="shared" si="3"/>
        <v>1.0039040713887323E-2</v>
      </c>
      <c r="Z45">
        <f t="shared" si="3"/>
        <v>-1.7630138257399809E-3</v>
      </c>
      <c r="AE45">
        <f>W45-mu-theta*AE44</f>
        <v>2.9435957790832764E-3</v>
      </c>
      <c r="AF45">
        <f t="shared" si="5"/>
        <v>4.1186741908843414E-3</v>
      </c>
      <c r="AG45">
        <f t="shared" si="5"/>
        <v>9.3476814312678531E-3</v>
      </c>
      <c r="AK45">
        <f t="shared" si="4"/>
        <v>8.6647561106368805E-6</v>
      </c>
    </row>
    <row r="46" spans="1:37" x14ac:dyDescent="0.3">
      <c r="A46" s="1">
        <v>43987</v>
      </c>
      <c r="B46">
        <v>1.1284000000000001</v>
      </c>
      <c r="C46">
        <v>1.2663</v>
      </c>
      <c r="D46">
        <v>109.58</v>
      </c>
      <c r="G46">
        <v>1.1284000000000001</v>
      </c>
      <c r="H46">
        <f t="shared" si="1"/>
        <v>1.1335999999999999</v>
      </c>
      <c r="I46">
        <f t="shared" si="1"/>
        <v>1.1232</v>
      </c>
      <c r="J46">
        <f t="shared" si="1"/>
        <v>1.1169</v>
      </c>
      <c r="L46">
        <f t="shared" si="0"/>
        <v>-5.1999999999998714E-3</v>
      </c>
      <c r="W46">
        <f t="shared" si="2"/>
        <v>4.1235224044717574E-3</v>
      </c>
      <c r="X46">
        <f t="shared" si="3"/>
        <v>2.2040591422536034E-3</v>
      </c>
      <c r="Y46">
        <f t="shared" si="3"/>
        <v>2.1166942757224736E-3</v>
      </c>
      <c r="Z46">
        <f t="shared" si="3"/>
        <v>1.0039040713887323E-2</v>
      </c>
      <c r="AE46">
        <f>W46-mu-theta*AE45</f>
        <v>4.5793589479003888E-3</v>
      </c>
      <c r="AF46">
        <f t="shared" si="5"/>
        <v>2.9435957790832764E-3</v>
      </c>
      <c r="AG46">
        <f t="shared" si="5"/>
        <v>4.1186741908843414E-3</v>
      </c>
      <c r="AK46">
        <f t="shared" si="4"/>
        <v>2.0970528373715356E-5</v>
      </c>
    </row>
    <row r="47" spans="1:37" x14ac:dyDescent="0.3">
      <c r="A47" s="1">
        <v>43990</v>
      </c>
      <c r="B47">
        <v>1.1292</v>
      </c>
      <c r="C47">
        <v>1.2722</v>
      </c>
      <c r="D47">
        <v>108.42</v>
      </c>
      <c r="G47">
        <v>1.1292</v>
      </c>
      <c r="H47">
        <f t="shared" si="1"/>
        <v>1.1284000000000001</v>
      </c>
      <c r="I47">
        <f t="shared" si="1"/>
        <v>1.1335999999999999</v>
      </c>
      <c r="J47">
        <f t="shared" si="1"/>
        <v>1.1232</v>
      </c>
      <c r="L47">
        <f t="shared" si="0"/>
        <v>7.9999999999991189E-4</v>
      </c>
      <c r="W47">
        <f t="shared" si="2"/>
        <v>-1.0585873334550069E-2</v>
      </c>
      <c r="X47">
        <f t="shared" si="3"/>
        <v>4.1235224044717574E-3</v>
      </c>
      <c r="Y47">
        <f t="shared" si="3"/>
        <v>2.2040591422536034E-3</v>
      </c>
      <c r="Z47">
        <f t="shared" si="3"/>
        <v>2.1166942757224736E-3</v>
      </c>
      <c r="AE47">
        <f>W47-mu-theta*AE46</f>
        <v>-9.7351132191156198E-3</v>
      </c>
      <c r="AF47">
        <f t="shared" si="5"/>
        <v>4.5793589479003888E-3</v>
      </c>
      <c r="AG47">
        <f t="shared" si="5"/>
        <v>2.9435957790832764E-3</v>
      </c>
      <c r="AK47">
        <f t="shared" si="4"/>
        <v>9.4772429388999691E-5</v>
      </c>
    </row>
    <row r="48" spans="1:37" x14ac:dyDescent="0.3">
      <c r="A48" s="1">
        <v>43991</v>
      </c>
      <c r="B48">
        <v>1.1339999999999999</v>
      </c>
      <c r="C48">
        <v>1.2728999999999999</v>
      </c>
      <c r="D48">
        <v>107.72</v>
      </c>
      <c r="G48">
        <v>1.1339999999999999</v>
      </c>
      <c r="H48">
        <f t="shared" si="1"/>
        <v>1.1292</v>
      </c>
      <c r="I48">
        <f t="shared" si="1"/>
        <v>1.1284000000000001</v>
      </c>
      <c r="J48">
        <f t="shared" si="1"/>
        <v>1.1335999999999999</v>
      </c>
      <c r="L48">
        <f t="shared" si="0"/>
        <v>4.7999999999999154E-3</v>
      </c>
      <c r="W48">
        <f t="shared" si="2"/>
        <v>-6.4563733628482094E-3</v>
      </c>
      <c r="X48">
        <f t="shared" si="3"/>
        <v>-1.0585873334550069E-2</v>
      </c>
      <c r="Y48">
        <f t="shared" si="3"/>
        <v>4.1235224044717574E-3</v>
      </c>
      <c r="Z48">
        <f t="shared" si="3"/>
        <v>2.2040591422536034E-3</v>
      </c>
      <c r="AE48">
        <f>W48-mu-theta*AE47</f>
        <v>-9.0615673777808183E-3</v>
      </c>
      <c r="AF48">
        <f t="shared" si="5"/>
        <v>-9.7351132191156198E-3</v>
      </c>
      <c r="AG48">
        <f t="shared" si="5"/>
        <v>4.5793589479003888E-3</v>
      </c>
      <c r="AK48">
        <f t="shared" si="4"/>
        <v>8.2112003342061534E-5</v>
      </c>
    </row>
    <row r="49" spans="1:37" x14ac:dyDescent="0.3">
      <c r="A49" s="1">
        <v>43992</v>
      </c>
      <c r="B49">
        <v>1.1369</v>
      </c>
      <c r="C49">
        <v>1.2745</v>
      </c>
      <c r="D49">
        <v>107.09</v>
      </c>
      <c r="G49">
        <v>1.1369</v>
      </c>
      <c r="H49">
        <f t="shared" si="1"/>
        <v>1.1339999999999999</v>
      </c>
      <c r="I49">
        <f t="shared" si="1"/>
        <v>1.1292</v>
      </c>
      <c r="J49">
        <f t="shared" si="1"/>
        <v>1.1284000000000001</v>
      </c>
      <c r="L49">
        <f t="shared" si="0"/>
        <v>2.9000000000001247E-3</v>
      </c>
      <c r="W49">
        <f t="shared" si="2"/>
        <v>-5.8484961010025569E-3</v>
      </c>
      <c r="X49">
        <f t="shared" si="3"/>
        <v>-6.4563733628482094E-3</v>
      </c>
      <c r="Y49">
        <f t="shared" si="3"/>
        <v>-1.0585873334550069E-2</v>
      </c>
      <c r="Z49">
        <f t="shared" si="3"/>
        <v>4.1235224044717574E-3</v>
      </c>
      <c r="AE49">
        <f>W49-mu-theta*AE48</f>
        <v>-8.291075420458217E-3</v>
      </c>
      <c r="AF49">
        <f t="shared" si="5"/>
        <v>-9.0615673777808183E-3</v>
      </c>
      <c r="AG49">
        <f t="shared" si="5"/>
        <v>-9.7351132191156198E-3</v>
      </c>
      <c r="AK49">
        <f t="shared" si="4"/>
        <v>6.8741931627726405E-5</v>
      </c>
    </row>
    <row r="50" spans="1:37" x14ac:dyDescent="0.3">
      <c r="A50" s="1">
        <v>43993</v>
      </c>
      <c r="B50">
        <v>1.1296999999999999</v>
      </c>
      <c r="C50">
        <v>1.26</v>
      </c>
      <c r="D50">
        <v>106.85</v>
      </c>
      <c r="G50">
        <v>1.1296999999999999</v>
      </c>
      <c r="H50">
        <f t="shared" si="1"/>
        <v>1.1369</v>
      </c>
      <c r="I50">
        <f t="shared" si="1"/>
        <v>1.1339999999999999</v>
      </c>
      <c r="J50">
        <f t="shared" si="1"/>
        <v>1.1292</v>
      </c>
      <c r="L50">
        <f t="shared" si="0"/>
        <v>-7.2000000000000952E-3</v>
      </c>
      <c r="W50">
        <f t="shared" si="2"/>
        <v>-2.241105612102055E-3</v>
      </c>
      <c r="X50">
        <f t="shared" si="3"/>
        <v>-5.8484961010025569E-3</v>
      </c>
      <c r="Y50">
        <f t="shared" si="3"/>
        <v>-6.4563733628482094E-3</v>
      </c>
      <c r="Z50">
        <f t="shared" si="3"/>
        <v>-1.0585873334550069E-2</v>
      </c>
      <c r="AE50">
        <f>W50-mu-theta*AE49</f>
        <v>-4.4976644600198731E-3</v>
      </c>
      <c r="AF50">
        <f t="shared" si="5"/>
        <v>-8.291075420458217E-3</v>
      </c>
      <c r="AG50">
        <f t="shared" si="5"/>
        <v>-9.0615673777808183E-3</v>
      </c>
      <c r="AK50">
        <f t="shared" si="4"/>
        <v>2.0228985594925857E-5</v>
      </c>
    </row>
    <row r="51" spans="1:37" x14ac:dyDescent="0.3">
      <c r="A51" s="1">
        <v>43994</v>
      </c>
      <c r="B51">
        <v>1.1254</v>
      </c>
      <c r="C51">
        <v>1.254</v>
      </c>
      <c r="D51">
        <v>107.34</v>
      </c>
      <c r="G51">
        <v>1.1254</v>
      </c>
      <c r="H51">
        <f t="shared" si="1"/>
        <v>1.1296999999999999</v>
      </c>
      <c r="I51">
        <f t="shared" si="1"/>
        <v>1.1369</v>
      </c>
      <c r="J51">
        <f t="shared" si="1"/>
        <v>1.1339999999999999</v>
      </c>
      <c r="L51">
        <f t="shared" si="0"/>
        <v>-4.2999999999999705E-3</v>
      </c>
      <c r="W51">
        <f t="shared" si="2"/>
        <v>4.5858680393075259E-3</v>
      </c>
      <c r="X51">
        <f t="shared" si="3"/>
        <v>-2.241105612102055E-3</v>
      </c>
      <c r="Y51">
        <f t="shared" si="3"/>
        <v>-5.8484961010025569E-3</v>
      </c>
      <c r="Z51">
        <f t="shared" si="3"/>
        <v>-6.4563733628482094E-3</v>
      </c>
      <c r="AE51">
        <f>W51-mu-theta*AE50</f>
        <v>3.2451553451245852E-3</v>
      </c>
      <c r="AF51">
        <f t="shared" si="5"/>
        <v>-4.4976644600198731E-3</v>
      </c>
      <c r="AG51">
        <f t="shared" si="5"/>
        <v>-8.291075420458217E-3</v>
      </c>
      <c r="AK51">
        <f t="shared" si="4"/>
        <v>1.0531033213990665E-5</v>
      </c>
    </row>
    <row r="52" spans="1:37" x14ac:dyDescent="0.3">
      <c r="A52" s="1">
        <v>43997</v>
      </c>
      <c r="B52">
        <v>1.1322000000000001</v>
      </c>
      <c r="C52">
        <v>1.2602</v>
      </c>
      <c r="D52">
        <v>107.31</v>
      </c>
      <c r="G52">
        <v>1.1322000000000001</v>
      </c>
      <c r="H52">
        <f t="shared" si="1"/>
        <v>1.1254</v>
      </c>
      <c r="I52">
        <f t="shared" si="1"/>
        <v>1.1296999999999999</v>
      </c>
      <c r="J52">
        <f t="shared" si="1"/>
        <v>1.1369</v>
      </c>
      <c r="L52">
        <f t="shared" si="0"/>
        <v>6.8000000000001393E-3</v>
      </c>
      <c r="W52">
        <f t="shared" si="2"/>
        <v>-2.79485746226953E-4</v>
      </c>
      <c r="X52">
        <f t="shared" si="3"/>
        <v>4.5858680393075259E-3</v>
      </c>
      <c r="Y52">
        <f t="shared" si="3"/>
        <v>-2.241105612102055E-3</v>
      </c>
      <c r="Z52">
        <f t="shared" si="3"/>
        <v>-5.8484961010025569E-3</v>
      </c>
      <c r="AE52">
        <f>W52-mu-theta*AE51</f>
        <v>2.4915655738985958E-4</v>
      </c>
      <c r="AF52">
        <f t="shared" si="5"/>
        <v>3.2451553451245852E-3</v>
      </c>
      <c r="AG52">
        <f t="shared" si="5"/>
        <v>-4.4976644600198731E-3</v>
      </c>
      <c r="AK52">
        <f t="shared" si="4"/>
        <v>6.2078990090366385E-8</v>
      </c>
    </row>
    <row r="53" spans="1:37" x14ac:dyDescent="0.3">
      <c r="A53" s="1">
        <v>43998</v>
      </c>
      <c r="B53">
        <v>1.1263000000000001</v>
      </c>
      <c r="C53">
        <v>1.2574000000000001</v>
      </c>
      <c r="D53">
        <v>107.32</v>
      </c>
      <c r="G53">
        <v>1.1263000000000001</v>
      </c>
      <c r="H53">
        <f t="shared" si="1"/>
        <v>1.1322000000000001</v>
      </c>
      <c r="I53">
        <f t="shared" si="1"/>
        <v>1.1254</v>
      </c>
      <c r="J53">
        <f t="shared" si="1"/>
        <v>1.1296999999999999</v>
      </c>
      <c r="L53">
        <f t="shared" si="0"/>
        <v>-5.9000000000000163E-3</v>
      </c>
      <c r="W53">
        <f t="shared" si="2"/>
        <v>9.3187960115468318E-5</v>
      </c>
      <c r="X53">
        <f t="shared" si="3"/>
        <v>-2.79485746226953E-4</v>
      </c>
      <c r="Y53">
        <f t="shared" si="3"/>
        <v>4.5858680393075259E-3</v>
      </c>
      <c r="Z53">
        <f t="shared" si="3"/>
        <v>-2.241105612102055E-3</v>
      </c>
      <c r="AE53">
        <f>W53-mu-theta*AE52</f>
        <v>-1.0149604996196126E-4</v>
      </c>
      <c r="AF53">
        <f t="shared" si="5"/>
        <v>2.4915655738985958E-4</v>
      </c>
      <c r="AG53">
        <f t="shared" si="5"/>
        <v>3.2451553451245852E-3</v>
      </c>
      <c r="AK53">
        <f t="shared" si="4"/>
        <v>1.0301448157880937E-8</v>
      </c>
    </row>
    <row r="54" spans="1:37" x14ac:dyDescent="0.3">
      <c r="A54" s="1">
        <v>43999</v>
      </c>
      <c r="B54">
        <v>1.1243000000000001</v>
      </c>
      <c r="C54">
        <v>1.2554000000000001</v>
      </c>
      <c r="D54">
        <v>107</v>
      </c>
      <c r="G54">
        <v>1.1243000000000001</v>
      </c>
      <c r="H54">
        <f t="shared" si="1"/>
        <v>1.1263000000000001</v>
      </c>
      <c r="I54">
        <f t="shared" si="1"/>
        <v>1.1322000000000001</v>
      </c>
      <c r="J54">
        <f t="shared" si="1"/>
        <v>1.1254</v>
      </c>
      <c r="L54">
        <f t="shared" si="0"/>
        <v>-2.0000000000000018E-3</v>
      </c>
      <c r="W54">
        <f t="shared" si="2"/>
        <v>-2.9817368617218896E-3</v>
      </c>
      <c r="X54">
        <f t="shared" si="3"/>
        <v>9.3187960115468318E-5</v>
      </c>
      <c r="Y54">
        <f t="shared" si="3"/>
        <v>-2.79485746226953E-4</v>
      </c>
      <c r="Z54">
        <f t="shared" si="3"/>
        <v>4.5858680393075259E-3</v>
      </c>
      <c r="AE54">
        <f>W54-mu-theta*AE53</f>
        <v>-3.2610792030714894E-3</v>
      </c>
      <c r="AF54">
        <f t="shared" si="5"/>
        <v>-1.0149604996196126E-4</v>
      </c>
      <c r="AG54">
        <f t="shared" si="5"/>
        <v>2.4915655738985958E-4</v>
      </c>
      <c r="AK54">
        <f t="shared" si="4"/>
        <v>1.0634637568705381E-5</v>
      </c>
    </row>
    <row r="55" spans="1:37" x14ac:dyDescent="0.3">
      <c r="A55" s="1">
        <v>44000</v>
      </c>
      <c r="B55">
        <v>1.1202000000000001</v>
      </c>
      <c r="C55">
        <v>1.2423999999999999</v>
      </c>
      <c r="D55">
        <v>106.96</v>
      </c>
      <c r="G55">
        <v>1.1202000000000001</v>
      </c>
      <c r="H55">
        <f t="shared" si="1"/>
        <v>1.1243000000000001</v>
      </c>
      <c r="I55">
        <f t="shared" si="1"/>
        <v>1.1263000000000001</v>
      </c>
      <c r="J55">
        <f t="shared" si="1"/>
        <v>1.1322000000000001</v>
      </c>
      <c r="L55">
        <f t="shared" si="0"/>
        <v>-4.0999999999999925E-3</v>
      </c>
      <c r="W55">
        <f t="shared" si="2"/>
        <v>-3.73831775700993E-4</v>
      </c>
      <c r="X55">
        <f t="shared" si="3"/>
        <v>-2.9817368617218896E-3</v>
      </c>
      <c r="Y55">
        <f t="shared" si="3"/>
        <v>9.3187960115468318E-5</v>
      </c>
      <c r="Z55">
        <f t="shared" si="3"/>
        <v>-2.79485746226953E-4</v>
      </c>
      <c r="AE55">
        <f>W55-mu-theta*AE54</f>
        <v>-1.4159947310993532E-3</v>
      </c>
      <c r="AF55">
        <f t="shared" si="5"/>
        <v>-3.2610792030714894E-3</v>
      </c>
      <c r="AG55">
        <f t="shared" si="5"/>
        <v>-1.0149604996196126E-4</v>
      </c>
      <c r="AK55">
        <f t="shared" si="4"/>
        <v>2.0050410785011297E-6</v>
      </c>
    </row>
    <row r="56" spans="1:37" x14ac:dyDescent="0.3">
      <c r="A56" s="1">
        <v>44001</v>
      </c>
      <c r="B56">
        <v>1.1174999999999999</v>
      </c>
      <c r="C56">
        <v>1.2356</v>
      </c>
      <c r="D56">
        <v>106.87</v>
      </c>
      <c r="G56">
        <v>1.1174999999999999</v>
      </c>
      <c r="H56">
        <f t="shared" si="1"/>
        <v>1.1202000000000001</v>
      </c>
      <c r="I56">
        <f t="shared" si="1"/>
        <v>1.1243000000000001</v>
      </c>
      <c r="J56">
        <f t="shared" si="1"/>
        <v>1.1263000000000001</v>
      </c>
      <c r="L56">
        <f t="shared" si="0"/>
        <v>-2.7000000000001467E-3</v>
      </c>
      <c r="W56">
        <f t="shared" si="2"/>
        <v>-8.4143605086003373E-4</v>
      </c>
      <c r="X56">
        <f t="shared" si="3"/>
        <v>-3.73831775700993E-4</v>
      </c>
      <c r="Y56">
        <f t="shared" si="3"/>
        <v>-2.9817368617218896E-3</v>
      </c>
      <c r="Z56">
        <f t="shared" si="3"/>
        <v>9.3187960115468318E-5</v>
      </c>
      <c r="AE56">
        <f>W56-mu-theta*AE55</f>
        <v>-1.438138829495378E-3</v>
      </c>
      <c r="AF56">
        <f t="shared" si="5"/>
        <v>-1.4159947310993532E-3</v>
      </c>
      <c r="AG56">
        <f t="shared" si="5"/>
        <v>-3.2610792030714894E-3</v>
      </c>
      <c r="AK56">
        <f t="shared" si="4"/>
        <v>2.068243292902336E-6</v>
      </c>
    </row>
    <row r="57" spans="1:37" x14ac:dyDescent="0.3">
      <c r="A57" s="1">
        <v>44004</v>
      </c>
      <c r="B57">
        <v>1.1257999999999999</v>
      </c>
      <c r="C57">
        <v>1.2461</v>
      </c>
      <c r="D57">
        <v>106.87</v>
      </c>
      <c r="G57">
        <v>1.1257999999999999</v>
      </c>
      <c r="H57">
        <f t="shared" si="1"/>
        <v>1.1174999999999999</v>
      </c>
      <c r="I57">
        <f t="shared" si="1"/>
        <v>1.1202000000000001</v>
      </c>
      <c r="J57">
        <f t="shared" si="1"/>
        <v>1.1243000000000001</v>
      </c>
      <c r="L57">
        <f t="shared" si="0"/>
        <v>8.2999999999999741E-3</v>
      </c>
      <c r="W57">
        <f t="shared" si="2"/>
        <v>0</v>
      </c>
      <c r="X57">
        <f t="shared" si="3"/>
        <v>-8.4143605086003373E-4</v>
      </c>
      <c r="Y57">
        <f t="shared" si="3"/>
        <v>-3.73831775700993E-4</v>
      </c>
      <c r="Z57">
        <f t="shared" si="3"/>
        <v>-2.9817368617218896E-3</v>
      </c>
      <c r="AE57">
        <f>W57-mu-theta*AE56</f>
        <v>-6.0204904550582926E-4</v>
      </c>
      <c r="AF57">
        <f t="shared" si="5"/>
        <v>-1.438138829495378E-3</v>
      </c>
      <c r="AG57">
        <f t="shared" si="5"/>
        <v>-1.4159947310993532E-3</v>
      </c>
      <c r="AK57">
        <f t="shared" si="4"/>
        <v>3.6246305319448008E-7</v>
      </c>
    </row>
    <row r="58" spans="1:37" x14ac:dyDescent="0.3">
      <c r="A58" s="1">
        <v>44005</v>
      </c>
      <c r="B58">
        <v>1.1306</v>
      </c>
      <c r="C58">
        <v>1.2518</v>
      </c>
      <c r="D58">
        <v>106.51</v>
      </c>
      <c r="G58">
        <v>1.1306</v>
      </c>
      <c r="H58">
        <f t="shared" si="1"/>
        <v>1.1257999999999999</v>
      </c>
      <c r="I58">
        <f t="shared" si="1"/>
        <v>1.1174999999999999</v>
      </c>
      <c r="J58">
        <f t="shared" si="1"/>
        <v>1.1202000000000001</v>
      </c>
      <c r="L58">
        <f t="shared" si="0"/>
        <v>4.8000000000001375E-3</v>
      </c>
      <c r="W58">
        <f t="shared" si="2"/>
        <v>-3.3685786469542381E-3</v>
      </c>
      <c r="X58">
        <f t="shared" si="3"/>
        <v>0</v>
      </c>
      <c r="Y58">
        <f t="shared" si="3"/>
        <v>-8.4143605086003373E-4</v>
      </c>
      <c r="Z58">
        <f t="shared" si="3"/>
        <v>-3.73831775700993E-4</v>
      </c>
      <c r="AE58">
        <f>W58-mu-theta*AE57</f>
        <v>-3.7687698866937843E-3</v>
      </c>
      <c r="AF58">
        <f t="shared" si="5"/>
        <v>-6.0204904550582926E-4</v>
      </c>
      <c r="AG58">
        <f t="shared" si="5"/>
        <v>-1.438138829495378E-3</v>
      </c>
      <c r="AK58">
        <f t="shared" si="4"/>
        <v>1.4203626458849881E-5</v>
      </c>
    </row>
    <row r="59" spans="1:37" x14ac:dyDescent="0.3">
      <c r="A59" s="1">
        <v>44006</v>
      </c>
      <c r="B59">
        <v>1.125</v>
      </c>
      <c r="C59">
        <v>1.2418</v>
      </c>
      <c r="D59">
        <v>107.02</v>
      </c>
      <c r="G59">
        <v>1.125</v>
      </c>
      <c r="H59">
        <f t="shared" si="1"/>
        <v>1.1306</v>
      </c>
      <c r="I59">
        <f t="shared" si="1"/>
        <v>1.1257999999999999</v>
      </c>
      <c r="J59">
        <f t="shared" si="1"/>
        <v>1.1174999999999999</v>
      </c>
      <c r="L59">
        <f t="shared" si="0"/>
        <v>-5.6000000000000494E-3</v>
      </c>
      <c r="W59">
        <f t="shared" si="2"/>
        <v>4.7882827903482387E-3</v>
      </c>
      <c r="X59">
        <f t="shared" si="3"/>
        <v>-3.3685786469542381E-3</v>
      </c>
      <c r="Y59">
        <f t="shared" si="3"/>
        <v>0</v>
      </c>
      <c r="Z59">
        <f t="shared" si="3"/>
        <v>-8.4143605086003373E-4</v>
      </c>
      <c r="AE59">
        <f>W59-mu-theta*AE58</f>
        <v>3.6235476789847941E-3</v>
      </c>
      <c r="AF59">
        <f t="shared" si="5"/>
        <v>-3.7687698866937843E-3</v>
      </c>
      <c r="AG59">
        <f t="shared" si="5"/>
        <v>-6.0204904550582926E-4</v>
      </c>
      <c r="AK59">
        <f t="shared" si="4"/>
        <v>1.3130097781876088E-5</v>
      </c>
    </row>
    <row r="60" spans="1:37" x14ac:dyDescent="0.3">
      <c r="A60" s="1">
        <v>44007</v>
      </c>
      <c r="B60">
        <v>1.1216999999999999</v>
      </c>
      <c r="C60">
        <v>1.2414000000000001</v>
      </c>
      <c r="D60">
        <v>107.19</v>
      </c>
      <c r="G60">
        <v>1.1216999999999999</v>
      </c>
      <c r="H60">
        <f t="shared" si="1"/>
        <v>1.125</v>
      </c>
      <c r="I60">
        <f t="shared" si="1"/>
        <v>1.1306</v>
      </c>
      <c r="J60">
        <f t="shared" si="1"/>
        <v>1.1257999999999999</v>
      </c>
      <c r="L60">
        <f t="shared" si="0"/>
        <v>-3.3000000000000806E-3</v>
      </c>
      <c r="W60">
        <f t="shared" si="2"/>
        <v>1.5884881330592573E-3</v>
      </c>
      <c r="X60">
        <f t="shared" si="3"/>
        <v>4.7882827903482387E-3</v>
      </c>
      <c r="Y60">
        <f t="shared" si="3"/>
        <v>-3.3685786469542381E-3</v>
      </c>
      <c r="Z60">
        <f t="shared" si="3"/>
        <v>0</v>
      </c>
      <c r="AE60">
        <f>W60-mu-theta*AE59</f>
        <v>2.2084859916588579E-3</v>
      </c>
      <c r="AF60">
        <f t="shared" si="5"/>
        <v>3.6235476789847941E-3</v>
      </c>
      <c r="AG60">
        <f t="shared" si="5"/>
        <v>-3.7687698866937843E-3</v>
      </c>
      <c r="AK60">
        <f t="shared" si="4"/>
        <v>4.8774103753534094E-6</v>
      </c>
    </row>
    <row r="61" spans="1:37" x14ac:dyDescent="0.3">
      <c r="A61" s="1">
        <v>44008</v>
      </c>
      <c r="B61">
        <v>1.1216999999999999</v>
      </c>
      <c r="C61">
        <v>1.2333000000000001</v>
      </c>
      <c r="D61">
        <v>107.21</v>
      </c>
      <c r="G61">
        <v>1.1216999999999999</v>
      </c>
      <c r="H61">
        <f t="shared" si="1"/>
        <v>1.1216999999999999</v>
      </c>
      <c r="I61">
        <f t="shared" si="1"/>
        <v>1.125</v>
      </c>
      <c r="J61">
        <f t="shared" si="1"/>
        <v>1.1306</v>
      </c>
      <c r="L61">
        <f t="shared" si="0"/>
        <v>0</v>
      </c>
      <c r="W61">
        <f t="shared" si="2"/>
        <v>1.8658456945606886E-4</v>
      </c>
      <c r="X61">
        <f t="shared" si="3"/>
        <v>1.5884881330592573E-3</v>
      </c>
      <c r="Y61">
        <f t="shared" si="3"/>
        <v>4.7882827903482387E-3</v>
      </c>
      <c r="Z61">
        <f t="shared" si="3"/>
        <v>-3.3685786469542381E-3</v>
      </c>
      <c r="AE61">
        <f>W61-mu-theta*AE60</f>
        <v>4.6494298609937586E-4</v>
      </c>
      <c r="AF61">
        <f t="shared" si="5"/>
        <v>2.2084859916588579E-3</v>
      </c>
      <c r="AG61">
        <f t="shared" si="5"/>
        <v>3.6235476789847941E-3</v>
      </c>
      <c r="AK61">
        <f t="shared" si="4"/>
        <v>2.1617198032300441E-7</v>
      </c>
    </row>
    <row r="62" spans="1:37" x14ac:dyDescent="0.3">
      <c r="A62" s="1">
        <v>44011</v>
      </c>
      <c r="B62">
        <v>1.1240000000000001</v>
      </c>
      <c r="C62">
        <v>1.2296</v>
      </c>
      <c r="D62">
        <v>107.56</v>
      </c>
      <c r="G62">
        <v>1.1240000000000001</v>
      </c>
      <c r="H62">
        <f t="shared" si="1"/>
        <v>1.1216999999999999</v>
      </c>
      <c r="I62">
        <f t="shared" si="1"/>
        <v>1.1216999999999999</v>
      </c>
      <c r="J62">
        <f t="shared" si="1"/>
        <v>1.125</v>
      </c>
      <c r="L62">
        <f t="shared" si="0"/>
        <v>2.3000000000001908E-3</v>
      </c>
      <c r="W62">
        <f t="shared" si="2"/>
        <v>3.2646208376085118E-3</v>
      </c>
      <c r="X62">
        <f t="shared" si="3"/>
        <v>1.8658456945606886E-4</v>
      </c>
      <c r="Y62">
        <f t="shared" si="3"/>
        <v>1.5884881330592573E-3</v>
      </c>
      <c r="Z62">
        <f t="shared" si="3"/>
        <v>4.7882827903482387E-3</v>
      </c>
      <c r="AE62">
        <f>W62-mu-theta*AE61</f>
        <v>3.122034312571026E-3</v>
      </c>
      <c r="AF62">
        <f t="shared" si="5"/>
        <v>4.6494298609937586E-4</v>
      </c>
      <c r="AG62">
        <f t="shared" si="5"/>
        <v>2.2084859916588579E-3</v>
      </c>
      <c r="AK62">
        <f t="shared" si="4"/>
        <v>9.7470982488708395E-6</v>
      </c>
    </row>
    <row r="63" spans="1:37" x14ac:dyDescent="0.3">
      <c r="A63" s="1">
        <v>44012</v>
      </c>
      <c r="B63">
        <v>1.1231</v>
      </c>
      <c r="C63">
        <v>1.2399</v>
      </c>
      <c r="D63">
        <v>107.92</v>
      </c>
      <c r="G63">
        <v>1.1231</v>
      </c>
      <c r="H63">
        <f t="shared" si="1"/>
        <v>1.1240000000000001</v>
      </c>
      <c r="I63">
        <f t="shared" si="1"/>
        <v>1.1216999999999999</v>
      </c>
      <c r="J63">
        <f t="shared" si="1"/>
        <v>1.1216999999999999</v>
      </c>
      <c r="L63">
        <f t="shared" si="0"/>
        <v>-9.0000000000012292E-4</v>
      </c>
      <c r="W63">
        <f t="shared" si="2"/>
        <v>3.3469691335068744E-3</v>
      </c>
      <c r="X63">
        <f t="shared" si="3"/>
        <v>3.2646208376085118E-3</v>
      </c>
      <c r="Y63">
        <f t="shared" si="3"/>
        <v>1.8658456945606886E-4</v>
      </c>
      <c r="Z63">
        <f t="shared" si="3"/>
        <v>1.5884881330592573E-3</v>
      </c>
      <c r="AE63">
        <f>W63-mu-theta*AE62</f>
        <v>3.8458862306316875E-3</v>
      </c>
      <c r="AF63">
        <f t="shared" si="5"/>
        <v>3.122034312571026E-3</v>
      </c>
      <c r="AG63">
        <f t="shared" si="5"/>
        <v>4.6494298609937586E-4</v>
      </c>
      <c r="AK63">
        <f t="shared" si="4"/>
        <v>1.479084089896241E-5</v>
      </c>
    </row>
    <row r="64" spans="1:37" x14ac:dyDescent="0.3">
      <c r="A64" s="1">
        <v>44013</v>
      </c>
      <c r="B64">
        <v>1.125</v>
      </c>
      <c r="C64">
        <v>1.2470000000000001</v>
      </c>
      <c r="D64">
        <v>107.46</v>
      </c>
      <c r="G64">
        <v>1.125</v>
      </c>
      <c r="H64">
        <f t="shared" si="1"/>
        <v>1.1231</v>
      </c>
      <c r="I64">
        <f t="shared" si="1"/>
        <v>1.1240000000000001</v>
      </c>
      <c r="J64">
        <f t="shared" si="1"/>
        <v>1.1216999999999999</v>
      </c>
      <c r="L64">
        <f t="shared" si="0"/>
        <v>1.9000000000000128E-3</v>
      </c>
      <c r="W64">
        <f t="shared" si="2"/>
        <v>-4.2624166048925863E-3</v>
      </c>
      <c r="X64">
        <f t="shared" si="3"/>
        <v>3.3469691335068744E-3</v>
      </c>
      <c r="Y64">
        <f t="shared" si="3"/>
        <v>3.2646208376085118E-3</v>
      </c>
      <c r="Z64">
        <f t="shared" si="3"/>
        <v>1.8658456945606886E-4</v>
      </c>
      <c r="AE64">
        <f>W64-mu-theta*AE63</f>
        <v>-3.5887393771245947E-3</v>
      </c>
      <c r="AF64">
        <f t="shared" si="5"/>
        <v>3.8458862306316875E-3</v>
      </c>
      <c r="AG64">
        <f t="shared" si="5"/>
        <v>3.122034312571026E-3</v>
      </c>
      <c r="AK64">
        <f t="shared" si="4"/>
        <v>1.2879050316924624E-5</v>
      </c>
    </row>
    <row r="65" spans="1:37" x14ac:dyDescent="0.3">
      <c r="A65" s="1">
        <v>44014</v>
      </c>
      <c r="B65">
        <v>1.1237999999999999</v>
      </c>
      <c r="C65">
        <v>1.2465999999999999</v>
      </c>
      <c r="D65">
        <v>107.48</v>
      </c>
      <c r="G65">
        <v>1.1237999999999999</v>
      </c>
      <c r="H65">
        <f t="shared" si="1"/>
        <v>1.125</v>
      </c>
      <c r="I65">
        <f t="shared" si="1"/>
        <v>1.1231</v>
      </c>
      <c r="J65">
        <f t="shared" si="1"/>
        <v>1.1240000000000001</v>
      </c>
      <c r="L65">
        <f t="shared" si="0"/>
        <v>-1.2000000000000899E-3</v>
      </c>
      <c r="W65">
        <f t="shared" si="2"/>
        <v>1.8611576400530646E-4</v>
      </c>
      <c r="X65">
        <f t="shared" si="3"/>
        <v>-4.2624166048925863E-3</v>
      </c>
      <c r="Y65">
        <f t="shared" si="3"/>
        <v>3.3469691335068744E-3</v>
      </c>
      <c r="Z65">
        <f t="shared" si="3"/>
        <v>3.2646208376085118E-3</v>
      </c>
      <c r="AE65">
        <f>W65-mu-theta*AE64</f>
        <v>-9.3515444164045663E-4</v>
      </c>
      <c r="AF65">
        <f t="shared" si="5"/>
        <v>-3.5887393771245947E-3</v>
      </c>
      <c r="AG65">
        <f t="shared" si="5"/>
        <v>3.8458862306316875E-3</v>
      </c>
      <c r="AK65">
        <f t="shared" si="4"/>
        <v>8.7451382971987417E-7</v>
      </c>
    </row>
    <row r="66" spans="1:37" x14ac:dyDescent="0.3">
      <c r="A66" s="1">
        <v>44015</v>
      </c>
      <c r="B66">
        <v>1.1248</v>
      </c>
      <c r="C66">
        <v>1.2483</v>
      </c>
      <c r="D66">
        <v>107.5</v>
      </c>
      <c r="G66">
        <v>1.1248</v>
      </c>
      <c r="H66">
        <f t="shared" si="1"/>
        <v>1.1237999999999999</v>
      </c>
      <c r="I66">
        <f t="shared" si="1"/>
        <v>1.125</v>
      </c>
      <c r="J66">
        <f t="shared" si="1"/>
        <v>1.1231</v>
      </c>
      <c r="L66">
        <f t="shared" si="0"/>
        <v>1.0000000000001119E-3</v>
      </c>
      <c r="W66">
        <f t="shared" si="2"/>
        <v>1.8608113137324171E-4</v>
      </c>
      <c r="X66">
        <f t="shared" si="3"/>
        <v>1.8611576400530646E-4</v>
      </c>
      <c r="Y66">
        <f t="shared" si="3"/>
        <v>-4.2624166048925863E-3</v>
      </c>
      <c r="Z66">
        <f t="shared" si="3"/>
        <v>3.3469691335068744E-3</v>
      </c>
      <c r="AE66">
        <f>W66-mu-theta*AE65</f>
        <v>-2.9453200280902495E-4</v>
      </c>
      <c r="AF66">
        <f t="shared" si="5"/>
        <v>-9.3515444164045663E-4</v>
      </c>
      <c r="AG66">
        <f t="shared" si="5"/>
        <v>-3.5887393771245947E-3</v>
      </c>
      <c r="AK66">
        <f t="shared" si="4"/>
        <v>8.6749100678695482E-8</v>
      </c>
    </row>
    <row r="67" spans="1:37" x14ac:dyDescent="0.3">
      <c r="A67" s="1">
        <v>44018</v>
      </c>
      <c r="B67">
        <v>1.1308</v>
      </c>
      <c r="C67">
        <v>1.2491000000000001</v>
      </c>
      <c r="D67">
        <v>107.35</v>
      </c>
      <c r="G67">
        <v>1.1308</v>
      </c>
      <c r="H67">
        <f t="shared" si="1"/>
        <v>1.1248</v>
      </c>
      <c r="I67">
        <f t="shared" si="1"/>
        <v>1.1237999999999999</v>
      </c>
      <c r="J67">
        <f t="shared" si="1"/>
        <v>1.125</v>
      </c>
      <c r="L67">
        <f t="shared" si="0"/>
        <v>6.0000000000000053E-3</v>
      </c>
      <c r="W67">
        <f t="shared" si="2"/>
        <v>-1.3953488372093553E-3</v>
      </c>
      <c r="X67">
        <f t="shared" si="3"/>
        <v>1.8608113137324171E-4</v>
      </c>
      <c r="Y67">
        <f t="shared" si="3"/>
        <v>1.8611576400530646E-4</v>
      </c>
      <c r="Z67">
        <f t="shared" si="3"/>
        <v>-4.2624166048925863E-3</v>
      </c>
      <c r="AE67">
        <f>W67-mu-theta*AE66</f>
        <v>-1.7212959985458468E-3</v>
      </c>
      <c r="AF67">
        <f t="shared" si="5"/>
        <v>-2.9453200280902495E-4</v>
      </c>
      <c r="AG67">
        <f t="shared" si="5"/>
        <v>-9.3515444164045663E-4</v>
      </c>
      <c r="AK67">
        <f t="shared" si="4"/>
        <v>2.9628599146099439E-6</v>
      </c>
    </row>
    <row r="68" spans="1:37" x14ac:dyDescent="0.3">
      <c r="A68" s="1">
        <v>44019</v>
      </c>
      <c r="B68">
        <v>1.127</v>
      </c>
      <c r="C68">
        <v>1.254</v>
      </c>
      <c r="D68">
        <v>107.51</v>
      </c>
      <c r="G68">
        <v>1.127</v>
      </c>
      <c r="H68">
        <f t="shared" si="1"/>
        <v>1.1308</v>
      </c>
      <c r="I68">
        <f t="shared" si="1"/>
        <v>1.1248</v>
      </c>
      <c r="J68">
        <f t="shared" si="1"/>
        <v>1.1237999999999999</v>
      </c>
      <c r="L68">
        <f t="shared" si="0"/>
        <v>-3.8000000000000256E-3</v>
      </c>
      <c r="W68">
        <f t="shared" si="2"/>
        <v>1.4904517931999144E-3</v>
      </c>
      <c r="X68">
        <f t="shared" si="3"/>
        <v>-1.3953488372093553E-3</v>
      </c>
      <c r="Y68">
        <f t="shared" si="3"/>
        <v>1.8608113137324171E-4</v>
      </c>
      <c r="Z68">
        <f t="shared" si="3"/>
        <v>1.8611576400530646E-4</v>
      </c>
      <c r="AE68">
        <f>W68-mu-theta*AE67</f>
        <v>8.2003989250073114E-4</v>
      </c>
      <c r="AF68">
        <f t="shared" si="5"/>
        <v>-1.7212959985458468E-3</v>
      </c>
      <c r="AG68">
        <f t="shared" si="5"/>
        <v>-2.9453200280902495E-4</v>
      </c>
      <c r="AK68">
        <f t="shared" si="4"/>
        <v>6.7246542529261067E-7</v>
      </c>
    </row>
    <row r="69" spans="1:37" x14ac:dyDescent="0.3">
      <c r="A69" s="1">
        <v>44020</v>
      </c>
      <c r="B69">
        <v>1.1329</v>
      </c>
      <c r="C69">
        <v>1.2608999999999999</v>
      </c>
      <c r="D69">
        <v>107.25</v>
      </c>
      <c r="G69">
        <v>1.1329</v>
      </c>
      <c r="H69">
        <f t="shared" si="1"/>
        <v>1.127</v>
      </c>
      <c r="I69">
        <f t="shared" si="1"/>
        <v>1.1308</v>
      </c>
      <c r="J69">
        <f t="shared" si="1"/>
        <v>1.1248</v>
      </c>
      <c r="L69">
        <f t="shared" si="0"/>
        <v>5.9000000000000163E-3</v>
      </c>
      <c r="W69">
        <f t="shared" si="2"/>
        <v>-2.4183796856106885E-3</v>
      </c>
      <c r="X69">
        <f t="shared" si="3"/>
        <v>1.4904517931999144E-3</v>
      </c>
      <c r="Y69">
        <f t="shared" si="3"/>
        <v>-1.3953488372093553E-3</v>
      </c>
      <c r="Z69">
        <f t="shared" si="3"/>
        <v>1.8608113137324171E-4</v>
      </c>
      <c r="AE69">
        <f>W69-mu-theta*AE68</f>
        <v>-2.4752348888055086E-3</v>
      </c>
      <c r="AF69">
        <f t="shared" si="5"/>
        <v>8.2003989250073114E-4</v>
      </c>
      <c r="AG69">
        <f t="shared" si="5"/>
        <v>-1.7212959985458468E-3</v>
      </c>
      <c r="AK69">
        <f t="shared" si="4"/>
        <v>6.1267877547600187E-6</v>
      </c>
    </row>
    <row r="70" spans="1:37" x14ac:dyDescent="0.3">
      <c r="A70" s="1">
        <v>44021</v>
      </c>
      <c r="B70">
        <v>1.1281000000000001</v>
      </c>
      <c r="C70">
        <v>1.2604</v>
      </c>
      <c r="D70">
        <v>107.19</v>
      </c>
      <c r="G70">
        <v>1.1281000000000001</v>
      </c>
      <c r="H70">
        <f t="shared" si="1"/>
        <v>1.1329</v>
      </c>
      <c r="I70">
        <f t="shared" si="1"/>
        <v>1.127</v>
      </c>
      <c r="J70">
        <f t="shared" si="1"/>
        <v>1.1308</v>
      </c>
      <c r="L70">
        <f t="shared" ref="L70:L133" si="6">G70-H70</f>
        <v>-4.7999999999999154E-3</v>
      </c>
      <c r="W70">
        <f t="shared" si="2"/>
        <v>-5.5944055944058069E-4</v>
      </c>
      <c r="X70">
        <f t="shared" si="3"/>
        <v>-2.4183796856106885E-3</v>
      </c>
      <c r="Y70">
        <f t="shared" si="3"/>
        <v>1.4904517931999144E-3</v>
      </c>
      <c r="Z70">
        <f t="shared" si="3"/>
        <v>-1.3953488372093553E-3</v>
      </c>
      <c r="AE70">
        <f>W70-mu-theta*AE69</f>
        <v>-1.4118765118432638E-3</v>
      </c>
      <c r="AF70">
        <f t="shared" si="5"/>
        <v>-2.4752348888055086E-3</v>
      </c>
      <c r="AG70">
        <f t="shared" si="5"/>
        <v>8.2003989250073114E-4</v>
      </c>
      <c r="AK70">
        <f t="shared" si="4"/>
        <v>1.9933952846947018E-6</v>
      </c>
    </row>
    <row r="71" spans="1:37" x14ac:dyDescent="0.3">
      <c r="A71" s="1">
        <v>44022</v>
      </c>
      <c r="B71">
        <v>1.1297999999999999</v>
      </c>
      <c r="C71">
        <v>1.262</v>
      </c>
      <c r="D71">
        <v>106.89</v>
      </c>
      <c r="G71">
        <v>1.1297999999999999</v>
      </c>
      <c r="H71">
        <f t="shared" ref="H71:J134" si="7">G70</f>
        <v>1.1281000000000001</v>
      </c>
      <c r="I71">
        <f t="shared" si="7"/>
        <v>1.1329</v>
      </c>
      <c r="J71">
        <f t="shared" si="7"/>
        <v>1.127</v>
      </c>
      <c r="L71">
        <f t="shared" si="6"/>
        <v>1.6999999999998128E-3</v>
      </c>
      <c r="W71">
        <f t="shared" ref="W71:W134" si="8">(D71-D70)/D70</f>
        <v>-2.7987685418415635E-3</v>
      </c>
      <c r="X71">
        <f t="shared" si="3"/>
        <v>-5.5944055944058069E-4</v>
      </c>
      <c r="Y71">
        <f t="shared" si="3"/>
        <v>-2.4183796856106885E-3</v>
      </c>
      <c r="Z71">
        <f t="shared" si="3"/>
        <v>1.4904517931999144E-3</v>
      </c>
      <c r="AE71">
        <f>W71-mu-theta*AE70</f>
        <v>-3.3944770556041427E-3</v>
      </c>
      <c r="AF71">
        <f t="shared" si="5"/>
        <v>-1.4118765118432638E-3</v>
      </c>
      <c r="AG71">
        <f t="shared" si="5"/>
        <v>-2.4752348888055086E-3</v>
      </c>
      <c r="AK71">
        <f t="shared" si="4"/>
        <v>1.1522474481022971E-5</v>
      </c>
    </row>
    <row r="72" spans="1:37" x14ac:dyDescent="0.3">
      <c r="A72" s="1">
        <v>44025</v>
      </c>
      <c r="B72">
        <v>1.1339999999999999</v>
      </c>
      <c r="C72">
        <v>1.2552000000000001</v>
      </c>
      <c r="D72">
        <v>107.26</v>
      </c>
      <c r="G72">
        <v>1.1339999999999999</v>
      </c>
      <c r="H72">
        <f t="shared" si="7"/>
        <v>1.1297999999999999</v>
      </c>
      <c r="I72">
        <f t="shared" si="7"/>
        <v>1.1281000000000001</v>
      </c>
      <c r="J72">
        <f t="shared" si="7"/>
        <v>1.1329</v>
      </c>
      <c r="L72">
        <f t="shared" si="6"/>
        <v>4.1999999999999815E-3</v>
      </c>
      <c r="W72">
        <f t="shared" si="8"/>
        <v>3.4615024791842504E-3</v>
      </c>
      <c r="X72">
        <f t="shared" ref="X72:Z135" si="9">W71</f>
        <v>-2.7987685418415635E-3</v>
      </c>
      <c r="Y72">
        <f t="shared" si="9"/>
        <v>-5.5944055944058069E-4</v>
      </c>
      <c r="Z72">
        <f t="shared" si="9"/>
        <v>-2.4183796856106885E-3</v>
      </c>
      <c r="AE72">
        <f>W72-mu-theta*AE71</f>
        <v>2.3871331766664615E-3</v>
      </c>
      <c r="AF72">
        <f t="shared" si="5"/>
        <v>-3.3944770556041427E-3</v>
      </c>
      <c r="AG72">
        <f t="shared" si="5"/>
        <v>-1.4118765118432638E-3</v>
      </c>
      <c r="AK72">
        <f t="shared" ref="AK72:AK135" si="10">POWER(AE72,2)</f>
        <v>5.6984048031417113E-6</v>
      </c>
    </row>
    <row r="73" spans="1:37" x14ac:dyDescent="0.3">
      <c r="A73" s="1">
        <v>44026</v>
      </c>
      <c r="B73">
        <v>1.1395999999999999</v>
      </c>
      <c r="C73">
        <v>1.2547999999999999</v>
      </c>
      <c r="D73">
        <v>107.23</v>
      </c>
      <c r="G73">
        <v>1.1395999999999999</v>
      </c>
      <c r="H73">
        <f t="shared" si="7"/>
        <v>1.1339999999999999</v>
      </c>
      <c r="I73">
        <f t="shared" si="7"/>
        <v>1.1297999999999999</v>
      </c>
      <c r="J73">
        <f t="shared" si="7"/>
        <v>1.1281000000000001</v>
      </c>
      <c r="L73">
        <f t="shared" si="6"/>
        <v>5.6000000000000494E-3</v>
      </c>
      <c r="W73">
        <f t="shared" si="8"/>
        <v>-2.7969420100690972E-4</v>
      </c>
      <c r="X73">
        <f t="shared" si="9"/>
        <v>3.4615024791842504E-3</v>
      </c>
      <c r="Y73">
        <f t="shared" si="9"/>
        <v>-2.7987685418415635E-3</v>
      </c>
      <c r="Z73">
        <f t="shared" si="9"/>
        <v>-5.5944055944058069E-4</v>
      </c>
      <c r="AE73">
        <f>W73-mu-theta*AE72</f>
        <v>4.1795144231033437E-5</v>
      </c>
      <c r="AF73">
        <f t="shared" ref="AF73:AG136" si="11">AE72</f>
        <v>2.3871331766664615E-3</v>
      </c>
      <c r="AG73">
        <f t="shared" si="11"/>
        <v>-3.3944770556041427E-3</v>
      </c>
      <c r="AK73">
        <f t="shared" si="10"/>
        <v>1.7468340812928875E-9</v>
      </c>
    </row>
    <row r="74" spans="1:37" x14ac:dyDescent="0.3">
      <c r="A74" s="1">
        <v>44027</v>
      </c>
      <c r="B74">
        <v>1.141</v>
      </c>
      <c r="C74">
        <v>1.258</v>
      </c>
      <c r="D74">
        <v>106.92</v>
      </c>
      <c r="G74">
        <v>1.141</v>
      </c>
      <c r="H74">
        <f t="shared" si="7"/>
        <v>1.1395999999999999</v>
      </c>
      <c r="I74">
        <f t="shared" si="7"/>
        <v>1.1339999999999999</v>
      </c>
      <c r="J74">
        <f t="shared" si="7"/>
        <v>1.1297999999999999</v>
      </c>
      <c r="L74">
        <f t="shared" si="6"/>
        <v>1.4000000000000679E-3</v>
      </c>
      <c r="W74">
        <f t="shared" si="8"/>
        <v>-2.890982001305626E-3</v>
      </c>
      <c r="X74">
        <f t="shared" si="9"/>
        <v>-2.7969420100690972E-4</v>
      </c>
      <c r="Y74">
        <f t="shared" si="9"/>
        <v>3.4615024791842504E-3</v>
      </c>
      <c r="Z74">
        <f t="shared" si="9"/>
        <v>-2.7987685418415635E-3</v>
      </c>
      <c r="AE74">
        <f>W74-mu-theta*AE73</f>
        <v>-3.1357294383766326E-3</v>
      </c>
      <c r="AF74">
        <f t="shared" si="11"/>
        <v>4.1795144231033437E-5</v>
      </c>
      <c r="AG74">
        <f t="shared" si="11"/>
        <v>2.3871331766664615E-3</v>
      </c>
      <c r="AK74">
        <f t="shared" si="10"/>
        <v>9.8327991107018317E-6</v>
      </c>
    </row>
    <row r="75" spans="1:37" x14ac:dyDescent="0.3">
      <c r="A75" s="1">
        <v>44028</v>
      </c>
      <c r="B75">
        <v>1.1383000000000001</v>
      </c>
      <c r="C75">
        <v>1.2548999999999999</v>
      </c>
      <c r="D75">
        <v>107.26</v>
      </c>
      <c r="G75">
        <v>1.1383000000000001</v>
      </c>
      <c r="H75">
        <f t="shared" si="7"/>
        <v>1.141</v>
      </c>
      <c r="I75">
        <f t="shared" si="7"/>
        <v>1.1395999999999999</v>
      </c>
      <c r="J75">
        <f t="shared" si="7"/>
        <v>1.1339999999999999</v>
      </c>
      <c r="L75">
        <f t="shared" si="6"/>
        <v>-2.6999999999999247E-3</v>
      </c>
      <c r="W75">
        <f t="shared" si="8"/>
        <v>3.1799476243921008E-3</v>
      </c>
      <c r="X75">
        <f t="shared" si="9"/>
        <v>-2.890982001305626E-3</v>
      </c>
      <c r="Y75">
        <f t="shared" si="9"/>
        <v>-2.7969420100690972E-4</v>
      </c>
      <c r="Z75">
        <f t="shared" si="9"/>
        <v>3.4615024791842504E-3</v>
      </c>
      <c r="AE75">
        <f>W75-mu-theta*AE74</f>
        <v>2.1680479600172079E-3</v>
      </c>
      <c r="AF75">
        <f t="shared" si="11"/>
        <v>-3.1357294383766326E-3</v>
      </c>
      <c r="AG75">
        <f t="shared" si="11"/>
        <v>4.1795144231033437E-5</v>
      </c>
      <c r="AK75">
        <f t="shared" si="10"/>
        <v>4.7004319569347765E-6</v>
      </c>
    </row>
    <row r="76" spans="1:37" x14ac:dyDescent="0.3">
      <c r="A76" s="1">
        <v>44029</v>
      </c>
      <c r="B76">
        <v>1.1426000000000001</v>
      </c>
      <c r="C76">
        <v>1.2565</v>
      </c>
      <c r="D76">
        <v>106.99</v>
      </c>
      <c r="G76">
        <v>1.1426000000000001</v>
      </c>
      <c r="H76">
        <f t="shared" si="7"/>
        <v>1.1383000000000001</v>
      </c>
      <c r="I76">
        <f t="shared" si="7"/>
        <v>1.141</v>
      </c>
      <c r="J76">
        <f t="shared" si="7"/>
        <v>1.1395999999999999</v>
      </c>
      <c r="L76">
        <f t="shared" si="6"/>
        <v>4.2999999999999705E-3</v>
      </c>
      <c r="W76">
        <f t="shared" si="8"/>
        <v>-2.5172478090621873E-3</v>
      </c>
      <c r="X76">
        <f t="shared" si="9"/>
        <v>3.1799476243921008E-3</v>
      </c>
      <c r="Y76">
        <f t="shared" si="9"/>
        <v>-2.890982001305626E-3</v>
      </c>
      <c r="Z76">
        <f t="shared" si="9"/>
        <v>-2.7969420100690972E-4</v>
      </c>
      <c r="AE76">
        <f>W76-mu-theta*AE75</f>
        <v>-2.2486523777979638E-3</v>
      </c>
      <c r="AF76">
        <f t="shared" si="11"/>
        <v>2.1680479600172079E-3</v>
      </c>
      <c r="AG76">
        <f t="shared" si="11"/>
        <v>-3.1357294383766326E-3</v>
      </c>
      <c r="AK76">
        <f t="shared" si="10"/>
        <v>5.0564375161764367E-6</v>
      </c>
    </row>
    <row r="77" spans="1:37" x14ac:dyDescent="0.3">
      <c r="A77" s="1">
        <v>44032</v>
      </c>
      <c r="B77">
        <v>1.1444000000000001</v>
      </c>
      <c r="C77">
        <v>1.266</v>
      </c>
      <c r="D77">
        <v>107.24</v>
      </c>
      <c r="G77">
        <v>1.1444000000000001</v>
      </c>
      <c r="H77">
        <f t="shared" si="7"/>
        <v>1.1426000000000001</v>
      </c>
      <c r="I77">
        <f t="shared" si="7"/>
        <v>1.1383000000000001</v>
      </c>
      <c r="J77">
        <f t="shared" si="7"/>
        <v>1.141</v>
      </c>
      <c r="L77">
        <f t="shared" si="6"/>
        <v>1.8000000000000238E-3</v>
      </c>
      <c r="W77">
        <f t="shared" si="8"/>
        <v>2.3366669782222639E-3</v>
      </c>
      <c r="X77">
        <f t="shared" si="9"/>
        <v>-2.5172478090621873E-3</v>
      </c>
      <c r="Y77">
        <f t="shared" si="9"/>
        <v>3.1799476243921008E-3</v>
      </c>
      <c r="Z77">
        <f t="shared" si="9"/>
        <v>-2.890982001305626E-3</v>
      </c>
      <c r="AE77">
        <f>W77-mu-theta*AE76</f>
        <v>1.5389350173918175E-3</v>
      </c>
      <c r="AF77">
        <f t="shared" si="11"/>
        <v>-2.2486523777979638E-3</v>
      </c>
      <c r="AG77">
        <f t="shared" si="11"/>
        <v>2.1680479600172079E-3</v>
      </c>
      <c r="AK77">
        <f t="shared" si="10"/>
        <v>2.3683209877547536E-6</v>
      </c>
    </row>
    <row r="78" spans="1:37" x14ac:dyDescent="0.3">
      <c r="A78" s="1">
        <v>44033</v>
      </c>
      <c r="B78">
        <v>1.1526000000000001</v>
      </c>
      <c r="C78">
        <v>1.2727999999999999</v>
      </c>
      <c r="D78">
        <v>106.76</v>
      </c>
      <c r="G78">
        <v>1.1526000000000001</v>
      </c>
      <c r="H78">
        <f t="shared" si="7"/>
        <v>1.1444000000000001</v>
      </c>
      <c r="I78">
        <f t="shared" si="7"/>
        <v>1.1426000000000001</v>
      </c>
      <c r="J78">
        <f t="shared" si="7"/>
        <v>1.1383000000000001</v>
      </c>
      <c r="L78">
        <f t="shared" si="6"/>
        <v>8.1999999999999851E-3</v>
      </c>
      <c r="W78">
        <f t="shared" si="8"/>
        <v>-4.4759418127563386E-3</v>
      </c>
      <c r="X78">
        <f t="shared" si="9"/>
        <v>2.3366669782222639E-3</v>
      </c>
      <c r="Y78">
        <f t="shared" si="9"/>
        <v>-2.5172478090621873E-3</v>
      </c>
      <c r="Z78">
        <f t="shared" si="9"/>
        <v>3.1799476243921008E-3</v>
      </c>
      <c r="AE78">
        <f>W78-mu-theta*AE77</f>
        <v>-4.3592336077318246E-3</v>
      </c>
      <c r="AF78">
        <f t="shared" si="11"/>
        <v>1.5389350173918175E-3</v>
      </c>
      <c r="AG78">
        <f t="shared" si="11"/>
        <v>-2.2486523777979638E-3</v>
      </c>
      <c r="AK78">
        <f t="shared" si="10"/>
        <v>1.9002917646778618E-5</v>
      </c>
    </row>
    <row r="79" spans="1:37" x14ac:dyDescent="0.3">
      <c r="A79" s="1">
        <v>44034</v>
      </c>
      <c r="B79">
        <v>1.1568000000000001</v>
      </c>
      <c r="C79">
        <v>1.2732000000000001</v>
      </c>
      <c r="D79">
        <v>107.14</v>
      </c>
      <c r="G79">
        <v>1.1568000000000001</v>
      </c>
      <c r="H79">
        <f t="shared" si="7"/>
        <v>1.1526000000000001</v>
      </c>
      <c r="I79">
        <f t="shared" si="7"/>
        <v>1.1444000000000001</v>
      </c>
      <c r="J79">
        <f t="shared" si="7"/>
        <v>1.1426000000000001</v>
      </c>
      <c r="L79">
        <f t="shared" si="6"/>
        <v>4.1999999999999815E-3</v>
      </c>
      <c r="W79">
        <f t="shared" si="8"/>
        <v>3.5593855376545094E-3</v>
      </c>
      <c r="X79">
        <f t="shared" si="9"/>
        <v>-4.4759418127563386E-3</v>
      </c>
      <c r="Y79">
        <f t="shared" si="9"/>
        <v>2.3366669782222639E-3</v>
      </c>
      <c r="Z79">
        <f t="shared" si="9"/>
        <v>-2.5172478090621873E-3</v>
      </c>
      <c r="AE79">
        <f>W79-mu-theta*AE78</f>
        <v>2.2520943116300304E-3</v>
      </c>
      <c r="AF79">
        <f t="shared" si="11"/>
        <v>-4.3592336077318246E-3</v>
      </c>
      <c r="AG79">
        <f t="shared" si="11"/>
        <v>1.5389350173918175E-3</v>
      </c>
      <c r="AK79">
        <f t="shared" si="10"/>
        <v>5.0719287884763403E-6</v>
      </c>
    </row>
    <row r="80" spans="1:37" x14ac:dyDescent="0.3">
      <c r="A80" s="1">
        <v>44035</v>
      </c>
      <c r="B80">
        <v>1.1594</v>
      </c>
      <c r="C80">
        <v>1.2739</v>
      </c>
      <c r="D80">
        <v>106.85</v>
      </c>
      <c r="G80">
        <v>1.1594</v>
      </c>
      <c r="H80">
        <f t="shared" si="7"/>
        <v>1.1568000000000001</v>
      </c>
      <c r="I80">
        <f t="shared" si="7"/>
        <v>1.1526000000000001</v>
      </c>
      <c r="J80">
        <f t="shared" si="7"/>
        <v>1.1444000000000001</v>
      </c>
      <c r="L80">
        <f t="shared" si="6"/>
        <v>2.5999999999999357E-3</v>
      </c>
      <c r="W80">
        <f t="shared" si="8"/>
        <v>-2.7067388463692947E-3</v>
      </c>
      <c r="X80">
        <f t="shared" si="9"/>
        <v>3.5593855376545094E-3</v>
      </c>
      <c r="Y80">
        <f t="shared" si="9"/>
        <v>-4.4759418127563386E-3</v>
      </c>
      <c r="Z80">
        <f t="shared" si="9"/>
        <v>2.3366669782222639E-3</v>
      </c>
      <c r="AE80">
        <f>W80-mu-theta*AE79</f>
        <v>-2.4178520391738016E-3</v>
      </c>
      <c r="AF80">
        <f t="shared" si="11"/>
        <v>2.2520943116300304E-3</v>
      </c>
      <c r="AG80">
        <f t="shared" si="11"/>
        <v>-4.3592336077318246E-3</v>
      </c>
      <c r="AK80">
        <f t="shared" si="10"/>
        <v>5.8460084833369107E-6</v>
      </c>
    </row>
    <row r="81" spans="1:37" x14ac:dyDescent="0.3">
      <c r="A81" s="1">
        <v>44036</v>
      </c>
      <c r="B81">
        <v>1.1654</v>
      </c>
      <c r="C81">
        <v>1.2788999999999999</v>
      </c>
      <c r="D81">
        <v>106.12</v>
      </c>
      <c r="G81">
        <v>1.1654</v>
      </c>
      <c r="H81">
        <f t="shared" si="7"/>
        <v>1.1594</v>
      </c>
      <c r="I81">
        <f t="shared" si="7"/>
        <v>1.1568000000000001</v>
      </c>
      <c r="J81">
        <f t="shared" si="7"/>
        <v>1.1526000000000001</v>
      </c>
      <c r="L81">
        <f t="shared" si="6"/>
        <v>6.0000000000000053E-3</v>
      </c>
      <c r="W81">
        <f t="shared" si="8"/>
        <v>-6.832007487131397E-3</v>
      </c>
      <c r="X81">
        <f t="shared" si="9"/>
        <v>-2.7067388463692947E-3</v>
      </c>
      <c r="Y81">
        <f t="shared" si="9"/>
        <v>3.5593855376545094E-3</v>
      </c>
      <c r="Z81">
        <f t="shared" si="9"/>
        <v>-4.4759418127563386E-3</v>
      </c>
      <c r="AE81">
        <f>W81-mu-theta*AE80</f>
        <v>-7.6705894535901284E-3</v>
      </c>
      <c r="AF81">
        <f t="shared" si="11"/>
        <v>-2.4178520391738016E-3</v>
      </c>
      <c r="AG81">
        <f t="shared" si="11"/>
        <v>2.2520943116300304E-3</v>
      </c>
      <c r="AK81">
        <f t="shared" si="10"/>
        <v>5.8837942565528103E-5</v>
      </c>
    </row>
    <row r="82" spans="1:37" x14ac:dyDescent="0.3">
      <c r="A82" s="1">
        <v>44039</v>
      </c>
      <c r="B82">
        <v>1.1751</v>
      </c>
      <c r="C82">
        <v>1.2881</v>
      </c>
      <c r="D82">
        <v>105.37</v>
      </c>
      <c r="G82">
        <v>1.1751</v>
      </c>
      <c r="H82">
        <f t="shared" si="7"/>
        <v>1.1654</v>
      </c>
      <c r="I82">
        <f t="shared" si="7"/>
        <v>1.1594</v>
      </c>
      <c r="J82">
        <f t="shared" si="7"/>
        <v>1.1568000000000001</v>
      </c>
      <c r="L82">
        <f t="shared" si="6"/>
        <v>9.7000000000000419E-3</v>
      </c>
      <c r="W82">
        <f t="shared" si="8"/>
        <v>-7.0674707877874101E-3</v>
      </c>
      <c r="X82">
        <f t="shared" si="9"/>
        <v>-6.832007487131397E-3</v>
      </c>
      <c r="Y82">
        <f t="shared" si="9"/>
        <v>-2.7067388463692947E-3</v>
      </c>
      <c r="Z82">
        <f t="shared" si="9"/>
        <v>3.5593855376545094E-3</v>
      </c>
      <c r="AE82">
        <f>W82-mu-theta*AE81</f>
        <v>-9.1742252269213873E-3</v>
      </c>
      <c r="AF82">
        <f t="shared" si="11"/>
        <v>-7.6705894535901284E-3</v>
      </c>
      <c r="AG82">
        <f t="shared" si="11"/>
        <v>-2.4178520391738016E-3</v>
      </c>
      <c r="AK82">
        <f t="shared" si="10"/>
        <v>8.4166408514280787E-5</v>
      </c>
    </row>
    <row r="83" spans="1:37" x14ac:dyDescent="0.3">
      <c r="A83" s="1">
        <v>44040</v>
      </c>
      <c r="B83">
        <v>1.1714</v>
      </c>
      <c r="C83">
        <v>1.2929999999999999</v>
      </c>
      <c r="D83">
        <v>105.08</v>
      </c>
      <c r="G83">
        <v>1.1714</v>
      </c>
      <c r="H83">
        <f t="shared" si="7"/>
        <v>1.1751</v>
      </c>
      <c r="I83">
        <f t="shared" si="7"/>
        <v>1.1654</v>
      </c>
      <c r="J83">
        <f t="shared" si="7"/>
        <v>1.1594</v>
      </c>
      <c r="L83">
        <f t="shared" si="6"/>
        <v>-3.7000000000000366E-3</v>
      </c>
      <c r="W83">
        <f t="shared" si="8"/>
        <v>-2.7522065103920113E-3</v>
      </c>
      <c r="X83">
        <f t="shared" si="9"/>
        <v>-7.0674707877874101E-3</v>
      </c>
      <c r="Y83">
        <f t="shared" si="9"/>
        <v>-6.832007487131397E-3</v>
      </c>
      <c r="Z83">
        <f t="shared" si="9"/>
        <v>-2.7067388463692947E-3</v>
      </c>
      <c r="AE83">
        <f>W83-mu-theta*AE82</f>
        <v>-5.2219849018436864E-3</v>
      </c>
      <c r="AF83">
        <f t="shared" si="11"/>
        <v>-9.1742252269213873E-3</v>
      </c>
      <c r="AG83">
        <f t="shared" si="11"/>
        <v>-7.6705894535901284E-3</v>
      </c>
      <c r="AK83">
        <f t="shared" si="10"/>
        <v>2.7269126315083416E-5</v>
      </c>
    </row>
    <row r="84" spans="1:37" x14ac:dyDescent="0.3">
      <c r="A84" s="1">
        <v>44041</v>
      </c>
      <c r="B84">
        <v>1.179</v>
      </c>
      <c r="C84">
        <v>1.2995000000000001</v>
      </c>
      <c r="D84">
        <v>104.91</v>
      </c>
      <c r="G84">
        <v>1.179</v>
      </c>
      <c r="H84">
        <f t="shared" si="7"/>
        <v>1.1714</v>
      </c>
      <c r="I84">
        <f t="shared" si="7"/>
        <v>1.1751</v>
      </c>
      <c r="J84">
        <f t="shared" si="7"/>
        <v>1.1654</v>
      </c>
      <c r="L84">
        <f t="shared" si="6"/>
        <v>7.6000000000000512E-3</v>
      </c>
      <c r="W84">
        <f t="shared" si="8"/>
        <v>-1.6178149980967044E-3</v>
      </c>
      <c r="X84">
        <f t="shared" si="9"/>
        <v>-2.7522065103920113E-3</v>
      </c>
      <c r="Y84">
        <f t="shared" si="9"/>
        <v>-7.0674707877874101E-3</v>
      </c>
      <c r="Z84">
        <f t="shared" si="9"/>
        <v>-6.832007487131397E-3</v>
      </c>
      <c r="AE84">
        <f>W84-mu-theta*AE83</f>
        <v>-3.1334009389787669E-3</v>
      </c>
      <c r="AF84">
        <f t="shared" si="11"/>
        <v>-5.2219849018436864E-3</v>
      </c>
      <c r="AG84">
        <f t="shared" si="11"/>
        <v>-9.1742252269213873E-3</v>
      </c>
      <c r="AK84">
        <f t="shared" si="10"/>
        <v>9.8182014443930182E-6</v>
      </c>
    </row>
    <row r="85" spans="1:37" x14ac:dyDescent="0.3">
      <c r="A85" s="1">
        <v>44042</v>
      </c>
      <c r="B85">
        <v>1.1846000000000001</v>
      </c>
      <c r="C85">
        <v>1.3092999999999999</v>
      </c>
      <c r="D85">
        <v>104.72</v>
      </c>
      <c r="G85">
        <v>1.1846000000000001</v>
      </c>
      <c r="H85">
        <f t="shared" si="7"/>
        <v>1.179</v>
      </c>
      <c r="I85">
        <f t="shared" si="7"/>
        <v>1.1714</v>
      </c>
      <c r="J85">
        <f t="shared" si="7"/>
        <v>1.1751</v>
      </c>
      <c r="L85">
        <f t="shared" si="6"/>
        <v>5.6000000000000494E-3</v>
      </c>
      <c r="W85">
        <f t="shared" si="8"/>
        <v>-1.8110761605185182E-3</v>
      </c>
      <c r="X85">
        <f t="shared" si="9"/>
        <v>-1.6178149980967044E-3</v>
      </c>
      <c r="Y85">
        <f t="shared" si="9"/>
        <v>-2.7522065103920113E-3</v>
      </c>
      <c r="Z85">
        <f t="shared" si="9"/>
        <v>-7.0674707877874101E-3</v>
      </c>
      <c r="AE85">
        <f>W85-mu-theta*AE84</f>
        <v>-2.8224136534757216E-3</v>
      </c>
      <c r="AF85">
        <f t="shared" si="11"/>
        <v>-3.1334009389787669E-3</v>
      </c>
      <c r="AG85">
        <f t="shared" si="11"/>
        <v>-5.2219849018436864E-3</v>
      </c>
      <c r="AK85">
        <f t="shared" si="10"/>
        <v>7.9660188313261702E-6</v>
      </c>
    </row>
    <row r="86" spans="1:37" x14ac:dyDescent="0.3">
      <c r="A86" s="1">
        <v>44043</v>
      </c>
      <c r="B86">
        <v>1.1774</v>
      </c>
      <c r="C86">
        <v>1.3088</v>
      </c>
      <c r="D86">
        <v>105.88</v>
      </c>
      <c r="G86">
        <v>1.1774</v>
      </c>
      <c r="H86">
        <f t="shared" si="7"/>
        <v>1.1846000000000001</v>
      </c>
      <c r="I86">
        <f t="shared" si="7"/>
        <v>1.179</v>
      </c>
      <c r="J86">
        <f t="shared" si="7"/>
        <v>1.1714</v>
      </c>
      <c r="L86">
        <f t="shared" si="6"/>
        <v>-7.2000000000000952E-3</v>
      </c>
      <c r="W86">
        <f t="shared" si="8"/>
        <v>1.1077158135981632E-2</v>
      </c>
      <c r="X86">
        <f t="shared" si="9"/>
        <v>-1.8110761605185182E-3</v>
      </c>
      <c r="Y86">
        <f t="shared" si="9"/>
        <v>-1.6178149980967044E-3</v>
      </c>
      <c r="Z86">
        <f t="shared" si="9"/>
        <v>-2.7522065103920113E-3</v>
      </c>
      <c r="AE86">
        <f>W86-mu-theta*AE85</f>
        <v>1.0140902544842813E-2</v>
      </c>
      <c r="AF86">
        <f t="shared" si="11"/>
        <v>-2.8224136534757216E-3</v>
      </c>
      <c r="AG86">
        <f t="shared" si="11"/>
        <v>-3.1334009389787669E-3</v>
      </c>
      <c r="AK86">
        <f t="shared" si="10"/>
        <v>1.0283790442399946E-4</v>
      </c>
    </row>
    <row r="87" spans="1:37" x14ac:dyDescent="0.3">
      <c r="A87" s="1">
        <v>44046</v>
      </c>
      <c r="B87">
        <v>1.1760999999999999</v>
      </c>
      <c r="C87">
        <v>1.3071999999999999</v>
      </c>
      <c r="D87">
        <v>105.94</v>
      </c>
      <c r="G87">
        <v>1.1760999999999999</v>
      </c>
      <c r="H87">
        <f t="shared" si="7"/>
        <v>1.1774</v>
      </c>
      <c r="I87">
        <f t="shared" si="7"/>
        <v>1.1846000000000001</v>
      </c>
      <c r="J87">
        <f t="shared" si="7"/>
        <v>1.179</v>
      </c>
      <c r="L87">
        <f t="shared" si="6"/>
        <v>-1.3000000000000789E-3</v>
      </c>
      <c r="W87">
        <f t="shared" si="8"/>
        <v>5.6667925953912234E-4</v>
      </c>
      <c r="X87">
        <f t="shared" si="9"/>
        <v>1.1077158135981632E-2</v>
      </c>
      <c r="Y87">
        <f t="shared" si="9"/>
        <v>-1.8110761605185182E-3</v>
      </c>
      <c r="Z87">
        <f t="shared" si="9"/>
        <v>-1.6178149980967044E-3</v>
      </c>
      <c r="AE87">
        <f>W87-mu-theta*AE86</f>
        <v>2.7601671640818657E-3</v>
      </c>
      <c r="AF87">
        <f t="shared" si="11"/>
        <v>1.0140902544842813E-2</v>
      </c>
      <c r="AG87">
        <f t="shared" si="11"/>
        <v>-2.8224136534757216E-3</v>
      </c>
      <c r="AK87">
        <f t="shared" si="10"/>
        <v>7.6185227736757293E-6</v>
      </c>
    </row>
    <row r="88" spans="1:37" x14ac:dyDescent="0.3">
      <c r="A88" s="1">
        <v>44047</v>
      </c>
      <c r="B88">
        <v>1.18</v>
      </c>
      <c r="C88">
        <v>1.306</v>
      </c>
      <c r="D88">
        <v>105.7</v>
      </c>
      <c r="G88">
        <v>1.18</v>
      </c>
      <c r="H88">
        <f t="shared" si="7"/>
        <v>1.1760999999999999</v>
      </c>
      <c r="I88">
        <f t="shared" si="7"/>
        <v>1.1774</v>
      </c>
      <c r="J88">
        <f t="shared" si="7"/>
        <v>1.1846000000000001</v>
      </c>
      <c r="L88">
        <f t="shared" si="6"/>
        <v>3.9000000000000146E-3</v>
      </c>
      <c r="W88">
        <f t="shared" si="8"/>
        <v>-2.2654332641117133E-3</v>
      </c>
      <c r="X88">
        <f t="shared" si="9"/>
        <v>5.6667925953912234E-4</v>
      </c>
      <c r="Y88">
        <f t="shared" si="9"/>
        <v>1.1077158135981632E-2</v>
      </c>
      <c r="Z88">
        <f t="shared" si="9"/>
        <v>-1.8110761605185182E-3</v>
      </c>
      <c r="AE88">
        <f>W88-mu-theta*AE87</f>
        <v>-1.8538820336338685E-3</v>
      </c>
      <c r="AF88">
        <f t="shared" si="11"/>
        <v>2.7601671640818657E-3</v>
      </c>
      <c r="AG88">
        <f t="shared" si="11"/>
        <v>1.0140902544842813E-2</v>
      </c>
      <c r="AK88">
        <f t="shared" si="10"/>
        <v>3.436878594630448E-6</v>
      </c>
    </row>
    <row r="89" spans="1:37" x14ac:dyDescent="0.3">
      <c r="A89" s="1">
        <v>44048</v>
      </c>
      <c r="B89">
        <v>1.1860999999999999</v>
      </c>
      <c r="C89">
        <v>1.3111999999999999</v>
      </c>
      <c r="D89">
        <v>105.57</v>
      </c>
      <c r="G89">
        <v>1.1860999999999999</v>
      </c>
      <c r="H89">
        <f t="shared" si="7"/>
        <v>1.18</v>
      </c>
      <c r="I89">
        <f t="shared" si="7"/>
        <v>1.1760999999999999</v>
      </c>
      <c r="J89">
        <f t="shared" si="7"/>
        <v>1.1774</v>
      </c>
      <c r="L89">
        <f t="shared" si="6"/>
        <v>6.0999999999999943E-3</v>
      </c>
      <c r="W89">
        <f t="shared" si="8"/>
        <v>-1.2298959318827781E-3</v>
      </c>
      <c r="X89">
        <f t="shared" si="9"/>
        <v>-2.2654332641117133E-3</v>
      </c>
      <c r="Y89">
        <f t="shared" si="9"/>
        <v>5.6667925953912234E-4</v>
      </c>
      <c r="Z89">
        <f t="shared" si="9"/>
        <v>1.1077158135981632E-2</v>
      </c>
      <c r="AE89">
        <f>W89-mu-theta*AE88</f>
        <v>-1.9323181819853623E-3</v>
      </c>
      <c r="AF89">
        <f t="shared" si="11"/>
        <v>-1.8538820336338685E-3</v>
      </c>
      <c r="AG89">
        <f t="shared" si="11"/>
        <v>2.7601671640818657E-3</v>
      </c>
      <c r="AK89">
        <f t="shared" si="10"/>
        <v>3.7338535564312156E-6</v>
      </c>
    </row>
    <row r="90" spans="1:37" x14ac:dyDescent="0.3">
      <c r="A90" s="1">
        <v>44049</v>
      </c>
      <c r="B90">
        <v>1.1875</v>
      </c>
      <c r="C90">
        <v>1.3146</v>
      </c>
      <c r="D90">
        <v>105.54</v>
      </c>
      <c r="G90">
        <v>1.1875</v>
      </c>
      <c r="H90">
        <f t="shared" si="7"/>
        <v>1.1860999999999999</v>
      </c>
      <c r="I90">
        <f t="shared" si="7"/>
        <v>1.18</v>
      </c>
      <c r="J90">
        <f t="shared" si="7"/>
        <v>1.1760999999999999</v>
      </c>
      <c r="L90">
        <f t="shared" si="6"/>
        <v>1.4000000000000679E-3</v>
      </c>
      <c r="W90">
        <f t="shared" si="8"/>
        <v>-2.8417163967023708E-4</v>
      </c>
      <c r="X90">
        <f t="shared" si="9"/>
        <v>-1.2298959318827781E-3</v>
      </c>
      <c r="Y90">
        <f t="shared" si="9"/>
        <v>-2.2654332641117133E-3</v>
      </c>
      <c r="Z90">
        <f t="shared" si="9"/>
        <v>5.6667925953912234E-4</v>
      </c>
      <c r="AE90">
        <f>W90-mu-theta*AE89</f>
        <v>-1.0055307899744259E-3</v>
      </c>
      <c r="AF90">
        <f t="shared" si="11"/>
        <v>-1.9323181819853623E-3</v>
      </c>
      <c r="AG90">
        <f t="shared" si="11"/>
        <v>-1.8538820336338685E-3</v>
      </c>
      <c r="AK90">
        <f t="shared" si="10"/>
        <v>1.011092169586593E-6</v>
      </c>
    </row>
    <row r="91" spans="1:37" x14ac:dyDescent="0.3">
      <c r="A91" s="1">
        <v>44050</v>
      </c>
      <c r="B91">
        <v>1.1786000000000001</v>
      </c>
      <c r="C91">
        <v>1.3050999999999999</v>
      </c>
      <c r="D91">
        <v>105.91</v>
      </c>
      <c r="G91">
        <v>1.1786000000000001</v>
      </c>
      <c r="H91">
        <f t="shared" si="7"/>
        <v>1.1875</v>
      </c>
      <c r="I91">
        <f t="shared" si="7"/>
        <v>1.1860999999999999</v>
      </c>
      <c r="J91">
        <f t="shared" si="7"/>
        <v>1.18</v>
      </c>
      <c r="L91">
        <f t="shared" si="6"/>
        <v>-8.899999999999908E-3</v>
      </c>
      <c r="W91">
        <f t="shared" si="8"/>
        <v>3.5057797991282008E-3</v>
      </c>
      <c r="X91">
        <f t="shared" si="9"/>
        <v>-2.8417163967023708E-4</v>
      </c>
      <c r="Y91">
        <f t="shared" si="9"/>
        <v>-1.2298959318827781E-3</v>
      </c>
      <c r="Z91">
        <f t="shared" si="9"/>
        <v>-2.2654332641117133E-3</v>
      </c>
      <c r="AE91">
        <f>W91-mu-theta*AE90</f>
        <v>3.0081756485209371E-3</v>
      </c>
      <c r="AF91">
        <f t="shared" si="11"/>
        <v>-1.0055307899744259E-3</v>
      </c>
      <c r="AG91">
        <f t="shared" si="11"/>
        <v>-1.9323181819853623E-3</v>
      </c>
      <c r="AK91">
        <f t="shared" si="10"/>
        <v>9.0491207323543602E-6</v>
      </c>
    </row>
    <row r="92" spans="1:37" x14ac:dyDescent="0.3">
      <c r="A92" s="1">
        <v>44053</v>
      </c>
      <c r="B92">
        <v>1.1736</v>
      </c>
      <c r="C92">
        <v>1.3069999999999999</v>
      </c>
      <c r="D92">
        <v>105.95</v>
      </c>
      <c r="G92">
        <v>1.1736</v>
      </c>
      <c r="H92">
        <f t="shared" si="7"/>
        <v>1.1786000000000001</v>
      </c>
      <c r="I92">
        <f t="shared" si="7"/>
        <v>1.1875</v>
      </c>
      <c r="J92">
        <f t="shared" si="7"/>
        <v>1.1860999999999999</v>
      </c>
      <c r="L92">
        <f t="shared" si="6"/>
        <v>-5.0000000000001155E-3</v>
      </c>
      <c r="W92">
        <f t="shared" si="8"/>
        <v>3.7767916155232042E-4</v>
      </c>
      <c r="X92">
        <f t="shared" si="9"/>
        <v>3.5057797991282008E-3</v>
      </c>
      <c r="Y92">
        <f t="shared" si="9"/>
        <v>-2.8417163967023708E-4</v>
      </c>
      <c r="Z92">
        <f t="shared" si="9"/>
        <v>-1.2298959318827781E-3</v>
      </c>
      <c r="AE92">
        <f>W92-mu-theta*AE91</f>
        <v>8.4910727300508923E-4</v>
      </c>
      <c r="AF92">
        <f t="shared" si="11"/>
        <v>3.0081756485209371E-3</v>
      </c>
      <c r="AG92">
        <f t="shared" si="11"/>
        <v>-1.0055307899744259E-3</v>
      </c>
      <c r="AK92">
        <f t="shared" si="10"/>
        <v>7.2098316107013917E-7</v>
      </c>
    </row>
    <row r="93" spans="1:37" x14ac:dyDescent="0.3">
      <c r="A93" s="1">
        <v>44054</v>
      </c>
      <c r="B93">
        <v>1.1738999999999999</v>
      </c>
      <c r="C93">
        <v>1.3048</v>
      </c>
      <c r="D93">
        <v>106.48</v>
      </c>
      <c r="G93">
        <v>1.1738999999999999</v>
      </c>
      <c r="H93">
        <f t="shared" si="7"/>
        <v>1.1736</v>
      </c>
      <c r="I93">
        <f t="shared" si="7"/>
        <v>1.1786000000000001</v>
      </c>
      <c r="J93">
        <f t="shared" si="7"/>
        <v>1.1875</v>
      </c>
      <c r="L93">
        <f t="shared" si="6"/>
        <v>2.9999999999996696E-4</v>
      </c>
      <c r="W93">
        <f t="shared" si="8"/>
        <v>5.0023596035866083E-3</v>
      </c>
      <c r="X93">
        <f t="shared" si="9"/>
        <v>3.7767916155232042E-4</v>
      </c>
      <c r="Y93">
        <f t="shared" si="9"/>
        <v>3.5057797991282008E-3</v>
      </c>
      <c r="Z93">
        <f t="shared" si="9"/>
        <v>-2.8417163967023708E-4</v>
      </c>
      <c r="AE93">
        <f>W93-mu-theta*AE92</f>
        <v>4.9525221606375666E-3</v>
      </c>
      <c r="AF93">
        <f t="shared" si="11"/>
        <v>8.4910727300508923E-4</v>
      </c>
      <c r="AG93">
        <f t="shared" si="11"/>
        <v>3.0081756485209371E-3</v>
      </c>
      <c r="AK93">
        <f t="shared" si="10"/>
        <v>2.4527475751606192E-5</v>
      </c>
    </row>
    <row r="94" spans="1:37" x14ac:dyDescent="0.3">
      <c r="A94" s="1">
        <v>44055</v>
      </c>
      <c r="B94">
        <v>1.1781999999999999</v>
      </c>
      <c r="C94">
        <v>1.3031999999999999</v>
      </c>
      <c r="D94">
        <v>106.89</v>
      </c>
      <c r="G94">
        <v>1.1781999999999999</v>
      </c>
      <c r="H94">
        <f t="shared" si="7"/>
        <v>1.1738999999999999</v>
      </c>
      <c r="I94">
        <f t="shared" si="7"/>
        <v>1.1736</v>
      </c>
      <c r="J94">
        <f t="shared" si="7"/>
        <v>1.1786000000000001</v>
      </c>
      <c r="L94">
        <f t="shared" si="6"/>
        <v>4.2999999999999705E-3</v>
      </c>
      <c r="W94">
        <f t="shared" si="8"/>
        <v>3.8504883546205538E-3</v>
      </c>
      <c r="X94">
        <f t="shared" si="9"/>
        <v>5.0023596035866083E-3</v>
      </c>
      <c r="Y94">
        <f t="shared" si="9"/>
        <v>3.7767916155232042E-4</v>
      </c>
      <c r="Z94">
        <f t="shared" si="9"/>
        <v>3.5057797991282008E-3</v>
      </c>
      <c r="AE94">
        <f>W94-mu-theta*AE93</f>
        <v>4.7913415542646821E-3</v>
      </c>
      <c r="AF94">
        <f t="shared" si="11"/>
        <v>4.9525221606375666E-3</v>
      </c>
      <c r="AG94">
        <f t="shared" si="11"/>
        <v>8.4910727300508923E-4</v>
      </c>
      <c r="AK94">
        <f t="shared" si="10"/>
        <v>2.2956953889623501E-5</v>
      </c>
    </row>
    <row r="95" spans="1:37" x14ac:dyDescent="0.3">
      <c r="A95" s="1">
        <v>44056</v>
      </c>
      <c r="B95">
        <v>1.1812</v>
      </c>
      <c r="C95">
        <v>1.3063</v>
      </c>
      <c r="D95">
        <v>106.92</v>
      </c>
      <c r="G95">
        <v>1.1812</v>
      </c>
      <c r="H95">
        <f t="shared" si="7"/>
        <v>1.1781999999999999</v>
      </c>
      <c r="I95">
        <f t="shared" si="7"/>
        <v>1.1738999999999999</v>
      </c>
      <c r="J95">
        <f t="shared" si="7"/>
        <v>1.1736</v>
      </c>
      <c r="L95">
        <f t="shared" si="6"/>
        <v>3.0000000000001137E-3</v>
      </c>
      <c r="W95">
        <f t="shared" si="8"/>
        <v>2.806623631771086E-4</v>
      </c>
      <c r="X95">
        <f t="shared" si="9"/>
        <v>3.8504883546205538E-3</v>
      </c>
      <c r="Y95">
        <f t="shared" si="9"/>
        <v>5.0023596035866083E-3</v>
      </c>
      <c r="Z95">
        <f t="shared" si="9"/>
        <v>3.7767916155232042E-4</v>
      </c>
      <c r="AE95">
        <f>W95-mu-theta*AE94</f>
        <v>1.182601603869053E-3</v>
      </c>
      <c r="AF95">
        <f t="shared" si="11"/>
        <v>4.7913415542646821E-3</v>
      </c>
      <c r="AG95">
        <f t="shared" si="11"/>
        <v>4.9525221606375666E-3</v>
      </c>
      <c r="AK95">
        <f t="shared" si="10"/>
        <v>1.3985465534736566E-6</v>
      </c>
    </row>
    <row r="96" spans="1:37" x14ac:dyDescent="0.3">
      <c r="A96" s="1">
        <v>44057</v>
      </c>
      <c r="B96">
        <v>1.1840999999999999</v>
      </c>
      <c r="C96">
        <v>1.3084</v>
      </c>
      <c r="D96">
        <v>106.59</v>
      </c>
      <c r="G96">
        <v>1.1840999999999999</v>
      </c>
      <c r="H96">
        <f t="shared" si="7"/>
        <v>1.1812</v>
      </c>
      <c r="I96">
        <f t="shared" si="7"/>
        <v>1.1781999999999999</v>
      </c>
      <c r="J96">
        <f t="shared" si="7"/>
        <v>1.1738999999999999</v>
      </c>
      <c r="L96">
        <f t="shared" si="6"/>
        <v>2.8999999999999027E-3</v>
      </c>
      <c r="W96">
        <f t="shared" si="8"/>
        <v>-3.086419753086404E-3</v>
      </c>
      <c r="X96">
        <f t="shared" si="9"/>
        <v>2.806623631771086E-4</v>
      </c>
      <c r="Y96">
        <f t="shared" si="9"/>
        <v>3.8504883546205538E-3</v>
      </c>
      <c r="Z96">
        <f t="shared" si="9"/>
        <v>5.0023596035866083E-3</v>
      </c>
      <c r="AE96">
        <f>W96-mu-theta*AE95</f>
        <v>-3.0557414007790166E-3</v>
      </c>
      <c r="AF96">
        <f t="shared" si="11"/>
        <v>1.182601603869053E-3</v>
      </c>
      <c r="AG96">
        <f t="shared" si="11"/>
        <v>4.7913415542646821E-3</v>
      </c>
      <c r="AK96">
        <f t="shared" si="10"/>
        <v>9.3375555084349067E-6</v>
      </c>
    </row>
    <row r="97" spans="1:37" x14ac:dyDescent="0.3">
      <c r="A97" s="1">
        <v>44060</v>
      </c>
      <c r="B97">
        <v>1.1869000000000001</v>
      </c>
      <c r="C97">
        <v>1.3102</v>
      </c>
      <c r="D97">
        <v>105.99</v>
      </c>
      <c r="G97">
        <v>1.1869000000000001</v>
      </c>
      <c r="H97">
        <f t="shared" si="7"/>
        <v>1.1840999999999999</v>
      </c>
      <c r="I97">
        <f t="shared" si="7"/>
        <v>1.1812</v>
      </c>
      <c r="J97">
        <f t="shared" si="7"/>
        <v>1.1781999999999999</v>
      </c>
      <c r="L97">
        <f t="shared" si="6"/>
        <v>2.8000000000001357E-3</v>
      </c>
      <c r="W97">
        <f t="shared" si="8"/>
        <v>-5.6290458767239747E-3</v>
      </c>
      <c r="X97">
        <f t="shared" si="9"/>
        <v>-3.086419753086404E-3</v>
      </c>
      <c r="Y97">
        <f t="shared" si="9"/>
        <v>2.806623631771086E-4</v>
      </c>
      <c r="Z97">
        <f t="shared" si="9"/>
        <v>3.8504883546205538E-3</v>
      </c>
      <c r="AE97">
        <f>W97-mu-theta*AE96</f>
        <v>-6.6216339670715409E-3</v>
      </c>
      <c r="AF97">
        <f t="shared" si="11"/>
        <v>-3.0557414007790166E-3</v>
      </c>
      <c r="AG97">
        <f t="shared" si="11"/>
        <v>1.182601603869053E-3</v>
      </c>
      <c r="AK97">
        <f t="shared" si="10"/>
        <v>4.3846036393875591E-5</v>
      </c>
    </row>
    <row r="98" spans="1:37" x14ac:dyDescent="0.3">
      <c r="A98" s="1">
        <v>44061</v>
      </c>
      <c r="B98">
        <v>1.1929000000000001</v>
      </c>
      <c r="C98">
        <v>1.3234999999999999</v>
      </c>
      <c r="D98">
        <v>105.42</v>
      </c>
      <c r="G98">
        <v>1.1929000000000001</v>
      </c>
      <c r="H98">
        <f t="shared" si="7"/>
        <v>1.1869000000000001</v>
      </c>
      <c r="I98">
        <f t="shared" si="7"/>
        <v>1.1840999999999999</v>
      </c>
      <c r="J98">
        <f t="shared" si="7"/>
        <v>1.1812</v>
      </c>
      <c r="L98">
        <f t="shared" si="6"/>
        <v>6.0000000000000053E-3</v>
      </c>
      <c r="W98">
        <f t="shared" si="8"/>
        <v>-5.3778658363995962E-3</v>
      </c>
      <c r="X98">
        <f t="shared" si="9"/>
        <v>-5.6290458767239747E-3</v>
      </c>
      <c r="Y98">
        <f t="shared" si="9"/>
        <v>-3.086419753086404E-3</v>
      </c>
      <c r="Z98">
        <f t="shared" si="9"/>
        <v>2.806623631771086E-4</v>
      </c>
      <c r="AE98">
        <f>W98-mu-theta*AE97</f>
        <v>-7.2313701379170224E-3</v>
      </c>
      <c r="AF98">
        <f t="shared" si="11"/>
        <v>-6.6216339670715409E-3</v>
      </c>
      <c r="AG98">
        <f t="shared" si="11"/>
        <v>-3.0557414007790166E-3</v>
      </c>
      <c r="AK98">
        <f t="shared" si="10"/>
        <v>5.2292714071558055E-5</v>
      </c>
    </row>
    <row r="99" spans="1:37" x14ac:dyDescent="0.3">
      <c r="A99" s="1">
        <v>44062</v>
      </c>
      <c r="B99">
        <v>1.1836</v>
      </c>
      <c r="C99">
        <v>1.3098000000000001</v>
      </c>
      <c r="D99">
        <v>106.1</v>
      </c>
      <c r="G99">
        <v>1.1836</v>
      </c>
      <c r="H99">
        <f t="shared" si="7"/>
        <v>1.1929000000000001</v>
      </c>
      <c r="I99">
        <f t="shared" si="7"/>
        <v>1.1869000000000001</v>
      </c>
      <c r="J99">
        <f t="shared" si="7"/>
        <v>1.1840999999999999</v>
      </c>
      <c r="L99">
        <f t="shared" si="6"/>
        <v>-9.300000000000086E-3</v>
      </c>
      <c r="W99">
        <f t="shared" si="8"/>
        <v>6.4503889205083723E-3</v>
      </c>
      <c r="X99">
        <f t="shared" si="9"/>
        <v>-5.3778658363995962E-3</v>
      </c>
      <c r="Y99">
        <f t="shared" si="9"/>
        <v>-5.6290458767239747E-3</v>
      </c>
      <c r="Z99">
        <f t="shared" si="9"/>
        <v>-3.086419753086404E-3</v>
      </c>
      <c r="AE99">
        <f>W99-mu-theta*AE98</f>
        <v>4.4496755418079832E-3</v>
      </c>
      <c r="AF99">
        <f t="shared" si="11"/>
        <v>-7.2313701379170224E-3</v>
      </c>
      <c r="AG99">
        <f t="shared" si="11"/>
        <v>-6.6216339670715409E-3</v>
      </c>
      <c r="AK99">
        <f t="shared" si="10"/>
        <v>1.979961242736417E-5</v>
      </c>
    </row>
    <row r="100" spans="1:37" x14ac:dyDescent="0.3">
      <c r="A100" s="1">
        <v>44063</v>
      </c>
      <c r="B100">
        <v>1.1859</v>
      </c>
      <c r="C100">
        <v>1.3211999999999999</v>
      </c>
      <c r="D100">
        <v>105.79</v>
      </c>
      <c r="G100">
        <v>1.1859</v>
      </c>
      <c r="H100">
        <f t="shared" si="7"/>
        <v>1.1836</v>
      </c>
      <c r="I100">
        <f t="shared" si="7"/>
        <v>1.1929000000000001</v>
      </c>
      <c r="J100">
        <f t="shared" si="7"/>
        <v>1.1869000000000001</v>
      </c>
      <c r="L100">
        <f t="shared" si="6"/>
        <v>2.2999999999999687E-3</v>
      </c>
      <c r="W100">
        <f t="shared" si="8"/>
        <v>-2.9217719132892373E-3</v>
      </c>
      <c r="X100">
        <f t="shared" si="9"/>
        <v>6.4503889205083723E-3</v>
      </c>
      <c r="Y100">
        <f t="shared" si="9"/>
        <v>-5.3778658363995962E-3</v>
      </c>
      <c r="Z100">
        <f t="shared" si="9"/>
        <v>-5.6290458767239747E-3</v>
      </c>
      <c r="AE100">
        <f>W100-mu-theta*AE99</f>
        <v>-2.1023213632859082E-3</v>
      </c>
      <c r="AF100">
        <f t="shared" si="11"/>
        <v>4.4496755418079832E-3</v>
      </c>
      <c r="AG100">
        <f t="shared" si="11"/>
        <v>-7.2313701379170224E-3</v>
      </c>
      <c r="AK100">
        <f t="shared" si="10"/>
        <v>4.4197551145283199E-6</v>
      </c>
    </row>
    <row r="101" spans="1:37" x14ac:dyDescent="0.3">
      <c r="A101" s="1">
        <v>44064</v>
      </c>
      <c r="B101">
        <v>1.1795</v>
      </c>
      <c r="C101">
        <v>1.3087</v>
      </c>
      <c r="D101">
        <v>105.78</v>
      </c>
      <c r="G101">
        <v>1.1795</v>
      </c>
      <c r="H101">
        <f t="shared" si="7"/>
        <v>1.1859</v>
      </c>
      <c r="I101">
        <f t="shared" si="7"/>
        <v>1.1836</v>
      </c>
      <c r="J101">
        <f t="shared" si="7"/>
        <v>1.1929000000000001</v>
      </c>
      <c r="L101">
        <f t="shared" si="6"/>
        <v>-6.3999999999999613E-3</v>
      </c>
      <c r="W101">
        <f t="shared" si="8"/>
        <v>-9.45268929010787E-5</v>
      </c>
      <c r="X101">
        <f t="shared" si="9"/>
        <v>-2.9217719132892373E-3</v>
      </c>
      <c r="Y101">
        <f t="shared" si="9"/>
        <v>6.4503889205083723E-3</v>
      </c>
      <c r="Z101">
        <f t="shared" si="9"/>
        <v>-5.3778658363995962E-3</v>
      </c>
      <c r="AE101">
        <f>W101-mu-theta*AE100</f>
        <v>-8.5693004327290219E-4</v>
      </c>
      <c r="AF101">
        <f t="shared" si="11"/>
        <v>-2.1023213632859082E-3</v>
      </c>
      <c r="AG101">
        <f t="shared" si="11"/>
        <v>4.4496755418079832E-3</v>
      </c>
      <c r="AK101">
        <f t="shared" si="10"/>
        <v>7.3432909906369804E-7</v>
      </c>
    </row>
    <row r="102" spans="1:37" x14ac:dyDescent="0.3">
      <c r="A102" s="1">
        <v>44067</v>
      </c>
      <c r="B102">
        <v>1.1787000000000001</v>
      </c>
      <c r="C102">
        <v>1.3063</v>
      </c>
      <c r="D102">
        <v>105.97</v>
      </c>
      <c r="G102">
        <v>1.1787000000000001</v>
      </c>
      <c r="H102">
        <f t="shared" si="7"/>
        <v>1.1795</v>
      </c>
      <c r="I102">
        <f t="shared" si="7"/>
        <v>1.1859</v>
      </c>
      <c r="J102">
        <f t="shared" si="7"/>
        <v>1.1836</v>
      </c>
      <c r="L102">
        <f t="shared" si="6"/>
        <v>-7.9999999999991189E-4</v>
      </c>
      <c r="W102">
        <f t="shared" si="8"/>
        <v>1.796180752505178E-3</v>
      </c>
      <c r="X102">
        <f t="shared" si="9"/>
        <v>-9.45268929010787E-5</v>
      </c>
      <c r="Y102">
        <f t="shared" si="9"/>
        <v>-2.9217719132892373E-3</v>
      </c>
      <c r="Z102">
        <f t="shared" si="9"/>
        <v>6.4503889205083723E-3</v>
      </c>
      <c r="AE102">
        <f>W102-mu-theta*AE101</f>
        <v>1.3344533955614711E-3</v>
      </c>
      <c r="AF102">
        <f t="shared" si="11"/>
        <v>-8.5693004327290219E-4</v>
      </c>
      <c r="AG102">
        <f t="shared" si="11"/>
        <v>-2.1023213632859082E-3</v>
      </c>
      <c r="AK102">
        <f t="shared" si="10"/>
        <v>1.7807658649255402E-6</v>
      </c>
    </row>
    <row r="103" spans="1:37" x14ac:dyDescent="0.3">
      <c r="A103" s="1">
        <v>44068</v>
      </c>
      <c r="B103">
        <v>1.1833</v>
      </c>
      <c r="C103">
        <v>1.3149999999999999</v>
      </c>
      <c r="D103">
        <v>106.36</v>
      </c>
      <c r="G103">
        <v>1.1833</v>
      </c>
      <c r="H103">
        <f t="shared" si="7"/>
        <v>1.1787000000000001</v>
      </c>
      <c r="I103">
        <f t="shared" si="7"/>
        <v>1.1795</v>
      </c>
      <c r="J103">
        <f t="shared" si="7"/>
        <v>1.1859</v>
      </c>
      <c r="L103">
        <f t="shared" si="6"/>
        <v>4.5999999999999375E-3</v>
      </c>
      <c r="W103">
        <f t="shared" si="8"/>
        <v>3.6802868736434892E-3</v>
      </c>
      <c r="X103">
        <f t="shared" si="9"/>
        <v>1.796180752505178E-3</v>
      </c>
      <c r="Y103">
        <f t="shared" si="9"/>
        <v>-9.45268929010787E-5</v>
      </c>
      <c r="Z103">
        <f t="shared" si="9"/>
        <v>-2.9217719132892373E-3</v>
      </c>
      <c r="AE103">
        <f>W103-mu-theta*AE102</f>
        <v>3.7476269219309981E-3</v>
      </c>
      <c r="AF103">
        <f t="shared" si="11"/>
        <v>1.3344533955614711E-3</v>
      </c>
      <c r="AG103">
        <f t="shared" si="11"/>
        <v>-8.5693004327290219E-4</v>
      </c>
      <c r="AK103">
        <f t="shared" si="10"/>
        <v>1.4044707545982007E-5</v>
      </c>
    </row>
    <row r="104" spans="1:37" x14ac:dyDescent="0.3">
      <c r="A104" s="1">
        <v>44069</v>
      </c>
      <c r="B104">
        <v>1.1829000000000001</v>
      </c>
      <c r="C104">
        <v>1.3208</v>
      </c>
      <c r="D104">
        <v>105.98</v>
      </c>
      <c r="G104">
        <v>1.1829000000000001</v>
      </c>
      <c r="H104">
        <f t="shared" si="7"/>
        <v>1.1833</v>
      </c>
      <c r="I104">
        <f t="shared" si="7"/>
        <v>1.1787000000000001</v>
      </c>
      <c r="J104">
        <f t="shared" si="7"/>
        <v>1.1795</v>
      </c>
      <c r="L104">
        <f t="shared" si="6"/>
        <v>-3.9999999999995595E-4</v>
      </c>
      <c r="W104">
        <f t="shared" si="8"/>
        <v>-3.5727717186911944E-3</v>
      </c>
      <c r="X104">
        <f t="shared" si="9"/>
        <v>3.6802868736434892E-3</v>
      </c>
      <c r="Y104">
        <f t="shared" si="9"/>
        <v>1.796180752505178E-3</v>
      </c>
      <c r="Z104">
        <f t="shared" si="9"/>
        <v>-9.45268929010787E-5</v>
      </c>
      <c r="AE104">
        <f>W104-mu-theta*AE103</f>
        <v>-2.9228173121204548E-3</v>
      </c>
      <c r="AF104">
        <f t="shared" si="11"/>
        <v>3.7476269219309981E-3</v>
      </c>
      <c r="AG104">
        <f t="shared" si="11"/>
        <v>1.3344533955614711E-3</v>
      </c>
      <c r="AK104">
        <f t="shared" si="10"/>
        <v>8.5428610400310405E-6</v>
      </c>
    </row>
    <row r="105" spans="1:37" x14ac:dyDescent="0.3">
      <c r="A105" s="1">
        <v>44070</v>
      </c>
      <c r="B105">
        <v>1.1820999999999999</v>
      </c>
      <c r="C105">
        <v>1.3198000000000001</v>
      </c>
      <c r="D105">
        <v>106.55</v>
      </c>
      <c r="G105">
        <v>1.1820999999999999</v>
      </c>
      <c r="H105">
        <f t="shared" si="7"/>
        <v>1.1829000000000001</v>
      </c>
      <c r="I105">
        <f t="shared" si="7"/>
        <v>1.1833</v>
      </c>
      <c r="J105">
        <f t="shared" si="7"/>
        <v>1.1787000000000001</v>
      </c>
      <c r="L105">
        <f t="shared" si="6"/>
        <v>-8.0000000000013394E-4</v>
      </c>
      <c r="W105">
        <f t="shared" si="8"/>
        <v>5.378373277976912E-3</v>
      </c>
      <c r="X105">
        <f t="shared" si="9"/>
        <v>-3.5727717186911944E-3</v>
      </c>
      <c r="Y105">
        <f t="shared" si="9"/>
        <v>3.6802868736434892E-3</v>
      </c>
      <c r="Z105">
        <f t="shared" si="9"/>
        <v>1.796180752505178E-3</v>
      </c>
      <c r="AE105">
        <f>W105-mu-theta*AE104</f>
        <v>4.4178771535687781E-3</v>
      </c>
      <c r="AF105">
        <f t="shared" si="11"/>
        <v>-2.9228173121204548E-3</v>
      </c>
      <c r="AG105">
        <f t="shared" si="11"/>
        <v>3.7476269219309981E-3</v>
      </c>
      <c r="AK105">
        <f t="shared" si="10"/>
        <v>1.9517638544024967E-5</v>
      </c>
    </row>
    <row r="106" spans="1:37" x14ac:dyDescent="0.3">
      <c r="A106" s="1">
        <v>44071</v>
      </c>
      <c r="B106">
        <v>1.1902999999999999</v>
      </c>
      <c r="C106">
        <v>1.3349</v>
      </c>
      <c r="D106">
        <v>105.34</v>
      </c>
      <c r="G106">
        <v>1.1902999999999999</v>
      </c>
      <c r="H106">
        <f t="shared" si="7"/>
        <v>1.1820999999999999</v>
      </c>
      <c r="I106">
        <f t="shared" si="7"/>
        <v>1.1829000000000001</v>
      </c>
      <c r="J106">
        <f t="shared" si="7"/>
        <v>1.1833</v>
      </c>
      <c r="L106">
        <f t="shared" si="6"/>
        <v>8.1999999999999851E-3</v>
      </c>
      <c r="W106">
        <f t="shared" si="8"/>
        <v>-1.1356170811825377E-2</v>
      </c>
      <c r="X106">
        <f t="shared" si="9"/>
        <v>5.378373277976912E-3</v>
      </c>
      <c r="Y106">
        <f t="shared" si="9"/>
        <v>-3.5727717186911944E-3</v>
      </c>
      <c r="Z106">
        <f t="shared" si="9"/>
        <v>3.6802868736434892E-3</v>
      </c>
      <c r="AE106">
        <f>W106-mu-theta*AE105</f>
        <v>-1.0544397371385857E-2</v>
      </c>
      <c r="AF106">
        <f t="shared" si="11"/>
        <v>4.4178771535687781E-3</v>
      </c>
      <c r="AG106">
        <f t="shared" si="11"/>
        <v>-2.9228173121204548E-3</v>
      </c>
      <c r="AK106">
        <f t="shared" si="10"/>
        <v>1.1118431592568897E-4</v>
      </c>
    </row>
    <row r="107" spans="1:37" x14ac:dyDescent="0.3">
      <c r="A107" s="1">
        <v>44074</v>
      </c>
      <c r="B107">
        <v>1.1936</v>
      </c>
      <c r="C107">
        <v>1.3369</v>
      </c>
      <c r="D107">
        <v>105.89</v>
      </c>
      <c r="G107">
        <v>1.1936</v>
      </c>
      <c r="H107">
        <f t="shared" si="7"/>
        <v>1.1902999999999999</v>
      </c>
      <c r="I107">
        <f t="shared" si="7"/>
        <v>1.1820999999999999</v>
      </c>
      <c r="J107">
        <f t="shared" si="7"/>
        <v>1.1829000000000001</v>
      </c>
      <c r="L107">
        <f t="shared" si="6"/>
        <v>3.3000000000000806E-3</v>
      </c>
      <c r="W107">
        <f t="shared" si="8"/>
        <v>5.2211885323713413E-3</v>
      </c>
      <c r="X107">
        <f t="shared" si="9"/>
        <v>-1.1356170811825377E-2</v>
      </c>
      <c r="Y107">
        <f t="shared" si="9"/>
        <v>5.378373277976912E-3</v>
      </c>
      <c r="Z107">
        <f t="shared" si="9"/>
        <v>-3.5727717186911944E-3</v>
      </c>
      <c r="AE107">
        <f>W107-mu-theta*AE106</f>
        <v>2.420608416152823E-3</v>
      </c>
      <c r="AF107">
        <f t="shared" si="11"/>
        <v>-1.0544397371385857E-2</v>
      </c>
      <c r="AG107">
        <f t="shared" si="11"/>
        <v>4.4178771535687781E-3</v>
      </c>
      <c r="AK107">
        <f t="shared" si="10"/>
        <v>5.8593451043498781E-6</v>
      </c>
    </row>
    <row r="108" spans="1:37" x14ac:dyDescent="0.3">
      <c r="A108" s="1">
        <v>44075</v>
      </c>
      <c r="B108">
        <v>1.1910000000000001</v>
      </c>
      <c r="C108">
        <v>1.3381000000000001</v>
      </c>
      <c r="D108">
        <v>105.95</v>
      </c>
      <c r="G108">
        <v>1.1910000000000001</v>
      </c>
      <c r="H108">
        <f t="shared" si="7"/>
        <v>1.1936</v>
      </c>
      <c r="I108">
        <f t="shared" si="7"/>
        <v>1.1902999999999999</v>
      </c>
      <c r="J108">
        <f t="shared" si="7"/>
        <v>1.1820999999999999</v>
      </c>
      <c r="L108">
        <f t="shared" si="6"/>
        <v>-2.5999999999999357E-3</v>
      </c>
      <c r="W108">
        <f t="shared" si="8"/>
        <v>5.6662574369631012E-4</v>
      </c>
      <c r="X108">
        <f t="shared" si="9"/>
        <v>5.2211885323713413E-3</v>
      </c>
      <c r="Y108">
        <f t="shared" si="9"/>
        <v>-1.1356170811825377E-2</v>
      </c>
      <c r="Z108">
        <f t="shared" si="9"/>
        <v>5.378373277976912E-3</v>
      </c>
      <c r="AE108">
        <f>W108-mu-theta*AE107</f>
        <v>8.9619704199672755E-4</v>
      </c>
      <c r="AF108">
        <f t="shared" si="11"/>
        <v>2.420608416152823E-3</v>
      </c>
      <c r="AG108">
        <f t="shared" si="11"/>
        <v>-1.0544397371385857E-2</v>
      </c>
      <c r="AK108">
        <f t="shared" si="10"/>
        <v>8.0316913808368427E-7</v>
      </c>
    </row>
    <row r="109" spans="1:37" x14ac:dyDescent="0.3">
      <c r="A109" s="1">
        <v>44076</v>
      </c>
      <c r="B109">
        <v>1.1853</v>
      </c>
      <c r="C109">
        <v>1.3351999999999999</v>
      </c>
      <c r="D109">
        <v>106.18</v>
      </c>
      <c r="G109">
        <v>1.1853</v>
      </c>
      <c r="H109">
        <f t="shared" si="7"/>
        <v>1.1910000000000001</v>
      </c>
      <c r="I109">
        <f t="shared" si="7"/>
        <v>1.1936</v>
      </c>
      <c r="J109">
        <f t="shared" si="7"/>
        <v>1.1902999999999999</v>
      </c>
      <c r="L109">
        <f t="shared" si="6"/>
        <v>-5.7000000000000384E-3</v>
      </c>
      <c r="W109">
        <f t="shared" si="8"/>
        <v>2.170835299669693E-3</v>
      </c>
      <c r="X109">
        <f t="shared" si="9"/>
        <v>5.6662574369631012E-4</v>
      </c>
      <c r="Y109">
        <f t="shared" si="9"/>
        <v>5.2211885323713413E-3</v>
      </c>
      <c r="Z109">
        <f t="shared" si="9"/>
        <v>-1.1356170811825377E-2</v>
      </c>
      <c r="AE109">
        <f>W109-mu-theta*AE108</f>
        <v>2.1323667762131685E-3</v>
      </c>
      <c r="AF109">
        <f t="shared" si="11"/>
        <v>8.9619704199672755E-4</v>
      </c>
      <c r="AG109">
        <f t="shared" si="11"/>
        <v>2.420608416152823E-3</v>
      </c>
      <c r="AK109">
        <f t="shared" si="10"/>
        <v>4.5469880682977407E-6</v>
      </c>
    </row>
    <row r="110" spans="1:37" x14ac:dyDescent="0.3">
      <c r="A110" s="1">
        <v>44077</v>
      </c>
      <c r="B110">
        <v>1.1849000000000001</v>
      </c>
      <c r="C110">
        <v>1.3280000000000001</v>
      </c>
      <c r="D110">
        <v>106.17</v>
      </c>
      <c r="G110">
        <v>1.1849000000000001</v>
      </c>
      <c r="H110">
        <f t="shared" si="7"/>
        <v>1.1853</v>
      </c>
      <c r="I110">
        <f t="shared" si="7"/>
        <v>1.1910000000000001</v>
      </c>
      <c r="J110">
        <f t="shared" si="7"/>
        <v>1.1936</v>
      </c>
      <c r="L110">
        <f t="shared" si="6"/>
        <v>-3.9999999999995595E-4</v>
      </c>
      <c r="W110">
        <f t="shared" si="8"/>
        <v>-9.4179694857836831E-5</v>
      </c>
      <c r="X110">
        <f t="shared" si="9"/>
        <v>2.170835299669693E-3</v>
      </c>
      <c r="Y110">
        <f t="shared" si="9"/>
        <v>5.6662574369631012E-4</v>
      </c>
      <c r="Z110">
        <f t="shared" si="9"/>
        <v>5.2211885323713413E-3</v>
      </c>
      <c r="AE110">
        <f>W110-mu-theta*AE109</f>
        <v>1.6580120049439564E-4</v>
      </c>
      <c r="AF110">
        <f t="shared" si="11"/>
        <v>2.1323667762131685E-3</v>
      </c>
      <c r="AG110">
        <f t="shared" si="11"/>
        <v>8.9619704199672755E-4</v>
      </c>
      <c r="AK110">
        <f t="shared" si="10"/>
        <v>2.7490038085382783E-8</v>
      </c>
    </row>
    <row r="111" spans="1:37" x14ac:dyDescent="0.3">
      <c r="A111" s="1">
        <v>44078</v>
      </c>
      <c r="B111">
        <v>1.1838</v>
      </c>
      <c r="C111">
        <v>1.3282</v>
      </c>
      <c r="D111">
        <v>106.23</v>
      </c>
      <c r="G111">
        <v>1.1838</v>
      </c>
      <c r="H111">
        <f t="shared" si="7"/>
        <v>1.1849000000000001</v>
      </c>
      <c r="I111">
        <f t="shared" si="7"/>
        <v>1.1853</v>
      </c>
      <c r="J111">
        <f t="shared" si="7"/>
        <v>1.1910000000000001</v>
      </c>
      <c r="L111">
        <f t="shared" si="6"/>
        <v>-1.1000000000001009E-3</v>
      </c>
      <c r="W111">
        <f t="shared" si="8"/>
        <v>5.6513139304890524E-4</v>
      </c>
      <c r="X111">
        <f t="shared" si="9"/>
        <v>-9.4179694857836831E-5</v>
      </c>
      <c r="Y111">
        <f t="shared" si="9"/>
        <v>2.170835299669693E-3</v>
      </c>
      <c r="Z111">
        <f t="shared" si="9"/>
        <v>5.6662574369631012E-4</v>
      </c>
      <c r="AE111">
        <f>W111-mu-theta*AE110</f>
        <v>3.5032283443137043E-4</v>
      </c>
      <c r="AF111">
        <f t="shared" si="11"/>
        <v>1.6580120049439564E-4</v>
      </c>
      <c r="AG111">
        <f t="shared" si="11"/>
        <v>2.1323667762131685E-3</v>
      </c>
      <c r="AK111">
        <f t="shared" si="10"/>
        <v>1.2272608832402937E-7</v>
      </c>
    </row>
    <row r="112" spans="1:37" x14ac:dyDescent="0.3">
      <c r="A112" s="1">
        <v>44081</v>
      </c>
      <c r="B112">
        <v>1.1817</v>
      </c>
      <c r="C112">
        <v>1.3166</v>
      </c>
      <c r="D112">
        <v>106.25</v>
      </c>
      <c r="G112">
        <v>1.1817</v>
      </c>
      <c r="H112">
        <f t="shared" si="7"/>
        <v>1.1838</v>
      </c>
      <c r="I112">
        <f t="shared" si="7"/>
        <v>1.1849000000000001</v>
      </c>
      <c r="J112">
        <f t="shared" si="7"/>
        <v>1.1853</v>
      </c>
      <c r="L112">
        <f t="shared" si="6"/>
        <v>-2.0999999999999908E-3</v>
      </c>
      <c r="W112">
        <f t="shared" si="8"/>
        <v>1.8827073331446878E-4</v>
      </c>
      <c r="X112">
        <f t="shared" si="9"/>
        <v>5.6513139304890524E-4</v>
      </c>
      <c r="Y112">
        <f t="shared" si="9"/>
        <v>-9.4179694857836831E-5</v>
      </c>
      <c r="Z112">
        <f t="shared" si="9"/>
        <v>2.170835299669693E-3</v>
      </c>
      <c r="AE112">
        <f>W112-mu-theta*AE111</f>
        <v>1.8011376058055546E-5</v>
      </c>
      <c r="AF112">
        <f t="shared" si="11"/>
        <v>3.5032283443137043E-4</v>
      </c>
      <c r="AG112">
        <f t="shared" si="11"/>
        <v>1.6580120049439564E-4</v>
      </c>
      <c r="AK112">
        <f t="shared" si="10"/>
        <v>3.2440966750469656E-10</v>
      </c>
    </row>
    <row r="113" spans="1:37" x14ac:dyDescent="0.3">
      <c r="A113" s="1">
        <v>44082</v>
      </c>
      <c r="B113">
        <v>1.1778999999999999</v>
      </c>
      <c r="C113">
        <v>1.2987</v>
      </c>
      <c r="D113">
        <v>106.01</v>
      </c>
      <c r="G113">
        <v>1.1778999999999999</v>
      </c>
      <c r="H113">
        <f t="shared" si="7"/>
        <v>1.1817</v>
      </c>
      <c r="I113">
        <f t="shared" si="7"/>
        <v>1.1838</v>
      </c>
      <c r="J113">
        <f t="shared" si="7"/>
        <v>1.1849000000000001</v>
      </c>
      <c r="L113">
        <f t="shared" si="6"/>
        <v>-3.8000000000000256E-3</v>
      </c>
      <c r="W113">
        <f t="shared" si="8"/>
        <v>-2.2588235294117164E-3</v>
      </c>
      <c r="X113">
        <f t="shared" si="9"/>
        <v>1.8827073331446878E-4</v>
      </c>
      <c r="Y113">
        <f t="shared" si="9"/>
        <v>5.6513139304890524E-4</v>
      </c>
      <c r="Z113">
        <f t="shared" si="9"/>
        <v>-9.4179694857836831E-5</v>
      </c>
      <c r="AE113">
        <f>W113-mu-theta*AE112</f>
        <v>-2.5093131001006496E-3</v>
      </c>
      <c r="AF113">
        <f t="shared" si="11"/>
        <v>1.8011376058055546E-5</v>
      </c>
      <c r="AG113">
        <f t="shared" si="11"/>
        <v>3.5032283443137043E-4</v>
      </c>
      <c r="AK113">
        <f t="shared" si="10"/>
        <v>6.2966522343367324E-6</v>
      </c>
    </row>
    <row r="114" spans="1:37" x14ac:dyDescent="0.3">
      <c r="A114" s="1">
        <v>44083</v>
      </c>
      <c r="B114">
        <v>1.1801999999999999</v>
      </c>
      <c r="C114">
        <v>1.3</v>
      </c>
      <c r="D114">
        <v>106.17</v>
      </c>
      <c r="G114">
        <v>1.1801999999999999</v>
      </c>
      <c r="H114">
        <f t="shared" si="7"/>
        <v>1.1778999999999999</v>
      </c>
      <c r="I114">
        <f t="shared" si="7"/>
        <v>1.1817</v>
      </c>
      <c r="J114">
        <f t="shared" si="7"/>
        <v>1.1838</v>
      </c>
      <c r="L114">
        <f t="shared" si="6"/>
        <v>2.2999999999999687E-3</v>
      </c>
      <c r="W114">
        <f t="shared" si="8"/>
        <v>1.5092915762663576E-3</v>
      </c>
      <c r="X114">
        <f t="shared" si="9"/>
        <v>-2.2588235294117164E-3</v>
      </c>
      <c r="Y114">
        <f t="shared" si="9"/>
        <v>1.8827073331446878E-4</v>
      </c>
      <c r="Z114">
        <f t="shared" si="9"/>
        <v>5.6513139304890524E-4</v>
      </c>
      <c r="AE114">
        <f>W114-mu-theta*AE113</f>
        <v>6.486280948492033E-4</v>
      </c>
      <c r="AF114">
        <f t="shared" si="11"/>
        <v>-2.5093131001006496E-3</v>
      </c>
      <c r="AG114">
        <f t="shared" si="11"/>
        <v>1.8011376058055546E-5</v>
      </c>
      <c r="AK114">
        <f t="shared" si="10"/>
        <v>4.2071840542770707E-7</v>
      </c>
    </row>
    <row r="115" spans="1:37" x14ac:dyDescent="0.3">
      <c r="A115" s="1">
        <v>44084</v>
      </c>
      <c r="B115">
        <v>1.1813</v>
      </c>
      <c r="C115">
        <v>1.2803</v>
      </c>
      <c r="D115">
        <v>106.13</v>
      </c>
      <c r="G115">
        <v>1.1813</v>
      </c>
      <c r="H115">
        <f t="shared" si="7"/>
        <v>1.1801999999999999</v>
      </c>
      <c r="I115">
        <f t="shared" si="7"/>
        <v>1.1778999999999999</v>
      </c>
      <c r="J115">
        <f t="shared" si="7"/>
        <v>1.1817</v>
      </c>
      <c r="L115">
        <f t="shared" si="6"/>
        <v>1.1000000000001009E-3</v>
      </c>
      <c r="W115">
        <f t="shared" si="8"/>
        <v>-3.7675426203264811E-4</v>
      </c>
      <c r="X115">
        <f t="shared" si="9"/>
        <v>1.5092915762663576E-3</v>
      </c>
      <c r="Y115">
        <f t="shared" si="9"/>
        <v>-2.2588235294117164E-3</v>
      </c>
      <c r="Z115">
        <f t="shared" si="9"/>
        <v>1.8827073331446878E-4</v>
      </c>
      <c r="AE115">
        <f>W115-mu-theta*AE114</f>
        <v>-4.7499354863450105E-4</v>
      </c>
      <c r="AF115">
        <f t="shared" si="11"/>
        <v>6.486280948492033E-4</v>
      </c>
      <c r="AG115">
        <f t="shared" si="11"/>
        <v>-2.5093131001006496E-3</v>
      </c>
      <c r="AK115">
        <f t="shared" si="10"/>
        <v>2.2561887124439612E-7</v>
      </c>
    </row>
    <row r="116" spans="1:37" x14ac:dyDescent="0.3">
      <c r="A116" s="1">
        <v>44085</v>
      </c>
      <c r="B116">
        <v>1.1845000000000001</v>
      </c>
      <c r="C116">
        <v>1.2793000000000001</v>
      </c>
      <c r="D116">
        <v>106.14</v>
      </c>
      <c r="G116">
        <v>1.1845000000000001</v>
      </c>
      <c r="H116">
        <f t="shared" si="7"/>
        <v>1.1813</v>
      </c>
      <c r="I116">
        <f t="shared" si="7"/>
        <v>1.1801999999999999</v>
      </c>
      <c r="J116">
        <f t="shared" si="7"/>
        <v>1.1778999999999999</v>
      </c>
      <c r="L116">
        <f t="shared" si="6"/>
        <v>3.2000000000000917E-3</v>
      </c>
      <c r="W116">
        <f t="shared" si="8"/>
        <v>9.4224064826204813E-5</v>
      </c>
      <c r="X116">
        <f t="shared" si="9"/>
        <v>-3.7675426203264811E-4</v>
      </c>
      <c r="Y116">
        <f t="shared" si="9"/>
        <v>1.5092915762663576E-3</v>
      </c>
      <c r="Z116">
        <f t="shared" si="9"/>
        <v>-2.2588235294117164E-3</v>
      </c>
      <c r="AE116">
        <f>W116-mu-theta*AE115</f>
        <v>-2.7529206764601992E-4</v>
      </c>
      <c r="AF116">
        <f t="shared" si="11"/>
        <v>-4.7499354863450105E-4</v>
      </c>
      <c r="AG116">
        <f t="shared" si="11"/>
        <v>6.486280948492033E-4</v>
      </c>
      <c r="AK116">
        <f t="shared" si="10"/>
        <v>7.5785722508820803E-8</v>
      </c>
    </row>
    <row r="117" spans="1:37" x14ac:dyDescent="0.3">
      <c r="A117" s="1">
        <v>44088</v>
      </c>
      <c r="B117">
        <v>1.1868000000000001</v>
      </c>
      <c r="C117">
        <v>1.2844</v>
      </c>
      <c r="D117">
        <v>105.72</v>
      </c>
      <c r="G117">
        <v>1.1868000000000001</v>
      </c>
      <c r="H117">
        <f t="shared" si="7"/>
        <v>1.1845000000000001</v>
      </c>
      <c r="I117">
        <f t="shared" si="7"/>
        <v>1.1813</v>
      </c>
      <c r="J117">
        <f t="shared" si="7"/>
        <v>1.1801999999999999</v>
      </c>
      <c r="L117">
        <f t="shared" si="6"/>
        <v>2.2999999999999687E-3</v>
      </c>
      <c r="W117">
        <f t="shared" si="8"/>
        <v>-3.9570378745053866E-3</v>
      </c>
      <c r="X117">
        <f t="shared" si="9"/>
        <v>9.4224064826204813E-5</v>
      </c>
      <c r="Y117">
        <f t="shared" si="9"/>
        <v>-3.7675426203264811E-4</v>
      </c>
      <c r="Z117">
        <f t="shared" si="9"/>
        <v>1.5092915762663576E-3</v>
      </c>
      <c r="AE117">
        <f>W117-mu-theta*AE116</f>
        <v>-4.2783399233558032E-3</v>
      </c>
      <c r="AF117">
        <f t="shared" si="11"/>
        <v>-2.7529206764601992E-4</v>
      </c>
      <c r="AG117">
        <f t="shared" si="11"/>
        <v>-4.7499354863450105E-4</v>
      </c>
      <c r="AK117">
        <f t="shared" si="10"/>
        <v>1.830419249978014E-5</v>
      </c>
    </row>
    <row r="118" spans="1:37" x14ac:dyDescent="0.3">
      <c r="A118" s="1">
        <v>44089</v>
      </c>
      <c r="B118">
        <v>1.1845000000000001</v>
      </c>
      <c r="C118">
        <v>1.2886</v>
      </c>
      <c r="D118">
        <v>105.43</v>
      </c>
      <c r="G118">
        <v>1.1845000000000001</v>
      </c>
      <c r="H118">
        <f t="shared" si="7"/>
        <v>1.1868000000000001</v>
      </c>
      <c r="I118">
        <f t="shared" si="7"/>
        <v>1.1845000000000001</v>
      </c>
      <c r="J118">
        <f t="shared" si="7"/>
        <v>1.1813</v>
      </c>
      <c r="L118">
        <f t="shared" si="6"/>
        <v>-2.2999999999999687E-3</v>
      </c>
      <c r="W118">
        <f t="shared" si="8"/>
        <v>-2.743094967839501E-3</v>
      </c>
      <c r="X118">
        <f t="shared" si="9"/>
        <v>-3.9570378745053866E-3</v>
      </c>
      <c r="Y118">
        <f t="shared" si="9"/>
        <v>9.4224064826204813E-5</v>
      </c>
      <c r="Z118">
        <f t="shared" si="9"/>
        <v>-3.7675426203264811E-4</v>
      </c>
      <c r="AE118">
        <f>W118-mu-theta*AE117</f>
        <v>-4.0308559688317144E-3</v>
      </c>
      <c r="AF118">
        <f t="shared" si="11"/>
        <v>-4.2783399233558032E-3</v>
      </c>
      <c r="AG118">
        <f t="shared" si="11"/>
        <v>-2.7529206764601992E-4</v>
      </c>
      <c r="AK118">
        <f t="shared" si="10"/>
        <v>1.6247799841466258E-5</v>
      </c>
    </row>
    <row r="119" spans="1:37" x14ac:dyDescent="0.3">
      <c r="A119" s="1">
        <v>44090</v>
      </c>
      <c r="B119">
        <v>1.1814</v>
      </c>
      <c r="C119">
        <v>1.2965</v>
      </c>
      <c r="D119">
        <v>104.94</v>
      </c>
      <c r="G119">
        <v>1.1814</v>
      </c>
      <c r="H119">
        <f t="shared" si="7"/>
        <v>1.1845000000000001</v>
      </c>
      <c r="I119">
        <f t="shared" si="7"/>
        <v>1.1868000000000001</v>
      </c>
      <c r="J119">
        <f t="shared" si="7"/>
        <v>1.1845000000000001</v>
      </c>
      <c r="L119">
        <f t="shared" si="6"/>
        <v>-3.1000000000001027E-3</v>
      </c>
      <c r="W119">
        <f t="shared" si="8"/>
        <v>-4.6476335009011582E-3</v>
      </c>
      <c r="X119">
        <f t="shared" si="9"/>
        <v>-2.743094967839501E-3</v>
      </c>
      <c r="Y119">
        <f t="shared" si="9"/>
        <v>-3.9570378745053866E-3</v>
      </c>
      <c r="Z119">
        <f t="shared" si="9"/>
        <v>9.4224064826204813E-5</v>
      </c>
      <c r="AE119">
        <f>W119-mu-theta*AE118</f>
        <v>-5.875644258583116E-3</v>
      </c>
      <c r="AF119">
        <f t="shared" si="11"/>
        <v>-4.0308559688317144E-3</v>
      </c>
      <c r="AG119">
        <f t="shared" si="11"/>
        <v>-4.2783399233558032E-3</v>
      </c>
      <c r="AK119">
        <f t="shared" si="10"/>
        <v>3.4523195453420736E-5</v>
      </c>
    </row>
    <row r="120" spans="1:37" x14ac:dyDescent="0.3">
      <c r="A120" s="1">
        <v>44091</v>
      </c>
      <c r="B120">
        <v>1.1847000000000001</v>
      </c>
      <c r="C120">
        <v>1.2971999999999999</v>
      </c>
      <c r="D120">
        <v>104.73</v>
      </c>
      <c r="G120">
        <v>1.1847000000000001</v>
      </c>
      <c r="H120">
        <f t="shared" si="7"/>
        <v>1.1814</v>
      </c>
      <c r="I120">
        <f t="shared" si="7"/>
        <v>1.1845000000000001</v>
      </c>
      <c r="J120">
        <f t="shared" si="7"/>
        <v>1.1868000000000001</v>
      </c>
      <c r="L120">
        <f t="shared" si="6"/>
        <v>3.3000000000000806E-3</v>
      </c>
      <c r="W120">
        <f t="shared" si="8"/>
        <v>-2.0011435105774132E-3</v>
      </c>
      <c r="X120">
        <f t="shared" si="9"/>
        <v>-4.6476335009011582E-3</v>
      </c>
      <c r="Y120">
        <f t="shared" si="9"/>
        <v>-2.743094967839501E-3</v>
      </c>
      <c r="Z120">
        <f t="shared" si="9"/>
        <v>-3.9570378745053866E-3</v>
      </c>
      <c r="AE120">
        <f>W120-mu-theta*AE119</f>
        <v>-3.674542937518851E-3</v>
      </c>
      <c r="AF120">
        <f t="shared" si="11"/>
        <v>-5.875644258583116E-3</v>
      </c>
      <c r="AG120">
        <f t="shared" si="11"/>
        <v>-4.0308559688317144E-3</v>
      </c>
      <c r="AK120">
        <f t="shared" si="10"/>
        <v>1.3502265799669667E-5</v>
      </c>
    </row>
    <row r="121" spans="1:37" x14ac:dyDescent="0.3">
      <c r="A121" s="1">
        <v>44092</v>
      </c>
      <c r="B121">
        <v>1.1837</v>
      </c>
      <c r="C121">
        <v>1.2915000000000001</v>
      </c>
      <c r="D121">
        <v>104.55</v>
      </c>
      <c r="G121">
        <v>1.1837</v>
      </c>
      <c r="H121">
        <f t="shared" si="7"/>
        <v>1.1847000000000001</v>
      </c>
      <c r="I121">
        <f t="shared" si="7"/>
        <v>1.1814</v>
      </c>
      <c r="J121">
        <f t="shared" si="7"/>
        <v>1.1845000000000001</v>
      </c>
      <c r="L121">
        <f t="shared" si="6"/>
        <v>-1.0000000000001119E-3</v>
      </c>
      <c r="W121">
        <f t="shared" si="8"/>
        <v>-1.7187052420510533E-3</v>
      </c>
      <c r="X121">
        <f t="shared" si="9"/>
        <v>-2.0011435105774132E-3</v>
      </c>
      <c r="Y121">
        <f t="shared" si="9"/>
        <v>-4.6476335009011582E-3</v>
      </c>
      <c r="Z121">
        <f t="shared" si="9"/>
        <v>-2.743094967839501E-3</v>
      </c>
      <c r="AE121">
        <f>W121-mu-theta*AE120</f>
        <v>-2.8606910679086477E-3</v>
      </c>
      <c r="AF121">
        <f t="shared" si="11"/>
        <v>-3.674542937518851E-3</v>
      </c>
      <c r="AG121">
        <f t="shared" si="11"/>
        <v>-5.875644258583116E-3</v>
      </c>
      <c r="AK121">
        <f t="shared" si="10"/>
        <v>8.1835533860123201E-6</v>
      </c>
    </row>
    <row r="122" spans="1:37" x14ac:dyDescent="0.3">
      <c r="A122" s="1">
        <v>44095</v>
      </c>
      <c r="B122">
        <v>1.1769000000000001</v>
      </c>
      <c r="C122">
        <v>1.2814000000000001</v>
      </c>
      <c r="D122">
        <v>104.64</v>
      </c>
      <c r="G122">
        <v>1.1769000000000001</v>
      </c>
      <c r="H122">
        <f t="shared" si="7"/>
        <v>1.1837</v>
      </c>
      <c r="I122">
        <f t="shared" si="7"/>
        <v>1.1847000000000001</v>
      </c>
      <c r="J122">
        <f t="shared" si="7"/>
        <v>1.1814</v>
      </c>
      <c r="L122">
        <f t="shared" si="6"/>
        <v>-6.7999999999999172E-3</v>
      </c>
      <c r="W122">
        <f t="shared" si="8"/>
        <v>8.6083213773317465E-4</v>
      </c>
      <c r="X122">
        <f t="shared" si="9"/>
        <v>-1.7187052420510533E-3</v>
      </c>
      <c r="Y122">
        <f t="shared" si="9"/>
        <v>-2.0011435105774132E-3</v>
      </c>
      <c r="Z122">
        <f t="shared" si="9"/>
        <v>-4.6476335009011582E-3</v>
      </c>
      <c r="AE122">
        <f>W122-mu-theta*AE121</f>
        <v>-8.4664799294322055E-5</v>
      </c>
      <c r="AF122">
        <f t="shared" si="11"/>
        <v>-2.8606910679086477E-3</v>
      </c>
      <c r="AG122">
        <f t="shared" si="11"/>
        <v>-3.674542937518851E-3</v>
      </c>
      <c r="AK122">
        <f t="shared" si="10"/>
        <v>7.1681282395478364E-9</v>
      </c>
    </row>
    <row r="123" spans="1:37" x14ac:dyDescent="0.3">
      <c r="A123" s="1">
        <v>44096</v>
      </c>
      <c r="B123">
        <v>1.1706000000000001</v>
      </c>
      <c r="C123">
        <v>1.2730999999999999</v>
      </c>
      <c r="D123">
        <v>104.91</v>
      </c>
      <c r="G123">
        <v>1.1706000000000001</v>
      </c>
      <c r="H123">
        <f t="shared" si="7"/>
        <v>1.1769000000000001</v>
      </c>
      <c r="I123">
        <f t="shared" si="7"/>
        <v>1.1837</v>
      </c>
      <c r="J123">
        <f t="shared" si="7"/>
        <v>1.1847000000000001</v>
      </c>
      <c r="L123">
        <f t="shared" si="6"/>
        <v>-6.2999999999999723E-3</v>
      </c>
      <c r="W123">
        <f t="shared" si="8"/>
        <v>2.5802752293577601E-3</v>
      </c>
      <c r="X123">
        <f t="shared" si="9"/>
        <v>8.6083213773317465E-4</v>
      </c>
      <c r="Y123">
        <f t="shared" si="9"/>
        <v>-1.7187052420510533E-3</v>
      </c>
      <c r="Z123">
        <f t="shared" si="9"/>
        <v>-2.0011435105774132E-3</v>
      </c>
      <c r="AE123">
        <f>W123-mu-theta*AE122</f>
        <v>2.3049964699261931E-3</v>
      </c>
      <c r="AF123">
        <f t="shared" si="11"/>
        <v>-8.4664799294322055E-5</v>
      </c>
      <c r="AG123">
        <f t="shared" si="11"/>
        <v>-2.8606910679086477E-3</v>
      </c>
      <c r="AK123">
        <f t="shared" si="10"/>
        <v>5.313008726372212E-6</v>
      </c>
    </row>
    <row r="124" spans="1:37" x14ac:dyDescent="0.3">
      <c r="A124" s="1">
        <v>44097</v>
      </c>
      <c r="B124">
        <v>1.1658999999999999</v>
      </c>
      <c r="C124">
        <v>1.2722</v>
      </c>
      <c r="D124">
        <v>105.37</v>
      </c>
      <c r="G124">
        <v>1.1658999999999999</v>
      </c>
      <c r="H124">
        <f t="shared" si="7"/>
        <v>1.1706000000000001</v>
      </c>
      <c r="I124">
        <f t="shared" si="7"/>
        <v>1.1769000000000001</v>
      </c>
      <c r="J124">
        <f t="shared" si="7"/>
        <v>1.1837</v>
      </c>
      <c r="L124">
        <f t="shared" si="6"/>
        <v>-4.7000000000001485E-3</v>
      </c>
      <c r="W124">
        <f t="shared" si="8"/>
        <v>4.3847107044133827E-3</v>
      </c>
      <c r="X124">
        <f t="shared" si="9"/>
        <v>2.5802752293577601E-3</v>
      </c>
      <c r="Y124">
        <f t="shared" si="9"/>
        <v>8.6083213773317465E-4</v>
      </c>
      <c r="Z124">
        <f t="shared" si="9"/>
        <v>-1.7187052420510533E-3</v>
      </c>
      <c r="AE124">
        <f>W124-mu-theta*AE123</f>
        <v>4.686369720764463E-3</v>
      </c>
      <c r="AF124">
        <f t="shared" si="11"/>
        <v>2.3049964699261931E-3</v>
      </c>
      <c r="AG124">
        <f t="shared" si="11"/>
        <v>-8.4664799294322055E-5</v>
      </c>
      <c r="AK124">
        <f t="shared" si="10"/>
        <v>2.196206115969799E-5</v>
      </c>
    </row>
    <row r="125" spans="1:37" x14ac:dyDescent="0.3">
      <c r="A125" s="1">
        <v>44098</v>
      </c>
      <c r="B125">
        <v>1.1672</v>
      </c>
      <c r="C125">
        <v>1.2748999999999999</v>
      </c>
      <c r="D125">
        <v>105.4</v>
      </c>
      <c r="G125">
        <v>1.1672</v>
      </c>
      <c r="H125">
        <f t="shared" si="7"/>
        <v>1.1658999999999999</v>
      </c>
      <c r="I125">
        <f t="shared" si="7"/>
        <v>1.1706000000000001</v>
      </c>
      <c r="J125">
        <f t="shared" si="7"/>
        <v>1.1769000000000001</v>
      </c>
      <c r="L125">
        <f t="shared" si="6"/>
        <v>1.3000000000000789E-3</v>
      </c>
      <c r="W125">
        <f t="shared" si="8"/>
        <v>2.8471101831641961E-4</v>
      </c>
      <c r="X125">
        <f t="shared" si="9"/>
        <v>4.3847107044133827E-3</v>
      </c>
      <c r="Y125">
        <f t="shared" si="9"/>
        <v>2.5802752293577601E-3</v>
      </c>
      <c r="Z125">
        <f t="shared" si="9"/>
        <v>8.6083213773317465E-4</v>
      </c>
      <c r="AE125">
        <f>W125-mu-theta*AE124</f>
        <v>1.1613068277365347E-3</v>
      </c>
      <c r="AF125">
        <f t="shared" si="11"/>
        <v>4.686369720764463E-3</v>
      </c>
      <c r="AG125">
        <f t="shared" si="11"/>
        <v>2.3049964699261931E-3</v>
      </c>
      <c r="AK125">
        <f t="shared" si="10"/>
        <v>1.3486335481474935E-6</v>
      </c>
    </row>
    <row r="126" spans="1:37" x14ac:dyDescent="0.3">
      <c r="A126" s="1">
        <v>44099</v>
      </c>
      <c r="B126">
        <v>1.163</v>
      </c>
      <c r="C126">
        <v>1.2745</v>
      </c>
      <c r="D126">
        <v>105.6</v>
      </c>
      <c r="G126">
        <v>1.163</v>
      </c>
      <c r="H126">
        <f t="shared" si="7"/>
        <v>1.1672</v>
      </c>
      <c r="I126">
        <f t="shared" si="7"/>
        <v>1.1658999999999999</v>
      </c>
      <c r="J126">
        <f t="shared" si="7"/>
        <v>1.1706000000000001</v>
      </c>
      <c r="L126">
        <f t="shared" si="6"/>
        <v>-4.1999999999999815E-3</v>
      </c>
      <c r="W126">
        <f t="shared" si="8"/>
        <v>1.8975332068310116E-3</v>
      </c>
      <c r="X126">
        <f t="shared" si="9"/>
        <v>2.8471101831641961E-4</v>
      </c>
      <c r="Y126">
        <f t="shared" si="9"/>
        <v>4.3847107044133827E-3</v>
      </c>
      <c r="Z126">
        <f t="shared" si="9"/>
        <v>2.5802752293577601E-3</v>
      </c>
      <c r="AE126">
        <f>W126-mu-theta*AE125</f>
        <v>1.9230703448014849E-3</v>
      </c>
      <c r="AF126">
        <f t="shared" si="11"/>
        <v>1.1613068277365347E-3</v>
      </c>
      <c r="AG126">
        <f t="shared" si="11"/>
        <v>4.686369720764463E-3</v>
      </c>
      <c r="AK126">
        <f t="shared" si="10"/>
        <v>3.6981995510549019E-6</v>
      </c>
    </row>
    <row r="127" spans="1:37" x14ac:dyDescent="0.3">
      <c r="A127" s="1">
        <v>44102</v>
      </c>
      <c r="B127">
        <v>1.1664000000000001</v>
      </c>
      <c r="C127">
        <v>1.2827</v>
      </c>
      <c r="D127">
        <v>105.49</v>
      </c>
      <c r="G127">
        <v>1.1664000000000001</v>
      </c>
      <c r="H127">
        <f t="shared" si="7"/>
        <v>1.163</v>
      </c>
      <c r="I127">
        <f t="shared" si="7"/>
        <v>1.1672</v>
      </c>
      <c r="J127">
        <f t="shared" si="7"/>
        <v>1.1658999999999999</v>
      </c>
      <c r="L127">
        <f t="shared" si="6"/>
        <v>3.4000000000000696E-3</v>
      </c>
      <c r="W127">
        <f t="shared" si="8"/>
        <v>-1.0416666666666614E-3</v>
      </c>
      <c r="X127">
        <f t="shared" si="9"/>
        <v>1.8975332068310116E-3</v>
      </c>
      <c r="Y127">
        <f t="shared" si="9"/>
        <v>2.8471101831641961E-4</v>
      </c>
      <c r="Z127">
        <f t="shared" si="9"/>
        <v>4.3847107044133827E-3</v>
      </c>
      <c r="AE127">
        <f>W127-mu-theta*AE126</f>
        <v>-8.3221637126732102E-4</v>
      </c>
      <c r="AF127">
        <f t="shared" si="11"/>
        <v>1.9230703448014849E-3</v>
      </c>
      <c r="AG127">
        <f t="shared" si="11"/>
        <v>1.1613068277365347E-3</v>
      </c>
      <c r="AK127">
        <f t="shared" si="10"/>
        <v>6.9258408860534748E-7</v>
      </c>
    </row>
    <row r="128" spans="1:37" x14ac:dyDescent="0.3">
      <c r="A128" s="1">
        <v>44103</v>
      </c>
      <c r="B128">
        <v>1.1741999999999999</v>
      </c>
      <c r="C128">
        <v>1.2861</v>
      </c>
      <c r="D128">
        <v>105.64</v>
      </c>
      <c r="G128">
        <v>1.1741999999999999</v>
      </c>
      <c r="H128">
        <f t="shared" si="7"/>
        <v>1.1664000000000001</v>
      </c>
      <c r="I128">
        <f t="shared" si="7"/>
        <v>1.163</v>
      </c>
      <c r="J128">
        <f t="shared" si="7"/>
        <v>1.1672</v>
      </c>
      <c r="L128">
        <f t="shared" si="6"/>
        <v>7.7999999999998071E-3</v>
      </c>
      <c r="W128">
        <f t="shared" si="8"/>
        <v>1.4219357285051256E-3</v>
      </c>
      <c r="X128">
        <f t="shared" si="9"/>
        <v>-1.0416666666666614E-3</v>
      </c>
      <c r="Y128">
        <f t="shared" si="9"/>
        <v>1.8975332068310116E-3</v>
      </c>
      <c r="Z128">
        <f t="shared" si="9"/>
        <v>2.8471101831641961E-4</v>
      </c>
      <c r="AE128">
        <f>W128-mu-theta*AE127</f>
        <v>9.6617501258371413E-4</v>
      </c>
      <c r="AF128">
        <f t="shared" si="11"/>
        <v>-8.3221637126732102E-4</v>
      </c>
      <c r="AG128">
        <f t="shared" si="11"/>
        <v>1.9230703448014849E-3</v>
      </c>
      <c r="AK128">
        <f t="shared" si="10"/>
        <v>9.3349415494114012E-7</v>
      </c>
    </row>
    <row r="129" spans="1:37" x14ac:dyDescent="0.3">
      <c r="A129" s="1">
        <v>44104</v>
      </c>
      <c r="B129">
        <v>1.1718</v>
      </c>
      <c r="C129">
        <v>1.2916000000000001</v>
      </c>
      <c r="D129">
        <v>105.45</v>
      </c>
      <c r="G129">
        <v>1.1718</v>
      </c>
      <c r="H129">
        <f t="shared" si="7"/>
        <v>1.1741999999999999</v>
      </c>
      <c r="I129">
        <f t="shared" si="7"/>
        <v>1.1664000000000001</v>
      </c>
      <c r="J129">
        <f t="shared" si="7"/>
        <v>1.163</v>
      </c>
      <c r="L129">
        <f t="shared" si="6"/>
        <v>-2.3999999999999577E-3</v>
      </c>
      <c r="W129">
        <f t="shared" si="8"/>
        <v>-1.7985611510791151E-3</v>
      </c>
      <c r="X129">
        <f t="shared" si="9"/>
        <v>1.4219357285051256E-3</v>
      </c>
      <c r="Y129">
        <f t="shared" si="9"/>
        <v>-1.0416666666666614E-3</v>
      </c>
      <c r="Z129">
        <f t="shared" si="9"/>
        <v>1.8975332068310116E-3</v>
      </c>
      <c r="AE129">
        <f>W129-mu-theta*AE128</f>
        <v>-1.820134838759434E-3</v>
      </c>
      <c r="AF129">
        <f t="shared" si="11"/>
        <v>9.6617501258371413E-4</v>
      </c>
      <c r="AG129">
        <f t="shared" si="11"/>
        <v>-8.3221637126732102E-4</v>
      </c>
      <c r="AK129">
        <f t="shared" si="10"/>
        <v>3.3128908312658311E-6</v>
      </c>
    </row>
    <row r="130" spans="1:37" x14ac:dyDescent="0.3">
      <c r="A130" s="1">
        <v>44105</v>
      </c>
      <c r="B130">
        <v>1.1747000000000001</v>
      </c>
      <c r="C130">
        <v>1.2888999999999999</v>
      </c>
      <c r="D130">
        <v>105.5</v>
      </c>
      <c r="G130">
        <v>1.1747000000000001</v>
      </c>
      <c r="H130">
        <f t="shared" si="7"/>
        <v>1.1718</v>
      </c>
      <c r="I130">
        <f t="shared" si="7"/>
        <v>1.1741999999999999</v>
      </c>
      <c r="J130">
        <f t="shared" si="7"/>
        <v>1.1664000000000001</v>
      </c>
      <c r="L130">
        <f t="shared" si="6"/>
        <v>2.9000000000001247E-3</v>
      </c>
      <c r="W130">
        <f t="shared" si="8"/>
        <v>4.7415836889518401E-4</v>
      </c>
      <c r="X130">
        <f t="shared" si="9"/>
        <v>-1.7985611510791151E-3</v>
      </c>
      <c r="Y130">
        <f t="shared" si="9"/>
        <v>1.4219357285051256E-3</v>
      </c>
      <c r="Z130">
        <f t="shared" si="9"/>
        <v>-1.0416666666666614E-3</v>
      </c>
      <c r="AE130">
        <f>W130-mu-theta*AE129</f>
        <v>-2.2011626974441199E-4</v>
      </c>
      <c r="AF130">
        <f t="shared" si="11"/>
        <v>-1.820134838759434E-3</v>
      </c>
      <c r="AG130">
        <f t="shared" si="11"/>
        <v>9.6617501258371413E-4</v>
      </c>
      <c r="AK130">
        <f t="shared" si="10"/>
        <v>4.8451172206194743E-8</v>
      </c>
    </row>
    <row r="131" spans="1:37" x14ac:dyDescent="0.3">
      <c r="A131" s="1">
        <v>44106</v>
      </c>
      <c r="B131">
        <v>1.1713</v>
      </c>
      <c r="C131">
        <v>1.2930999999999999</v>
      </c>
      <c r="D131">
        <v>105.33</v>
      </c>
      <c r="G131">
        <v>1.1713</v>
      </c>
      <c r="H131">
        <f t="shared" si="7"/>
        <v>1.1747000000000001</v>
      </c>
      <c r="I131">
        <f t="shared" si="7"/>
        <v>1.1718</v>
      </c>
      <c r="J131">
        <f t="shared" si="7"/>
        <v>1.1741999999999999</v>
      </c>
      <c r="L131">
        <f t="shared" si="6"/>
        <v>-3.4000000000000696E-3</v>
      </c>
      <c r="W131">
        <f t="shared" si="8"/>
        <v>-1.6113744075829546E-3</v>
      </c>
      <c r="X131">
        <f t="shared" si="9"/>
        <v>4.7415836889518401E-4</v>
      </c>
      <c r="Y131">
        <f t="shared" si="9"/>
        <v>-1.7985611510791151E-3</v>
      </c>
      <c r="Z131">
        <f t="shared" si="9"/>
        <v>1.4219357285051256E-3</v>
      </c>
      <c r="AE131">
        <f>W131-mu-theta*AE130</f>
        <v>-1.9193553207023767E-3</v>
      </c>
      <c r="AF131">
        <f t="shared" si="11"/>
        <v>-2.2011626974441199E-4</v>
      </c>
      <c r="AG131">
        <f t="shared" si="11"/>
        <v>-1.820134838759434E-3</v>
      </c>
      <c r="AK131">
        <f t="shared" si="10"/>
        <v>3.6839248471085236E-6</v>
      </c>
    </row>
    <row r="132" spans="1:37" x14ac:dyDescent="0.3">
      <c r="A132" s="1">
        <v>44109</v>
      </c>
      <c r="B132">
        <v>1.1780999999999999</v>
      </c>
      <c r="C132">
        <v>1.2977000000000001</v>
      </c>
      <c r="D132">
        <v>105.72</v>
      </c>
      <c r="G132">
        <v>1.1780999999999999</v>
      </c>
      <c r="H132">
        <f t="shared" si="7"/>
        <v>1.1713</v>
      </c>
      <c r="I132">
        <f t="shared" si="7"/>
        <v>1.1747000000000001</v>
      </c>
      <c r="J132">
        <f t="shared" si="7"/>
        <v>1.1718</v>
      </c>
      <c r="L132">
        <f t="shared" si="6"/>
        <v>6.7999999999999172E-3</v>
      </c>
      <c r="W132">
        <f t="shared" si="8"/>
        <v>3.7026488180005751E-3</v>
      </c>
      <c r="X132">
        <f t="shared" si="9"/>
        <v>-1.6113744075829546E-3</v>
      </c>
      <c r="Y132">
        <f t="shared" si="9"/>
        <v>4.7415836889518401E-4</v>
      </c>
      <c r="Z132">
        <f t="shared" si="9"/>
        <v>-1.7985611510791151E-3</v>
      </c>
      <c r="AE132">
        <f>W132-mu-theta*AE131</f>
        <v>2.9844193013615059E-3</v>
      </c>
      <c r="AF132">
        <f t="shared" si="11"/>
        <v>-1.9193553207023767E-3</v>
      </c>
      <c r="AG132">
        <f t="shared" si="11"/>
        <v>-2.2011626974441199E-4</v>
      </c>
      <c r="AK132">
        <f t="shared" si="10"/>
        <v>8.9067585663390993E-6</v>
      </c>
    </row>
    <row r="133" spans="1:37" x14ac:dyDescent="0.3">
      <c r="A133" s="1">
        <v>44110</v>
      </c>
      <c r="B133">
        <v>1.1734</v>
      </c>
      <c r="C133">
        <v>1.2877000000000001</v>
      </c>
      <c r="D133">
        <v>105.62</v>
      </c>
      <c r="G133">
        <v>1.1734</v>
      </c>
      <c r="H133">
        <f t="shared" si="7"/>
        <v>1.1780999999999999</v>
      </c>
      <c r="I133">
        <f t="shared" si="7"/>
        <v>1.1713</v>
      </c>
      <c r="J133">
        <f t="shared" si="7"/>
        <v>1.1747000000000001</v>
      </c>
      <c r="L133">
        <f t="shared" si="6"/>
        <v>-4.6999999999999265E-3</v>
      </c>
      <c r="W133">
        <f t="shared" si="8"/>
        <v>-9.4589481649635183E-4</v>
      </c>
      <c r="X133">
        <f t="shared" si="9"/>
        <v>3.7026488180005751E-3</v>
      </c>
      <c r="Y133">
        <f t="shared" si="9"/>
        <v>-1.6113744075829546E-3</v>
      </c>
      <c r="Z133">
        <f t="shared" si="9"/>
        <v>4.7415836889518401E-4</v>
      </c>
      <c r="AE133">
        <f>W133-mu-theta*AE132</f>
        <v>-4.8020221838491659E-4</v>
      </c>
      <c r="AF133">
        <f t="shared" si="11"/>
        <v>2.9844193013615059E-3</v>
      </c>
      <c r="AG133">
        <f t="shared" si="11"/>
        <v>-1.9193553207023767E-3</v>
      </c>
      <c r="AK133">
        <f t="shared" si="10"/>
        <v>2.3059417054179514E-7</v>
      </c>
    </row>
    <row r="134" spans="1:37" x14ac:dyDescent="0.3">
      <c r="A134" s="1">
        <v>44111</v>
      </c>
      <c r="B134">
        <v>1.1759999999999999</v>
      </c>
      <c r="C134">
        <v>1.2918000000000001</v>
      </c>
      <c r="D134">
        <v>105.96</v>
      </c>
      <c r="G134">
        <v>1.1759999999999999</v>
      </c>
      <c r="H134">
        <f t="shared" si="7"/>
        <v>1.1734</v>
      </c>
      <c r="I134">
        <f t="shared" si="7"/>
        <v>1.1780999999999999</v>
      </c>
      <c r="J134">
        <f t="shared" si="7"/>
        <v>1.1713</v>
      </c>
      <c r="L134">
        <f t="shared" ref="L134:L197" si="12">G134-H134</f>
        <v>2.5999999999999357E-3</v>
      </c>
      <c r="W134">
        <f t="shared" si="8"/>
        <v>3.2190872940729897E-3</v>
      </c>
      <c r="X134">
        <f t="shared" si="9"/>
        <v>-9.4589481649635183E-4</v>
      </c>
      <c r="Y134">
        <f t="shared" si="9"/>
        <v>3.7026488180005751E-3</v>
      </c>
      <c r="Z134">
        <f t="shared" si="9"/>
        <v>-1.6113744075829546E-3</v>
      </c>
      <c r="AE134">
        <f>W134-mu-theta*AE133</f>
        <v>2.8483136284184279E-3</v>
      </c>
      <c r="AF134">
        <f t="shared" si="11"/>
        <v>-4.8020221838491659E-4</v>
      </c>
      <c r="AG134">
        <f t="shared" si="11"/>
        <v>2.9844193013615059E-3</v>
      </c>
      <c r="AK134">
        <f t="shared" si="10"/>
        <v>8.1128905258341497E-6</v>
      </c>
    </row>
    <row r="135" spans="1:37" x14ac:dyDescent="0.3">
      <c r="A135" s="1">
        <v>44112</v>
      </c>
      <c r="B135">
        <v>1.1758</v>
      </c>
      <c r="C135">
        <v>1.2932999999999999</v>
      </c>
      <c r="D135">
        <v>106.01</v>
      </c>
      <c r="G135">
        <v>1.1758</v>
      </c>
      <c r="H135">
        <f t="shared" ref="H135:J198" si="13">G134</f>
        <v>1.1759999999999999</v>
      </c>
      <c r="I135">
        <f t="shared" si="13"/>
        <v>1.1734</v>
      </c>
      <c r="J135">
        <f t="shared" si="13"/>
        <v>1.1780999999999999</v>
      </c>
      <c r="L135">
        <f t="shared" si="12"/>
        <v>-1.9999999999997797E-4</v>
      </c>
      <c r="W135">
        <f t="shared" ref="W135:W198" si="14">(D135-D134)/D134</f>
        <v>4.7187617969055652E-4</v>
      </c>
      <c r="X135">
        <f t="shared" si="9"/>
        <v>3.2190872940729897E-3</v>
      </c>
      <c r="Y135">
        <f t="shared" si="9"/>
        <v>-9.4589481649635183E-4</v>
      </c>
      <c r="Z135">
        <f t="shared" si="9"/>
        <v>3.7026488180005751E-3</v>
      </c>
      <c r="AE135">
        <f>W135-mu-theta*AE134</f>
        <v>9.0470867949827107E-4</v>
      </c>
      <c r="AF135">
        <f t="shared" si="11"/>
        <v>2.8483136284184279E-3</v>
      </c>
      <c r="AG135">
        <f t="shared" si="11"/>
        <v>-4.8020221838491659E-4</v>
      </c>
      <c r="AK135">
        <f t="shared" si="10"/>
        <v>8.1849779475950535E-7</v>
      </c>
    </row>
    <row r="136" spans="1:37" x14ac:dyDescent="0.3">
      <c r="A136" s="1">
        <v>44113</v>
      </c>
      <c r="B136">
        <v>1.1823999999999999</v>
      </c>
      <c r="C136">
        <v>1.3046</v>
      </c>
      <c r="D136">
        <v>105.59</v>
      </c>
      <c r="G136">
        <v>1.1823999999999999</v>
      </c>
      <c r="H136">
        <f t="shared" si="13"/>
        <v>1.1758</v>
      </c>
      <c r="I136">
        <f t="shared" si="13"/>
        <v>1.1759999999999999</v>
      </c>
      <c r="J136">
        <f t="shared" si="13"/>
        <v>1.1734</v>
      </c>
      <c r="L136">
        <f t="shared" si="12"/>
        <v>6.5999999999999392E-3</v>
      </c>
      <c r="W136">
        <f t="shared" si="14"/>
        <v>-3.9618903876992894E-3</v>
      </c>
      <c r="X136">
        <f t="shared" ref="X136:Z199" si="15">W135</f>
        <v>4.7187617969055652E-4</v>
      </c>
      <c r="Y136">
        <f t="shared" si="15"/>
        <v>3.2190872940729897E-3</v>
      </c>
      <c r="Z136">
        <f t="shared" si="15"/>
        <v>-9.4589481649635183E-4</v>
      </c>
      <c r="AE136">
        <f>W136-mu-theta*AE135</f>
        <v>-3.9983039399045916E-3</v>
      </c>
      <c r="AF136">
        <f t="shared" si="11"/>
        <v>9.0470867949827107E-4</v>
      </c>
      <c r="AG136">
        <f t="shared" si="11"/>
        <v>2.8483136284184279E-3</v>
      </c>
      <c r="AK136">
        <f t="shared" ref="AK136:AK199" si="16">POWER(AE136,2)</f>
        <v>1.5986434395856578E-5</v>
      </c>
    </row>
    <row r="137" spans="1:37" x14ac:dyDescent="0.3">
      <c r="A137" s="1">
        <v>44116</v>
      </c>
      <c r="B137">
        <v>1.1813</v>
      </c>
      <c r="C137">
        <v>1.3064</v>
      </c>
      <c r="D137">
        <v>105.3</v>
      </c>
      <c r="G137">
        <v>1.1813</v>
      </c>
      <c r="H137">
        <f t="shared" si="13"/>
        <v>1.1823999999999999</v>
      </c>
      <c r="I137">
        <f t="shared" si="13"/>
        <v>1.1758</v>
      </c>
      <c r="J137">
        <f t="shared" si="13"/>
        <v>1.1759999999999999</v>
      </c>
      <c r="L137">
        <f t="shared" si="12"/>
        <v>-1.0999999999998789E-3</v>
      </c>
      <c r="W137">
        <f t="shared" si="14"/>
        <v>-2.7464722038072378E-3</v>
      </c>
      <c r="X137">
        <f t="shared" si="15"/>
        <v>-3.9618903876992894E-3</v>
      </c>
      <c r="Y137">
        <f t="shared" si="15"/>
        <v>4.7187617969055652E-4</v>
      </c>
      <c r="Z137">
        <f t="shared" si="15"/>
        <v>3.2190872940729897E-3</v>
      </c>
      <c r="AE137">
        <f>W137-mu-theta*AE136</f>
        <v>-3.9666238998689041E-3</v>
      </c>
      <c r="AF137">
        <f t="shared" ref="AF137:AG200" si="17">AE136</f>
        <v>-3.9983039399045916E-3</v>
      </c>
      <c r="AG137">
        <f t="shared" si="17"/>
        <v>9.0470867949827107E-4</v>
      </c>
      <c r="AK137">
        <f t="shared" si="16"/>
        <v>1.5734105163011192E-5</v>
      </c>
    </row>
    <row r="138" spans="1:37" x14ac:dyDescent="0.3">
      <c r="A138" s="1">
        <v>44117</v>
      </c>
      <c r="B138">
        <v>1.1744000000000001</v>
      </c>
      <c r="C138">
        <v>1.2934000000000001</v>
      </c>
      <c r="D138">
        <v>105.47</v>
      </c>
      <c r="G138">
        <v>1.1744000000000001</v>
      </c>
      <c r="H138">
        <f t="shared" si="13"/>
        <v>1.1813</v>
      </c>
      <c r="I138">
        <f t="shared" si="13"/>
        <v>1.1823999999999999</v>
      </c>
      <c r="J138">
        <f t="shared" si="13"/>
        <v>1.1758</v>
      </c>
      <c r="L138">
        <f t="shared" si="12"/>
        <v>-6.8999999999999062E-3</v>
      </c>
      <c r="W138">
        <f t="shared" si="14"/>
        <v>1.6144349477682973E-3</v>
      </c>
      <c r="X138">
        <f t="shared" si="15"/>
        <v>-2.7464722038072378E-3</v>
      </c>
      <c r="Y138">
        <f t="shared" si="15"/>
        <v>-3.9618903876992894E-3</v>
      </c>
      <c r="Z138">
        <f t="shared" si="15"/>
        <v>4.7187617969055652E-4</v>
      </c>
      <c r="AE138">
        <f>W138-mu-theta*AE137</f>
        <v>4.0193178837176946E-4</v>
      </c>
      <c r="AF138">
        <f t="shared" si="17"/>
        <v>-3.9666238998689041E-3</v>
      </c>
      <c r="AG138">
        <f t="shared" si="17"/>
        <v>-3.9983039399045916E-3</v>
      </c>
      <c r="AK138">
        <f t="shared" si="16"/>
        <v>1.6154916250372887E-7</v>
      </c>
    </row>
    <row r="139" spans="1:37" x14ac:dyDescent="0.3">
      <c r="A139" s="1">
        <v>44118</v>
      </c>
      <c r="B139">
        <v>1.1746000000000001</v>
      </c>
      <c r="C139">
        <v>1.3010999999999999</v>
      </c>
      <c r="D139">
        <v>105.15</v>
      </c>
      <c r="G139">
        <v>1.1746000000000001</v>
      </c>
      <c r="H139">
        <f t="shared" si="13"/>
        <v>1.1744000000000001</v>
      </c>
      <c r="I139">
        <f t="shared" si="13"/>
        <v>1.1813</v>
      </c>
      <c r="J139">
        <f t="shared" si="13"/>
        <v>1.1823999999999999</v>
      </c>
      <c r="L139">
        <f t="shared" si="12"/>
        <v>1.9999999999997797E-4</v>
      </c>
      <c r="W139">
        <f t="shared" si="14"/>
        <v>-3.0340381151037561E-3</v>
      </c>
      <c r="X139">
        <f t="shared" si="15"/>
        <v>1.6144349477682973E-3</v>
      </c>
      <c r="Y139">
        <f t="shared" si="15"/>
        <v>-2.7464722038072378E-3</v>
      </c>
      <c r="Z139">
        <f t="shared" si="15"/>
        <v>-3.9618903876992894E-3</v>
      </c>
      <c r="AE139">
        <f>W139-mu-theta*AE138</f>
        <v>-3.1918374825363584E-3</v>
      </c>
      <c r="AF139">
        <f t="shared" si="17"/>
        <v>4.0193178837176946E-4</v>
      </c>
      <c r="AG139">
        <f t="shared" si="17"/>
        <v>-3.9666238998689041E-3</v>
      </c>
      <c r="AK139">
        <f t="shared" si="16"/>
        <v>1.0187826514924038E-5</v>
      </c>
    </row>
    <row r="140" spans="1:37" x14ac:dyDescent="0.3">
      <c r="A140" s="1">
        <v>44119</v>
      </c>
      <c r="B140">
        <v>1.1706000000000001</v>
      </c>
      <c r="C140">
        <v>1.2914000000000001</v>
      </c>
      <c r="D140">
        <v>105.44</v>
      </c>
      <c r="G140">
        <v>1.1706000000000001</v>
      </c>
      <c r="H140">
        <f t="shared" si="13"/>
        <v>1.1746000000000001</v>
      </c>
      <c r="I140">
        <f t="shared" si="13"/>
        <v>1.1744000000000001</v>
      </c>
      <c r="J140">
        <f t="shared" si="13"/>
        <v>1.1813</v>
      </c>
      <c r="L140">
        <f t="shared" si="12"/>
        <v>-4.0000000000000036E-3</v>
      </c>
      <c r="W140">
        <f t="shared" si="14"/>
        <v>2.7579648121730102E-3</v>
      </c>
      <c r="X140">
        <f t="shared" si="15"/>
        <v>-3.0340381151037561E-3</v>
      </c>
      <c r="Y140">
        <f t="shared" si="15"/>
        <v>1.6144349477682973E-3</v>
      </c>
      <c r="Z140">
        <f t="shared" si="15"/>
        <v>-2.7464722038072378E-3</v>
      </c>
      <c r="AE140">
        <f>W140-mu-theta*AE139</f>
        <v>1.7325189391291431E-3</v>
      </c>
      <c r="AF140">
        <f t="shared" si="17"/>
        <v>-3.1918374825363584E-3</v>
      </c>
      <c r="AG140">
        <f t="shared" si="17"/>
        <v>4.0193178837176946E-4</v>
      </c>
      <c r="AK140">
        <f t="shared" si="16"/>
        <v>3.0016218744411713E-6</v>
      </c>
    </row>
    <row r="141" spans="1:37" x14ac:dyDescent="0.3">
      <c r="A141" s="1">
        <v>44120</v>
      </c>
      <c r="B141">
        <v>1.1718</v>
      </c>
      <c r="C141">
        <v>1.2912999999999999</v>
      </c>
      <c r="D141">
        <v>105.4</v>
      </c>
      <c r="G141">
        <v>1.1718</v>
      </c>
      <c r="H141">
        <f t="shared" si="13"/>
        <v>1.1706000000000001</v>
      </c>
      <c r="I141">
        <f t="shared" si="13"/>
        <v>1.1746000000000001</v>
      </c>
      <c r="J141">
        <f t="shared" si="13"/>
        <v>1.1744000000000001</v>
      </c>
      <c r="L141">
        <f t="shared" si="12"/>
        <v>1.1999999999998678E-3</v>
      </c>
      <c r="W141">
        <f t="shared" si="14"/>
        <v>-3.7936267071312637E-4</v>
      </c>
      <c r="X141">
        <f t="shared" si="15"/>
        <v>2.7579648121730102E-3</v>
      </c>
      <c r="Y141">
        <f t="shared" si="15"/>
        <v>-3.0340381151037561E-3</v>
      </c>
      <c r="Z141">
        <f t="shared" si="15"/>
        <v>1.6144349477682973E-3</v>
      </c>
      <c r="AE141">
        <f>W141-mu-theta*AE140</f>
        <v>-2.1591734914705143E-4</v>
      </c>
      <c r="AF141">
        <f t="shared" si="17"/>
        <v>1.7325189391291431E-3</v>
      </c>
      <c r="AG141">
        <f t="shared" si="17"/>
        <v>-3.1918374825363584E-3</v>
      </c>
      <c r="AK141">
        <f t="shared" si="16"/>
        <v>4.6620301662689709E-8</v>
      </c>
    </row>
    <row r="142" spans="1:37" x14ac:dyDescent="0.3">
      <c r="A142" s="1">
        <v>44123</v>
      </c>
      <c r="B142">
        <v>1.1766000000000001</v>
      </c>
      <c r="C142">
        <v>1.2947</v>
      </c>
      <c r="D142">
        <v>105.42</v>
      </c>
      <c r="G142">
        <v>1.1766000000000001</v>
      </c>
      <c r="H142">
        <f t="shared" si="13"/>
        <v>1.1718</v>
      </c>
      <c r="I142">
        <f t="shared" si="13"/>
        <v>1.1706000000000001</v>
      </c>
      <c r="J142">
        <f t="shared" si="13"/>
        <v>1.1746000000000001</v>
      </c>
      <c r="L142">
        <f t="shared" si="12"/>
        <v>4.8000000000001375E-3</v>
      </c>
      <c r="W142">
        <f t="shared" si="14"/>
        <v>1.897533206830742E-4</v>
      </c>
      <c r="X142">
        <f t="shared" si="15"/>
        <v>-3.7936267071312637E-4</v>
      </c>
      <c r="Y142">
        <f t="shared" si="15"/>
        <v>2.7579648121730102E-3</v>
      </c>
      <c r="Z142">
        <f t="shared" si="15"/>
        <v>-3.0340381151037561E-3</v>
      </c>
      <c r="AE142">
        <f>W142-mu-theta*AE141</f>
        <v>-1.1721384377609545E-4</v>
      </c>
      <c r="AF142">
        <f t="shared" si="17"/>
        <v>-2.1591734914705143E-4</v>
      </c>
      <c r="AG142">
        <f t="shared" si="17"/>
        <v>1.7325189391291431E-3</v>
      </c>
      <c r="AK142">
        <f t="shared" si="16"/>
        <v>1.373908517276691E-8</v>
      </c>
    </row>
    <row r="143" spans="1:37" x14ac:dyDescent="0.3">
      <c r="A143" s="1">
        <v>44124</v>
      </c>
      <c r="B143">
        <v>1.1820999999999999</v>
      </c>
      <c r="C143">
        <v>1.2944</v>
      </c>
      <c r="D143">
        <v>105.49</v>
      </c>
      <c r="G143">
        <v>1.1820999999999999</v>
      </c>
      <c r="H143">
        <f t="shared" si="13"/>
        <v>1.1766000000000001</v>
      </c>
      <c r="I143">
        <f t="shared" si="13"/>
        <v>1.1718</v>
      </c>
      <c r="J143">
        <f t="shared" si="13"/>
        <v>1.1706000000000001</v>
      </c>
      <c r="L143">
        <f t="shared" si="12"/>
        <v>5.4999999999998384E-3</v>
      </c>
      <c r="W143">
        <f t="shared" si="14"/>
        <v>6.6401062416992205E-4</v>
      </c>
      <c r="X143">
        <f t="shared" si="15"/>
        <v>1.897533206830742E-4</v>
      </c>
      <c r="Y143">
        <f t="shared" si="15"/>
        <v>-3.7936267071312637E-4</v>
      </c>
      <c r="Z143">
        <f t="shared" si="15"/>
        <v>2.7579648121730102E-3</v>
      </c>
      <c r="AE143">
        <f>W143-mu-theta*AE142</f>
        <v>3.8087352365502223E-4</v>
      </c>
      <c r="AF143">
        <f t="shared" si="17"/>
        <v>-1.1721384377609545E-4</v>
      </c>
      <c r="AG143">
        <f t="shared" si="17"/>
        <v>-2.1591734914705143E-4</v>
      </c>
      <c r="AK143">
        <f t="shared" si="16"/>
        <v>1.4506464102139277E-7</v>
      </c>
    </row>
    <row r="144" spans="1:37" x14ac:dyDescent="0.3">
      <c r="A144" s="1">
        <v>44125</v>
      </c>
      <c r="B144">
        <v>1.1860999999999999</v>
      </c>
      <c r="C144">
        <v>1.3144</v>
      </c>
      <c r="D144">
        <v>104.56</v>
      </c>
      <c r="G144">
        <v>1.1860999999999999</v>
      </c>
      <c r="H144">
        <f t="shared" si="13"/>
        <v>1.1820999999999999</v>
      </c>
      <c r="I144">
        <f t="shared" si="13"/>
        <v>1.1766000000000001</v>
      </c>
      <c r="J144">
        <f t="shared" si="13"/>
        <v>1.1718</v>
      </c>
      <c r="L144">
        <f t="shared" si="12"/>
        <v>4.0000000000000036E-3</v>
      </c>
      <c r="W144">
        <f t="shared" si="14"/>
        <v>-8.8160015167313734E-3</v>
      </c>
      <c r="X144">
        <f t="shared" si="15"/>
        <v>6.6401062416992205E-4</v>
      </c>
      <c r="Y144">
        <f t="shared" si="15"/>
        <v>1.897533206830742E-4</v>
      </c>
      <c r="Z144">
        <f t="shared" si="15"/>
        <v>-3.7936267071312637E-4</v>
      </c>
      <c r="AE144">
        <f>W144-mu-theta*AE143</f>
        <v>-8.9788849973661301E-3</v>
      </c>
      <c r="AF144">
        <f t="shared" si="17"/>
        <v>3.8087352365502223E-4</v>
      </c>
      <c r="AG144">
        <f t="shared" si="17"/>
        <v>-1.1721384377609545E-4</v>
      </c>
      <c r="AK144">
        <f t="shared" si="16"/>
        <v>8.0620375795926574E-5</v>
      </c>
    </row>
    <row r="145" spans="1:37" x14ac:dyDescent="0.3">
      <c r="A145" s="1">
        <v>44126</v>
      </c>
      <c r="B145">
        <v>1.1816</v>
      </c>
      <c r="C145">
        <v>1.3081</v>
      </c>
      <c r="D145">
        <v>104.82</v>
      </c>
      <c r="G145">
        <v>1.1816</v>
      </c>
      <c r="H145">
        <f t="shared" si="13"/>
        <v>1.1860999999999999</v>
      </c>
      <c r="I145">
        <f t="shared" si="13"/>
        <v>1.1820999999999999</v>
      </c>
      <c r="J145">
        <f t="shared" si="13"/>
        <v>1.1766000000000001</v>
      </c>
      <c r="L145">
        <f t="shared" si="12"/>
        <v>-4.4999999999999485E-3</v>
      </c>
      <c r="W145">
        <f t="shared" si="14"/>
        <v>2.4866105585309001E-3</v>
      </c>
      <c r="X145">
        <f t="shared" si="15"/>
        <v>-8.8160015167313734E-3</v>
      </c>
      <c r="Y145">
        <f t="shared" si="15"/>
        <v>6.6401062416992205E-4</v>
      </c>
      <c r="Z145">
        <f t="shared" si="15"/>
        <v>1.897533206830742E-4</v>
      </c>
      <c r="AE145">
        <f>W145-mu-theta*AE144</f>
        <v>6.3993310381030375E-5</v>
      </c>
      <c r="AF145">
        <f t="shared" si="17"/>
        <v>-8.9788849973661301E-3</v>
      </c>
      <c r="AG145">
        <f t="shared" si="17"/>
        <v>3.8087352365502223E-4</v>
      </c>
      <c r="AK145">
        <f t="shared" si="16"/>
        <v>4.0951437735228899E-9</v>
      </c>
    </row>
    <row r="146" spans="1:37" x14ac:dyDescent="0.3">
      <c r="A146" s="1">
        <v>44127</v>
      </c>
      <c r="B146">
        <v>1.1859</v>
      </c>
      <c r="C146">
        <v>1.304</v>
      </c>
      <c r="D146">
        <v>104.69</v>
      </c>
      <c r="G146">
        <v>1.1859</v>
      </c>
      <c r="H146">
        <f t="shared" si="13"/>
        <v>1.1816</v>
      </c>
      <c r="I146">
        <f t="shared" si="13"/>
        <v>1.1860999999999999</v>
      </c>
      <c r="J146">
        <f t="shared" si="13"/>
        <v>1.1820999999999999</v>
      </c>
      <c r="L146">
        <f t="shared" si="12"/>
        <v>4.2999999999999705E-3</v>
      </c>
      <c r="W146">
        <f t="shared" si="14"/>
        <v>-1.2402213318068638E-3</v>
      </c>
      <c r="X146">
        <f t="shared" si="15"/>
        <v>2.4866105585309001E-3</v>
      </c>
      <c r="Y146">
        <f t="shared" si="15"/>
        <v>-8.8160015167313734E-3</v>
      </c>
      <c r="Z146">
        <f t="shared" si="15"/>
        <v>6.6401062416992205E-4</v>
      </c>
      <c r="AE146">
        <f>W146-mu-theta*AE145</f>
        <v>-1.4796094483875606E-3</v>
      </c>
      <c r="AF146">
        <f t="shared" si="17"/>
        <v>6.3993310381030375E-5</v>
      </c>
      <c r="AG146">
        <f t="shared" si="17"/>
        <v>-8.9788849973661301E-3</v>
      </c>
      <c r="AK146">
        <f t="shared" si="16"/>
        <v>2.1892441197577415E-6</v>
      </c>
    </row>
    <row r="147" spans="1:37" x14ac:dyDescent="0.3">
      <c r="A147" s="1">
        <v>44130</v>
      </c>
      <c r="B147">
        <v>1.1808000000000001</v>
      </c>
      <c r="C147">
        <v>1.3023</v>
      </c>
      <c r="D147">
        <v>104.82</v>
      </c>
      <c r="G147">
        <v>1.1808000000000001</v>
      </c>
      <c r="H147">
        <f t="shared" si="13"/>
        <v>1.1859</v>
      </c>
      <c r="I147">
        <f t="shared" si="13"/>
        <v>1.1816</v>
      </c>
      <c r="J147">
        <f t="shared" si="13"/>
        <v>1.1860999999999999</v>
      </c>
      <c r="L147">
        <f t="shared" si="12"/>
        <v>-5.0999999999998824E-3</v>
      </c>
      <c r="W147">
        <f t="shared" si="14"/>
        <v>1.2417613907727142E-3</v>
      </c>
      <c r="X147">
        <f t="shared" si="15"/>
        <v>-1.2402213318068638E-3</v>
      </c>
      <c r="Y147">
        <f t="shared" si="15"/>
        <v>2.4866105585309001E-3</v>
      </c>
      <c r="Z147">
        <f t="shared" si="15"/>
        <v>-8.8160015167313734E-3</v>
      </c>
      <c r="AE147">
        <f>W147-mu-theta*AE146</f>
        <v>6.2970006154610878E-4</v>
      </c>
      <c r="AF147">
        <f t="shared" si="17"/>
        <v>-1.4796094483875606E-3</v>
      </c>
      <c r="AG147">
        <f t="shared" si="17"/>
        <v>6.3993310381030375E-5</v>
      </c>
      <c r="AK147">
        <f t="shared" si="16"/>
        <v>3.9652216751117319E-7</v>
      </c>
    </row>
    <row r="148" spans="1:37" x14ac:dyDescent="0.3">
      <c r="A148" s="1">
        <v>44131</v>
      </c>
      <c r="B148">
        <v>1.1795</v>
      </c>
      <c r="C148">
        <v>1.3043</v>
      </c>
      <c r="D148">
        <v>104.4</v>
      </c>
      <c r="G148">
        <v>1.1795</v>
      </c>
      <c r="H148">
        <f t="shared" si="13"/>
        <v>1.1808000000000001</v>
      </c>
      <c r="I148">
        <f t="shared" si="13"/>
        <v>1.1859</v>
      </c>
      <c r="J148">
        <f t="shared" si="13"/>
        <v>1.1816</v>
      </c>
      <c r="L148">
        <f t="shared" si="12"/>
        <v>-1.3000000000000789E-3</v>
      </c>
      <c r="W148">
        <f t="shared" si="14"/>
        <v>-4.0068689181452727E-3</v>
      </c>
      <c r="X148">
        <f t="shared" si="15"/>
        <v>1.2417613907727142E-3</v>
      </c>
      <c r="Y148">
        <f t="shared" si="15"/>
        <v>-1.2402213318068638E-3</v>
      </c>
      <c r="Z148">
        <f t="shared" si="15"/>
        <v>2.4866105585309001E-3</v>
      </c>
      <c r="AE148">
        <f>W148-mu-theta*AE147</f>
        <v>-4.1096780145249735E-3</v>
      </c>
      <c r="AF148">
        <f t="shared" si="17"/>
        <v>6.2970006154610878E-4</v>
      </c>
      <c r="AG148">
        <f t="shared" si="17"/>
        <v>-1.4796094483875606E-3</v>
      </c>
      <c r="AK148">
        <f t="shared" si="16"/>
        <v>1.6889453383069928E-5</v>
      </c>
    </row>
    <row r="149" spans="1:37" x14ac:dyDescent="0.3">
      <c r="A149" s="1">
        <v>44132</v>
      </c>
      <c r="B149">
        <v>1.1744000000000001</v>
      </c>
      <c r="C149">
        <v>1.2981</v>
      </c>
      <c r="D149">
        <v>104.29</v>
      </c>
      <c r="G149">
        <v>1.1744000000000001</v>
      </c>
      <c r="H149">
        <f t="shared" si="13"/>
        <v>1.1795</v>
      </c>
      <c r="I149">
        <f t="shared" si="13"/>
        <v>1.1808000000000001</v>
      </c>
      <c r="J149">
        <f t="shared" si="13"/>
        <v>1.1859</v>
      </c>
      <c r="L149">
        <f t="shared" si="12"/>
        <v>-5.0999999999998824E-3</v>
      </c>
      <c r="W149">
        <f t="shared" si="14"/>
        <v>-1.0536398467432895E-3</v>
      </c>
      <c r="X149">
        <f t="shared" si="15"/>
        <v>-4.0068689181452727E-3</v>
      </c>
      <c r="Y149">
        <f t="shared" si="15"/>
        <v>1.2417613907727142E-3</v>
      </c>
      <c r="Z149">
        <f t="shared" si="15"/>
        <v>-1.2402213318068638E-3</v>
      </c>
      <c r="AE149">
        <f>W149-mu-theta*AE148</f>
        <v>-2.3006806721217205E-3</v>
      </c>
      <c r="AF149">
        <f t="shared" si="17"/>
        <v>-4.1096780145249735E-3</v>
      </c>
      <c r="AG149">
        <f t="shared" si="17"/>
        <v>6.2970006154610878E-4</v>
      </c>
      <c r="AK149">
        <f t="shared" si="16"/>
        <v>5.2931315550744521E-6</v>
      </c>
    </row>
    <row r="150" spans="1:37" x14ac:dyDescent="0.3">
      <c r="A150" s="1">
        <v>44133</v>
      </c>
      <c r="B150">
        <v>1.1674</v>
      </c>
      <c r="C150">
        <v>1.2926</v>
      </c>
      <c r="D150">
        <v>104.61</v>
      </c>
      <c r="G150">
        <v>1.1674</v>
      </c>
      <c r="H150">
        <f t="shared" si="13"/>
        <v>1.1744000000000001</v>
      </c>
      <c r="I150">
        <f t="shared" si="13"/>
        <v>1.1795</v>
      </c>
      <c r="J150">
        <f t="shared" si="13"/>
        <v>1.1808000000000001</v>
      </c>
      <c r="L150">
        <f t="shared" si="12"/>
        <v>-7.0000000000001172E-3</v>
      </c>
      <c r="W150">
        <f t="shared" si="14"/>
        <v>3.0683670534086983E-3</v>
      </c>
      <c r="X150">
        <f t="shared" si="15"/>
        <v>-1.0536398467432895E-3</v>
      </c>
      <c r="Y150">
        <f t="shared" si="15"/>
        <v>-4.0068689181452727E-3</v>
      </c>
      <c r="Z150">
        <f t="shared" si="15"/>
        <v>1.2417613907727142E-3</v>
      </c>
      <c r="AE150">
        <f>W150-mu-theta*AE149</f>
        <v>2.258073861080072E-3</v>
      </c>
      <c r="AF150">
        <f t="shared" si="17"/>
        <v>-2.3006806721217205E-3</v>
      </c>
      <c r="AG150">
        <f t="shared" si="17"/>
        <v>-4.1096780145249735E-3</v>
      </c>
      <c r="AK150">
        <f t="shared" si="16"/>
        <v>5.0988975620930642E-6</v>
      </c>
    </row>
    <row r="151" spans="1:37" x14ac:dyDescent="0.3">
      <c r="A151" s="1">
        <v>44134</v>
      </c>
      <c r="B151">
        <v>1.1647000000000001</v>
      </c>
      <c r="C151">
        <v>1.2941</v>
      </c>
      <c r="D151">
        <v>104.64</v>
      </c>
      <c r="G151">
        <v>1.1647000000000001</v>
      </c>
      <c r="H151">
        <f t="shared" si="13"/>
        <v>1.1674</v>
      </c>
      <c r="I151">
        <f t="shared" si="13"/>
        <v>1.1744000000000001</v>
      </c>
      <c r="J151">
        <f t="shared" si="13"/>
        <v>1.1795</v>
      </c>
      <c r="L151">
        <f t="shared" si="12"/>
        <v>-2.6999999999999247E-3</v>
      </c>
      <c r="W151">
        <f t="shared" si="14"/>
        <v>2.8677946659020302E-4</v>
      </c>
      <c r="X151">
        <f t="shared" si="15"/>
        <v>3.0683670534086983E-3</v>
      </c>
      <c r="Y151">
        <f t="shared" si="15"/>
        <v>-1.0536398467432895E-3</v>
      </c>
      <c r="Z151">
        <f t="shared" si="15"/>
        <v>-4.0068689181452727E-3</v>
      </c>
      <c r="AE151">
        <f>W151-mu-theta*AE150</f>
        <v>5.7710992105249655E-4</v>
      </c>
      <c r="AF151">
        <f t="shared" si="17"/>
        <v>2.258073861080072E-3</v>
      </c>
      <c r="AG151">
        <f t="shared" si="17"/>
        <v>-2.3006806721217205E-3</v>
      </c>
      <c r="AK151">
        <f t="shared" si="16"/>
        <v>3.330558609772188E-7</v>
      </c>
    </row>
    <row r="152" spans="1:37" x14ac:dyDescent="0.3">
      <c r="A152" s="1">
        <v>44137</v>
      </c>
      <c r="B152">
        <v>1.1639999999999999</v>
      </c>
      <c r="C152">
        <v>1.2911999999999999</v>
      </c>
      <c r="D152">
        <v>104.71</v>
      </c>
      <c r="G152">
        <v>1.1639999999999999</v>
      </c>
      <c r="H152">
        <f t="shared" si="13"/>
        <v>1.1647000000000001</v>
      </c>
      <c r="I152">
        <f t="shared" si="13"/>
        <v>1.1674</v>
      </c>
      <c r="J152">
        <f t="shared" si="13"/>
        <v>1.1744000000000001</v>
      </c>
      <c r="L152">
        <f t="shared" si="12"/>
        <v>-7.0000000000014495E-4</v>
      </c>
      <c r="W152">
        <f t="shared" si="14"/>
        <v>6.6896024464825285E-4</v>
      </c>
      <c r="X152">
        <f t="shared" si="15"/>
        <v>2.8677946659020302E-4</v>
      </c>
      <c r="Y152">
        <f t="shared" si="15"/>
        <v>3.0683670534086983E-3</v>
      </c>
      <c r="Z152">
        <f t="shared" si="15"/>
        <v>-1.0536398467432895E-3</v>
      </c>
      <c r="AE152">
        <f>W152-mu-theta*AE151</f>
        <v>5.5345426981331491E-4</v>
      </c>
      <c r="AF152">
        <f t="shared" si="17"/>
        <v>5.7710992105249655E-4</v>
      </c>
      <c r="AG152">
        <f t="shared" si="17"/>
        <v>2.258073861080072E-3</v>
      </c>
      <c r="AK152">
        <f t="shared" si="16"/>
        <v>3.0631162877458958E-7</v>
      </c>
    </row>
    <row r="153" spans="1:37" x14ac:dyDescent="0.3">
      <c r="A153" s="1">
        <v>44138</v>
      </c>
      <c r="B153">
        <v>1.1711</v>
      </c>
      <c r="C153">
        <v>1.3058000000000001</v>
      </c>
      <c r="D153">
        <v>104.46</v>
      </c>
      <c r="G153">
        <v>1.1711</v>
      </c>
      <c r="H153">
        <f t="shared" si="13"/>
        <v>1.1639999999999999</v>
      </c>
      <c r="I153">
        <f t="shared" si="13"/>
        <v>1.1647000000000001</v>
      </c>
      <c r="J153">
        <f t="shared" si="13"/>
        <v>1.1674</v>
      </c>
      <c r="L153">
        <f t="shared" si="12"/>
        <v>7.1000000000001062E-3</v>
      </c>
      <c r="W153">
        <f t="shared" si="14"/>
        <v>-2.3875465571578649E-3</v>
      </c>
      <c r="X153">
        <f t="shared" si="15"/>
        <v>6.6896024464825285E-4</v>
      </c>
      <c r="Y153">
        <f t="shared" si="15"/>
        <v>2.8677946659020302E-4</v>
      </c>
      <c r="Z153">
        <f t="shared" si="15"/>
        <v>3.0683670534086983E-3</v>
      </c>
      <c r="AE153">
        <f>W153-mu-theta*AE152</f>
        <v>-2.5087637342399213E-3</v>
      </c>
      <c r="AF153">
        <f t="shared" si="17"/>
        <v>5.5345426981331491E-4</v>
      </c>
      <c r="AG153">
        <f t="shared" si="17"/>
        <v>5.7710992105249655E-4</v>
      </c>
      <c r="AK153">
        <f t="shared" si="16"/>
        <v>6.2938954742374347E-6</v>
      </c>
    </row>
    <row r="154" spans="1:37" x14ac:dyDescent="0.3">
      <c r="A154" s="1">
        <v>44139</v>
      </c>
      <c r="B154">
        <v>1.1721999999999999</v>
      </c>
      <c r="C154">
        <v>1.2985</v>
      </c>
      <c r="D154">
        <v>104.48</v>
      </c>
      <c r="G154">
        <v>1.1721999999999999</v>
      </c>
      <c r="H154">
        <f t="shared" si="13"/>
        <v>1.1711</v>
      </c>
      <c r="I154">
        <f t="shared" si="13"/>
        <v>1.1639999999999999</v>
      </c>
      <c r="J154">
        <f t="shared" si="13"/>
        <v>1.1647000000000001</v>
      </c>
      <c r="L154">
        <f t="shared" si="12"/>
        <v>1.0999999999998789E-3</v>
      </c>
      <c r="W154">
        <f t="shared" si="14"/>
        <v>1.9146084625703842E-4</v>
      </c>
      <c r="X154">
        <f t="shared" si="15"/>
        <v>-2.3875465571578649E-3</v>
      </c>
      <c r="Y154">
        <f t="shared" si="15"/>
        <v>6.6896024464825285E-4</v>
      </c>
      <c r="Z154">
        <f t="shared" si="15"/>
        <v>2.8677946659020302E-4</v>
      </c>
      <c r="AE154">
        <f>W154-mu-theta*AE153</f>
        <v>-6.6907000133378163E-4</v>
      </c>
      <c r="AF154">
        <f t="shared" si="17"/>
        <v>-2.5087637342399213E-3</v>
      </c>
      <c r="AG154">
        <f t="shared" si="17"/>
        <v>5.5345426981331491E-4</v>
      </c>
      <c r="AK154">
        <f t="shared" si="16"/>
        <v>4.4765466668478654E-7</v>
      </c>
    </row>
    <row r="155" spans="1:37" x14ac:dyDescent="0.3">
      <c r="A155" s="1">
        <v>44140</v>
      </c>
      <c r="B155">
        <v>1.1820999999999999</v>
      </c>
      <c r="C155">
        <v>1.3142</v>
      </c>
      <c r="D155">
        <v>103.47</v>
      </c>
      <c r="G155">
        <v>1.1820999999999999</v>
      </c>
      <c r="H155">
        <f t="shared" si="13"/>
        <v>1.1721999999999999</v>
      </c>
      <c r="I155">
        <f t="shared" si="13"/>
        <v>1.1711</v>
      </c>
      <c r="J155">
        <f t="shared" si="13"/>
        <v>1.1639999999999999</v>
      </c>
      <c r="L155">
        <f t="shared" si="12"/>
        <v>9.9000000000000199E-3</v>
      </c>
      <c r="W155">
        <f t="shared" si="14"/>
        <v>-9.6669218989280728E-3</v>
      </c>
      <c r="X155">
        <f t="shared" si="15"/>
        <v>1.9146084625703842E-4</v>
      </c>
      <c r="Y155">
        <f t="shared" si="15"/>
        <v>-2.3875465571578649E-3</v>
      </c>
      <c r="Z155">
        <f t="shared" si="15"/>
        <v>6.6896024464825285E-4</v>
      </c>
      <c r="AE155">
        <f>W155-mu-theta*AE154</f>
        <v>-1.008329406007445E-2</v>
      </c>
      <c r="AF155">
        <f t="shared" si="17"/>
        <v>-6.6907000133378163E-4</v>
      </c>
      <c r="AG155">
        <f t="shared" si="17"/>
        <v>-2.5087637342399213E-3</v>
      </c>
      <c r="AK155">
        <f t="shared" si="16"/>
        <v>1.016728191019327E-4</v>
      </c>
    </row>
    <row r="156" spans="1:37" x14ac:dyDescent="0.3">
      <c r="A156" s="1">
        <v>44141</v>
      </c>
      <c r="B156">
        <v>1.1872</v>
      </c>
      <c r="C156">
        <v>1.3156000000000001</v>
      </c>
      <c r="D156">
        <v>103.33</v>
      </c>
      <c r="G156">
        <v>1.1872</v>
      </c>
      <c r="H156">
        <f t="shared" si="13"/>
        <v>1.1820999999999999</v>
      </c>
      <c r="I156">
        <f t="shared" si="13"/>
        <v>1.1721999999999999</v>
      </c>
      <c r="J156">
        <f t="shared" si="13"/>
        <v>1.1711</v>
      </c>
      <c r="L156">
        <f t="shared" si="12"/>
        <v>5.1000000000001044E-3</v>
      </c>
      <c r="W156">
        <f t="shared" si="14"/>
        <v>-1.3530491930028082E-3</v>
      </c>
      <c r="X156">
        <f t="shared" si="15"/>
        <v>-9.6669218989280728E-3</v>
      </c>
      <c r="Y156">
        <f t="shared" si="15"/>
        <v>1.9146084625703842E-4</v>
      </c>
      <c r="Z156">
        <f t="shared" si="15"/>
        <v>-2.3875465571578649E-3</v>
      </c>
      <c r="AE156">
        <f>W156-mu-theta*AE155</f>
        <v>-4.0423047787280187E-3</v>
      </c>
      <c r="AF156">
        <f t="shared" si="17"/>
        <v>-1.008329406007445E-2</v>
      </c>
      <c r="AG156">
        <f t="shared" si="17"/>
        <v>-6.6907000133378163E-4</v>
      </c>
      <c r="AK156">
        <f t="shared" si="16"/>
        <v>1.6340227924127376E-5</v>
      </c>
    </row>
    <row r="157" spans="1:37" x14ac:dyDescent="0.3">
      <c r="A157" s="1">
        <v>44144</v>
      </c>
      <c r="B157">
        <v>1.1813</v>
      </c>
      <c r="C157">
        <v>1.3163</v>
      </c>
      <c r="D157">
        <v>105.36</v>
      </c>
      <c r="G157">
        <v>1.1813</v>
      </c>
      <c r="H157">
        <f t="shared" si="13"/>
        <v>1.1872</v>
      </c>
      <c r="I157">
        <f t="shared" si="13"/>
        <v>1.1820999999999999</v>
      </c>
      <c r="J157">
        <f t="shared" si="13"/>
        <v>1.1721999999999999</v>
      </c>
      <c r="L157">
        <f t="shared" si="12"/>
        <v>-5.9000000000000163E-3</v>
      </c>
      <c r="W157">
        <f t="shared" si="14"/>
        <v>1.9645795025646E-2</v>
      </c>
      <c r="X157">
        <f t="shared" si="15"/>
        <v>-1.3530491930028082E-3</v>
      </c>
      <c r="Y157">
        <f t="shared" si="15"/>
        <v>-9.6669218989280728E-3</v>
      </c>
      <c r="Z157">
        <f t="shared" si="15"/>
        <v>1.9146084625703842E-4</v>
      </c>
      <c r="AE157">
        <f>W157-mu-theta*AE156</f>
        <v>1.8415020172900858E-2</v>
      </c>
      <c r="AF157">
        <f t="shared" si="17"/>
        <v>-4.0423047787280187E-3</v>
      </c>
      <c r="AG157">
        <f t="shared" si="17"/>
        <v>-1.008329406007445E-2</v>
      </c>
      <c r="AK157">
        <f t="shared" si="16"/>
        <v>3.3911296796834553E-4</v>
      </c>
    </row>
    <row r="158" spans="1:37" x14ac:dyDescent="0.3">
      <c r="A158" s="1">
        <v>44145</v>
      </c>
      <c r="B158">
        <v>1.1814</v>
      </c>
      <c r="C158">
        <v>1.3270999999999999</v>
      </c>
      <c r="D158">
        <v>105.28</v>
      </c>
      <c r="G158">
        <v>1.1814</v>
      </c>
      <c r="H158">
        <f t="shared" si="13"/>
        <v>1.1813</v>
      </c>
      <c r="I158">
        <f t="shared" si="13"/>
        <v>1.1872</v>
      </c>
      <c r="J158">
        <f t="shared" si="13"/>
        <v>1.1820999999999999</v>
      </c>
      <c r="L158">
        <f t="shared" si="12"/>
        <v>9.9999999999988987E-5</v>
      </c>
      <c r="W158">
        <f t="shared" si="14"/>
        <v>-7.5930144267272485E-4</v>
      </c>
      <c r="X158">
        <f t="shared" si="15"/>
        <v>1.9645795025646E-2</v>
      </c>
      <c r="Y158">
        <f t="shared" si="15"/>
        <v>-1.3530491930028082E-3</v>
      </c>
      <c r="Z158">
        <f t="shared" si="15"/>
        <v>-9.6669218989280728E-3</v>
      </c>
      <c r="AE158">
        <f>W158-mu-theta*AE157</f>
        <v>3.4318131056047256E-3</v>
      </c>
      <c r="AF158">
        <f t="shared" si="17"/>
        <v>1.8415020172900858E-2</v>
      </c>
      <c r="AG158">
        <f t="shared" si="17"/>
        <v>-4.0423047787280187E-3</v>
      </c>
      <c r="AK158">
        <f t="shared" si="16"/>
        <v>1.1777341191800352E-5</v>
      </c>
    </row>
    <row r="159" spans="1:37" x14ac:dyDescent="0.3">
      <c r="A159" s="1">
        <v>44146</v>
      </c>
      <c r="B159">
        <v>1.1777</v>
      </c>
      <c r="C159">
        <v>1.3221000000000001</v>
      </c>
      <c r="D159">
        <v>105.42</v>
      </c>
      <c r="G159">
        <v>1.1777</v>
      </c>
      <c r="H159">
        <f t="shared" si="13"/>
        <v>1.1814</v>
      </c>
      <c r="I159">
        <f t="shared" si="13"/>
        <v>1.1813</v>
      </c>
      <c r="J159">
        <f t="shared" si="13"/>
        <v>1.1872</v>
      </c>
      <c r="L159">
        <f t="shared" si="12"/>
        <v>-3.7000000000000366E-3</v>
      </c>
      <c r="W159">
        <f t="shared" si="14"/>
        <v>1.3297872340425586E-3</v>
      </c>
      <c r="X159">
        <f t="shared" si="15"/>
        <v>-7.5930144267272485E-4</v>
      </c>
      <c r="Y159">
        <f t="shared" si="15"/>
        <v>1.9645795025646E-2</v>
      </c>
      <c r="Z159">
        <f t="shared" si="15"/>
        <v>-1.3530491930028082E-3</v>
      </c>
      <c r="AE159">
        <f>W159-mu-theta*AE158</f>
        <v>1.9034944657104961E-3</v>
      </c>
      <c r="AF159">
        <f t="shared" si="17"/>
        <v>3.4318131056047256E-3</v>
      </c>
      <c r="AG159">
        <f t="shared" si="17"/>
        <v>1.8415020172900858E-2</v>
      </c>
      <c r="AK159">
        <f t="shared" si="16"/>
        <v>3.6232911809904872E-6</v>
      </c>
    </row>
    <row r="160" spans="1:37" x14ac:dyDescent="0.3">
      <c r="A160" s="1">
        <v>44147</v>
      </c>
      <c r="B160">
        <v>1.1803999999999999</v>
      </c>
      <c r="C160">
        <v>1.3113999999999999</v>
      </c>
      <c r="D160">
        <v>105.12</v>
      </c>
      <c r="G160">
        <v>1.1803999999999999</v>
      </c>
      <c r="H160">
        <f t="shared" si="13"/>
        <v>1.1777</v>
      </c>
      <c r="I160">
        <f t="shared" si="13"/>
        <v>1.1814</v>
      </c>
      <c r="J160">
        <f t="shared" si="13"/>
        <v>1.1813</v>
      </c>
      <c r="L160">
        <f t="shared" si="12"/>
        <v>2.6999999999999247E-3</v>
      </c>
      <c r="W160">
        <f t="shared" si="14"/>
        <v>-2.8457598178713447E-3</v>
      </c>
      <c r="X160">
        <f t="shared" si="15"/>
        <v>1.3297872340425586E-3</v>
      </c>
      <c r="Y160">
        <f t="shared" si="15"/>
        <v>-7.5930144267272485E-4</v>
      </c>
      <c r="Z160">
        <f t="shared" si="15"/>
        <v>1.9645795025646E-2</v>
      </c>
      <c r="AE160">
        <f>W160-mu-theta*AE159</f>
        <v>-2.6410357421614706E-3</v>
      </c>
      <c r="AF160">
        <f t="shared" si="17"/>
        <v>1.9034944657104961E-3</v>
      </c>
      <c r="AG160">
        <f t="shared" si="17"/>
        <v>3.4318131056047256E-3</v>
      </c>
      <c r="AK160">
        <f t="shared" si="16"/>
        <v>6.97506979137439E-6</v>
      </c>
    </row>
    <row r="161" spans="1:37" x14ac:dyDescent="0.3">
      <c r="A161" s="1">
        <v>44148</v>
      </c>
      <c r="B161">
        <v>1.1832</v>
      </c>
      <c r="C161">
        <v>1.3186</v>
      </c>
      <c r="D161">
        <v>104.62</v>
      </c>
      <c r="G161">
        <v>1.1832</v>
      </c>
      <c r="H161">
        <f t="shared" si="13"/>
        <v>1.1803999999999999</v>
      </c>
      <c r="I161">
        <f t="shared" si="13"/>
        <v>1.1777</v>
      </c>
      <c r="J161">
        <f t="shared" si="13"/>
        <v>1.1814</v>
      </c>
      <c r="L161">
        <f t="shared" si="12"/>
        <v>2.8000000000001357E-3</v>
      </c>
      <c r="W161">
        <f t="shared" si="14"/>
        <v>-4.7564687975646877E-3</v>
      </c>
      <c r="X161">
        <f t="shared" si="15"/>
        <v>-2.8457598178713447E-3</v>
      </c>
      <c r="Y161">
        <f t="shared" si="15"/>
        <v>1.3297872340425586E-3</v>
      </c>
      <c r="Z161">
        <f t="shared" si="15"/>
        <v>-7.5930144267272485E-4</v>
      </c>
      <c r="AE161">
        <f>W161-mu-theta*AE160</f>
        <v>-5.6489341787362675E-3</v>
      </c>
      <c r="AF161">
        <f t="shared" si="17"/>
        <v>-2.6410357421614706E-3</v>
      </c>
      <c r="AG161">
        <f t="shared" si="17"/>
        <v>1.9034944657104961E-3</v>
      </c>
      <c r="AK161">
        <f t="shared" si="16"/>
        <v>3.1910457355694791E-5</v>
      </c>
    </row>
    <row r="162" spans="1:37" x14ac:dyDescent="0.3">
      <c r="A162" s="1">
        <v>44151</v>
      </c>
      <c r="B162">
        <v>1.1853</v>
      </c>
      <c r="C162">
        <v>1.3190999999999999</v>
      </c>
      <c r="D162">
        <v>104.56</v>
      </c>
      <c r="G162">
        <v>1.1853</v>
      </c>
      <c r="H162">
        <f t="shared" si="13"/>
        <v>1.1832</v>
      </c>
      <c r="I162">
        <f t="shared" si="13"/>
        <v>1.1803999999999999</v>
      </c>
      <c r="J162">
        <f t="shared" si="13"/>
        <v>1.1777</v>
      </c>
      <c r="L162">
        <f t="shared" si="12"/>
        <v>2.0999999999999908E-3</v>
      </c>
      <c r="W162">
        <f t="shared" si="14"/>
        <v>-5.7350411011281087E-4</v>
      </c>
      <c r="X162">
        <f t="shared" si="15"/>
        <v>-4.7564687975646877E-3</v>
      </c>
      <c r="Y162">
        <f t="shared" si="15"/>
        <v>-2.8457598178713447E-3</v>
      </c>
      <c r="Z162">
        <f t="shared" si="15"/>
        <v>1.3297872340425586E-3</v>
      </c>
      <c r="AE162">
        <f>W162-mu-theta*AE161</f>
        <v>-2.1921687464380828E-3</v>
      </c>
      <c r="AF162">
        <f t="shared" si="17"/>
        <v>-5.6489341787362675E-3</v>
      </c>
      <c r="AG162">
        <f t="shared" si="17"/>
        <v>-2.6410357421614706E-3</v>
      </c>
      <c r="AK162">
        <f t="shared" si="16"/>
        <v>4.8056038128599155E-6</v>
      </c>
    </row>
    <row r="163" spans="1:37" x14ac:dyDescent="0.3">
      <c r="A163" s="1">
        <v>44152</v>
      </c>
      <c r="B163">
        <v>1.1860999999999999</v>
      </c>
      <c r="C163">
        <v>1.3241000000000001</v>
      </c>
      <c r="D163">
        <v>104.17</v>
      </c>
      <c r="G163">
        <v>1.1860999999999999</v>
      </c>
      <c r="H163">
        <f t="shared" si="13"/>
        <v>1.1853</v>
      </c>
      <c r="I163">
        <f t="shared" si="13"/>
        <v>1.1832</v>
      </c>
      <c r="J163">
        <f t="shared" si="13"/>
        <v>1.1803999999999999</v>
      </c>
      <c r="L163">
        <f t="shared" si="12"/>
        <v>7.9999999999991189E-4</v>
      </c>
      <c r="W163">
        <f t="shared" si="14"/>
        <v>-3.7299158377964857E-3</v>
      </c>
      <c r="X163">
        <f t="shared" si="15"/>
        <v>-5.7350411011281087E-4</v>
      </c>
      <c r="Y163">
        <f t="shared" si="15"/>
        <v>-4.7564687975646877E-3</v>
      </c>
      <c r="Z163">
        <f t="shared" si="15"/>
        <v>-2.8457598178713447E-3</v>
      </c>
      <c r="AE163">
        <f>W163-mu-theta*AE162</f>
        <v>-4.5140109116485836E-3</v>
      </c>
      <c r="AF163">
        <f t="shared" si="17"/>
        <v>-2.1921687464380828E-3</v>
      </c>
      <c r="AG163">
        <f t="shared" si="17"/>
        <v>-5.6489341787362675E-3</v>
      </c>
      <c r="AK163">
        <f t="shared" si="16"/>
        <v>2.0376294510482478E-5</v>
      </c>
    </row>
    <row r="164" spans="1:37" x14ac:dyDescent="0.3">
      <c r="A164" s="1">
        <v>44153</v>
      </c>
      <c r="B164">
        <v>1.1852</v>
      </c>
      <c r="C164">
        <v>1.3269</v>
      </c>
      <c r="D164">
        <v>103.83</v>
      </c>
      <c r="G164">
        <v>1.1852</v>
      </c>
      <c r="H164">
        <f t="shared" si="13"/>
        <v>1.1860999999999999</v>
      </c>
      <c r="I164">
        <f t="shared" si="13"/>
        <v>1.1853</v>
      </c>
      <c r="J164">
        <f t="shared" si="13"/>
        <v>1.1832</v>
      </c>
      <c r="L164">
        <f t="shared" si="12"/>
        <v>-8.9999999999990088E-4</v>
      </c>
      <c r="W164">
        <f t="shared" si="14"/>
        <v>-3.2638955553422619E-3</v>
      </c>
      <c r="X164">
        <f t="shared" si="15"/>
        <v>-3.7299158377964857E-3</v>
      </c>
      <c r="Y164">
        <f t="shared" si="15"/>
        <v>-5.7350411011281087E-4</v>
      </c>
      <c r="Z164">
        <f t="shared" si="15"/>
        <v>-4.7564687975646877E-3</v>
      </c>
      <c r="AE164">
        <f>W164-mu-theta*AE163</f>
        <v>-4.608554786034824E-3</v>
      </c>
      <c r="AF164">
        <f t="shared" si="17"/>
        <v>-4.5140109116485836E-3</v>
      </c>
      <c r="AG164">
        <f t="shared" si="17"/>
        <v>-2.1921687464380828E-3</v>
      </c>
      <c r="AK164">
        <f t="shared" si="16"/>
        <v>2.1238777215884481E-5</v>
      </c>
    </row>
    <row r="165" spans="1:37" x14ac:dyDescent="0.3">
      <c r="A165" s="1">
        <v>44154</v>
      </c>
      <c r="B165">
        <v>1.1873</v>
      </c>
      <c r="C165">
        <v>1.3261000000000001</v>
      </c>
      <c r="D165">
        <v>103.72</v>
      </c>
      <c r="G165">
        <v>1.1873</v>
      </c>
      <c r="H165">
        <f t="shared" si="13"/>
        <v>1.1852</v>
      </c>
      <c r="I165">
        <f t="shared" si="13"/>
        <v>1.1860999999999999</v>
      </c>
      <c r="J165">
        <f t="shared" si="13"/>
        <v>1.1853</v>
      </c>
      <c r="L165">
        <f t="shared" si="12"/>
        <v>2.0999999999999908E-3</v>
      </c>
      <c r="W165">
        <f t="shared" si="14"/>
        <v>-1.0594240585572515E-3</v>
      </c>
      <c r="X165">
        <f t="shared" si="15"/>
        <v>-3.2638955553422619E-3</v>
      </c>
      <c r="Y165">
        <f t="shared" si="15"/>
        <v>-3.7299158377964857E-3</v>
      </c>
      <c r="Z165">
        <f t="shared" si="15"/>
        <v>-5.7350411011281087E-4</v>
      </c>
      <c r="AE165">
        <f>W165-mu-theta*AE164</f>
        <v>-2.4269090902555197E-3</v>
      </c>
      <c r="AF165">
        <f t="shared" si="17"/>
        <v>-4.608554786034824E-3</v>
      </c>
      <c r="AG165">
        <f t="shared" si="17"/>
        <v>-4.5140109116485836E-3</v>
      </c>
      <c r="AK165">
        <f t="shared" si="16"/>
        <v>5.8898877323648748E-6</v>
      </c>
    </row>
    <row r="166" spans="1:37" x14ac:dyDescent="0.3">
      <c r="A166" s="1">
        <v>44155</v>
      </c>
      <c r="B166">
        <v>1.1853</v>
      </c>
      <c r="C166">
        <v>1.3282</v>
      </c>
      <c r="D166">
        <v>103.85</v>
      </c>
      <c r="G166">
        <v>1.1853</v>
      </c>
      <c r="H166">
        <f t="shared" si="13"/>
        <v>1.1873</v>
      </c>
      <c r="I166">
        <f t="shared" si="13"/>
        <v>1.1852</v>
      </c>
      <c r="J166">
        <f t="shared" si="13"/>
        <v>1.1860999999999999</v>
      </c>
      <c r="L166">
        <f t="shared" si="12"/>
        <v>-2.0000000000000018E-3</v>
      </c>
      <c r="W166">
        <f t="shared" si="14"/>
        <v>1.2533744697261421E-3</v>
      </c>
      <c r="X166">
        <f t="shared" si="15"/>
        <v>-1.0594240585572515E-3</v>
      </c>
      <c r="Y166">
        <f t="shared" si="15"/>
        <v>-3.2638955553422619E-3</v>
      </c>
      <c r="Z166">
        <f t="shared" si="15"/>
        <v>-3.7299158377964857E-3</v>
      </c>
      <c r="AE166">
        <f>W166-mu-theta*AE165</f>
        <v>4.126058523920167E-4</v>
      </c>
      <c r="AF166">
        <f t="shared" si="17"/>
        <v>-2.4269090902555197E-3</v>
      </c>
      <c r="AG166">
        <f t="shared" si="17"/>
        <v>-4.608554786034824E-3</v>
      </c>
      <c r="AK166">
        <f t="shared" si="16"/>
        <v>1.7024358942814267E-7</v>
      </c>
    </row>
    <row r="167" spans="1:37" x14ac:dyDescent="0.3">
      <c r="A167" s="1">
        <v>44158</v>
      </c>
      <c r="B167">
        <v>1.1839999999999999</v>
      </c>
      <c r="C167">
        <v>1.3323</v>
      </c>
      <c r="D167">
        <v>104.54</v>
      </c>
      <c r="G167">
        <v>1.1839999999999999</v>
      </c>
      <c r="H167">
        <f t="shared" si="13"/>
        <v>1.1853</v>
      </c>
      <c r="I167">
        <f t="shared" si="13"/>
        <v>1.1873</v>
      </c>
      <c r="J167">
        <f t="shared" si="13"/>
        <v>1.1852</v>
      </c>
      <c r="L167">
        <f t="shared" si="12"/>
        <v>-1.3000000000000789E-3</v>
      </c>
      <c r="W167">
        <f t="shared" si="14"/>
        <v>6.644198363023707E-3</v>
      </c>
      <c r="X167">
        <f t="shared" si="15"/>
        <v>1.2533744697261421E-3</v>
      </c>
      <c r="Y167">
        <f t="shared" si="15"/>
        <v>-1.0594240585572515E-3</v>
      </c>
      <c r="Z167">
        <f t="shared" si="15"/>
        <v>-3.2638955553422619E-3</v>
      </c>
      <c r="AE167">
        <f>W167-mu-theta*AE166</f>
        <v>6.4889760431558466E-3</v>
      </c>
      <c r="AF167">
        <f t="shared" si="17"/>
        <v>4.126058523920167E-4</v>
      </c>
      <c r="AG167">
        <f t="shared" si="17"/>
        <v>-2.4269090902555197E-3</v>
      </c>
      <c r="AK167">
        <f t="shared" si="16"/>
        <v>4.2106810088650504E-5</v>
      </c>
    </row>
    <row r="168" spans="1:37" x14ac:dyDescent="0.3">
      <c r="A168" s="1">
        <v>44159</v>
      </c>
      <c r="B168">
        <v>1.1888000000000001</v>
      </c>
      <c r="C168">
        <v>1.3355999999999999</v>
      </c>
      <c r="D168">
        <v>104.43</v>
      </c>
      <c r="G168">
        <v>1.1888000000000001</v>
      </c>
      <c r="H168">
        <f t="shared" si="13"/>
        <v>1.1839999999999999</v>
      </c>
      <c r="I168">
        <f t="shared" si="13"/>
        <v>1.1853</v>
      </c>
      <c r="J168">
        <f t="shared" si="13"/>
        <v>1.1873</v>
      </c>
      <c r="L168">
        <f t="shared" si="12"/>
        <v>4.8000000000001375E-3</v>
      </c>
      <c r="W168">
        <f t="shared" si="14"/>
        <v>-1.0522288119380087E-3</v>
      </c>
      <c r="X168">
        <f t="shared" si="15"/>
        <v>6.644198363023707E-3</v>
      </c>
      <c r="Y168">
        <f t="shared" si="15"/>
        <v>1.2533744697261421E-3</v>
      </c>
      <c r="Z168">
        <f t="shared" si="15"/>
        <v>-1.0594240585572515E-3</v>
      </c>
      <c r="AE168">
        <f>W168-mu-theta*AE167</f>
        <v>2.5957164160786438E-4</v>
      </c>
      <c r="AF168">
        <f t="shared" si="17"/>
        <v>6.4889760431558466E-3</v>
      </c>
      <c r="AG168">
        <f t="shared" si="17"/>
        <v>4.126058523920167E-4</v>
      </c>
      <c r="AK168">
        <f t="shared" si="16"/>
        <v>6.7377437127001598E-8</v>
      </c>
    </row>
    <row r="169" spans="1:37" x14ac:dyDescent="0.3">
      <c r="A169" s="1">
        <v>44160</v>
      </c>
      <c r="B169">
        <v>1.1913</v>
      </c>
      <c r="C169">
        <v>1.3382000000000001</v>
      </c>
      <c r="D169">
        <v>104.45</v>
      </c>
      <c r="G169">
        <v>1.1913</v>
      </c>
      <c r="H169">
        <f t="shared" si="13"/>
        <v>1.1888000000000001</v>
      </c>
      <c r="I169">
        <f t="shared" si="13"/>
        <v>1.1839999999999999</v>
      </c>
      <c r="J169">
        <f t="shared" si="13"/>
        <v>1.1853</v>
      </c>
      <c r="L169">
        <f t="shared" si="12"/>
        <v>2.4999999999999467E-3</v>
      </c>
      <c r="W169">
        <f t="shared" si="14"/>
        <v>1.9151584793637862E-4</v>
      </c>
      <c r="X169">
        <f t="shared" si="15"/>
        <v>-1.0522288119380087E-3</v>
      </c>
      <c r="Y169">
        <f t="shared" si="15"/>
        <v>6.644198363023707E-3</v>
      </c>
      <c r="Z169">
        <f t="shared" si="15"/>
        <v>1.2533744697261421E-3</v>
      </c>
      <c r="AE169">
        <f>W169-mu-theta*AE168</f>
        <v>-6.5364027106028677E-7</v>
      </c>
      <c r="AF169">
        <f t="shared" si="17"/>
        <v>2.5957164160786438E-4</v>
      </c>
      <c r="AG169">
        <f t="shared" si="17"/>
        <v>6.4889760431558466E-3</v>
      </c>
      <c r="AK169">
        <f t="shared" si="16"/>
        <v>4.2724560395176516E-13</v>
      </c>
    </row>
    <row r="170" spans="1:37" x14ac:dyDescent="0.3">
      <c r="A170" s="1">
        <v>44161</v>
      </c>
      <c r="B170">
        <v>1.1913</v>
      </c>
      <c r="C170">
        <v>1.3354999999999999</v>
      </c>
      <c r="D170">
        <v>104.25</v>
      </c>
      <c r="G170">
        <v>1.1913</v>
      </c>
      <c r="H170">
        <f t="shared" si="13"/>
        <v>1.1913</v>
      </c>
      <c r="I170">
        <f t="shared" si="13"/>
        <v>1.1888000000000001</v>
      </c>
      <c r="J170">
        <f t="shared" si="13"/>
        <v>1.1839999999999999</v>
      </c>
      <c r="L170">
        <f t="shared" si="12"/>
        <v>0</v>
      </c>
      <c r="W170">
        <f t="shared" si="14"/>
        <v>-1.9147917663954316E-3</v>
      </c>
      <c r="X170">
        <f t="shared" si="15"/>
        <v>1.9151584793637862E-4</v>
      </c>
      <c r="Y170">
        <f t="shared" si="15"/>
        <v>-1.0522288119380087E-3</v>
      </c>
      <c r="Z170">
        <f t="shared" si="15"/>
        <v>6.644198363023707E-3</v>
      </c>
      <c r="AE170">
        <f>W170-mu-theta*AE169</f>
        <v>-2.1697876464699534E-3</v>
      </c>
      <c r="AF170">
        <f t="shared" si="17"/>
        <v>-6.5364027106028677E-7</v>
      </c>
      <c r="AG170">
        <f t="shared" si="17"/>
        <v>2.5957164160786438E-4</v>
      </c>
      <c r="AK170">
        <f t="shared" si="16"/>
        <v>4.7079784307736193E-6</v>
      </c>
    </row>
    <row r="171" spans="1:37" x14ac:dyDescent="0.3">
      <c r="A171" s="1">
        <v>44162</v>
      </c>
      <c r="B171">
        <v>1.1961999999999999</v>
      </c>
      <c r="C171">
        <v>1.3313999999999999</v>
      </c>
      <c r="D171">
        <v>104.1</v>
      </c>
      <c r="G171">
        <v>1.1961999999999999</v>
      </c>
      <c r="H171">
        <f t="shared" si="13"/>
        <v>1.1913</v>
      </c>
      <c r="I171">
        <f t="shared" si="13"/>
        <v>1.1913</v>
      </c>
      <c r="J171">
        <f t="shared" si="13"/>
        <v>1.1888000000000001</v>
      </c>
      <c r="L171">
        <f t="shared" si="12"/>
        <v>4.8999999999999044E-3</v>
      </c>
      <c r="W171">
        <f t="shared" si="14"/>
        <v>-1.4388489208633638E-3</v>
      </c>
      <c r="X171">
        <f t="shared" si="15"/>
        <v>-1.9147917663954316E-3</v>
      </c>
      <c r="Y171">
        <f t="shared" si="15"/>
        <v>1.9151584793637862E-4</v>
      </c>
      <c r="Z171">
        <f t="shared" si="15"/>
        <v>-1.0522288119380087E-3</v>
      </c>
      <c r="AE171">
        <f>W171-mu-theta*AE170</f>
        <v>-2.2175405083713936E-3</v>
      </c>
      <c r="AF171">
        <f t="shared" si="17"/>
        <v>-2.1697876464699534E-3</v>
      </c>
      <c r="AG171">
        <f t="shared" si="17"/>
        <v>-6.5364027106028677E-7</v>
      </c>
      <c r="AK171">
        <f t="shared" si="16"/>
        <v>4.9174859062680591E-6</v>
      </c>
    </row>
    <row r="172" spans="1:37" x14ac:dyDescent="0.3">
      <c r="A172" s="1">
        <v>44165</v>
      </c>
      <c r="B172">
        <v>1.1928000000000001</v>
      </c>
      <c r="C172">
        <v>1.3321000000000001</v>
      </c>
      <c r="D172">
        <v>104.27</v>
      </c>
      <c r="G172">
        <v>1.1928000000000001</v>
      </c>
      <c r="H172">
        <f t="shared" si="13"/>
        <v>1.1961999999999999</v>
      </c>
      <c r="I172">
        <f t="shared" si="13"/>
        <v>1.1913</v>
      </c>
      <c r="J172">
        <f t="shared" si="13"/>
        <v>1.1913</v>
      </c>
      <c r="L172">
        <f t="shared" si="12"/>
        <v>-3.3999999999998476E-3</v>
      </c>
      <c r="W172">
        <f t="shared" si="14"/>
        <v>1.6330451488953096E-3</v>
      </c>
      <c r="X172">
        <f t="shared" si="15"/>
        <v>-1.4388489208633638E-3</v>
      </c>
      <c r="Y172">
        <f t="shared" si="15"/>
        <v>-1.9147917663954316E-3</v>
      </c>
      <c r="Z172">
        <f t="shared" si="15"/>
        <v>1.9151584793637862E-4</v>
      </c>
      <c r="AE172">
        <f>W172-mu-theta*AE171</f>
        <v>8.4282455085866223E-4</v>
      </c>
      <c r="AF172">
        <f t="shared" si="17"/>
        <v>-2.2175405083713936E-3</v>
      </c>
      <c r="AG172">
        <f t="shared" si="17"/>
        <v>-2.1697876464699534E-3</v>
      </c>
      <c r="AK172">
        <f t="shared" si="16"/>
        <v>7.1035322353010567E-7</v>
      </c>
    </row>
    <row r="173" spans="1:37" x14ac:dyDescent="0.3">
      <c r="A173" s="1">
        <v>44166</v>
      </c>
      <c r="B173">
        <v>1.2070000000000001</v>
      </c>
      <c r="C173">
        <v>1.3414999999999999</v>
      </c>
      <c r="D173">
        <v>104.3</v>
      </c>
      <c r="G173">
        <v>1.2070000000000001</v>
      </c>
      <c r="H173">
        <f t="shared" si="13"/>
        <v>1.1928000000000001</v>
      </c>
      <c r="I173">
        <f t="shared" si="13"/>
        <v>1.1961999999999999</v>
      </c>
      <c r="J173">
        <f t="shared" si="13"/>
        <v>1.1913</v>
      </c>
      <c r="L173">
        <f t="shared" si="12"/>
        <v>1.419999999999999E-2</v>
      </c>
      <c r="W173">
        <f t="shared" si="14"/>
        <v>2.8771458712957836E-4</v>
      </c>
      <c r="X173">
        <f t="shared" si="15"/>
        <v>1.6330451488953096E-3</v>
      </c>
      <c r="Y173">
        <f t="shared" si="15"/>
        <v>-1.4388489208633638E-3</v>
      </c>
      <c r="Z173">
        <f t="shared" si="15"/>
        <v>-1.9147917663954316E-3</v>
      </c>
      <c r="AE173">
        <f>W173-mu-theta*AE172</f>
        <v>2.3636030169423637E-4</v>
      </c>
      <c r="AF173">
        <f t="shared" si="17"/>
        <v>8.4282455085866223E-4</v>
      </c>
      <c r="AG173">
        <f t="shared" si="17"/>
        <v>-2.2175405083713936E-3</v>
      </c>
      <c r="AK173">
        <f t="shared" si="16"/>
        <v>5.5866192216990439E-8</v>
      </c>
    </row>
    <row r="174" spans="1:37" x14ac:dyDescent="0.3">
      <c r="A174" s="1">
        <v>44167</v>
      </c>
      <c r="B174">
        <v>1.2115</v>
      </c>
      <c r="C174">
        <v>1.3363</v>
      </c>
      <c r="D174">
        <v>104.4</v>
      </c>
      <c r="G174">
        <v>1.2115</v>
      </c>
      <c r="H174">
        <f t="shared" si="13"/>
        <v>1.2070000000000001</v>
      </c>
      <c r="I174">
        <f t="shared" si="13"/>
        <v>1.1928000000000001</v>
      </c>
      <c r="J174">
        <f t="shared" si="13"/>
        <v>1.1961999999999999</v>
      </c>
      <c r="L174">
        <f t="shared" si="12"/>
        <v>4.4999999999999485E-3</v>
      </c>
      <c r="W174">
        <f t="shared" si="14"/>
        <v>9.5877277085338957E-4</v>
      </c>
      <c r="X174">
        <f t="shared" si="15"/>
        <v>2.8771458712957836E-4</v>
      </c>
      <c r="Y174">
        <f t="shared" si="15"/>
        <v>1.6330451488953096E-3</v>
      </c>
      <c r="Z174">
        <f t="shared" si="15"/>
        <v>-1.4388489208633638E-3</v>
      </c>
      <c r="AE174">
        <f>W174-mu-theta*AE173</f>
        <v>7.6099935082716555E-4</v>
      </c>
      <c r="AF174">
        <f t="shared" si="17"/>
        <v>2.3636030169423637E-4</v>
      </c>
      <c r="AG174">
        <f t="shared" si="17"/>
        <v>8.4282455085866223E-4</v>
      </c>
      <c r="AK174">
        <f t="shared" si="16"/>
        <v>5.7912001195936736E-7</v>
      </c>
    </row>
    <row r="175" spans="1:37" x14ac:dyDescent="0.3">
      <c r="A175" s="1">
        <v>44168</v>
      </c>
      <c r="B175">
        <v>1.214</v>
      </c>
      <c r="C175">
        <v>1.3452</v>
      </c>
      <c r="D175">
        <v>103.83</v>
      </c>
      <c r="G175">
        <v>1.214</v>
      </c>
      <c r="H175">
        <f t="shared" si="13"/>
        <v>1.2115</v>
      </c>
      <c r="I175">
        <f t="shared" si="13"/>
        <v>1.2070000000000001</v>
      </c>
      <c r="J175">
        <f t="shared" si="13"/>
        <v>1.1928000000000001</v>
      </c>
      <c r="L175">
        <f t="shared" si="12"/>
        <v>2.4999999999999467E-3</v>
      </c>
      <c r="W175">
        <f t="shared" si="14"/>
        <v>-5.4597701149425989E-3</v>
      </c>
      <c r="X175">
        <f t="shared" si="15"/>
        <v>9.5877277085338957E-4</v>
      </c>
      <c r="Y175">
        <f t="shared" si="15"/>
        <v>2.8771458712957836E-4</v>
      </c>
      <c r="Z175">
        <f t="shared" si="15"/>
        <v>1.6330451488953096E-3</v>
      </c>
      <c r="AE175">
        <f>W175-mu-theta*AE174</f>
        <v>-5.530879521958223E-3</v>
      </c>
      <c r="AF175">
        <f t="shared" si="17"/>
        <v>7.6099935082716555E-4</v>
      </c>
      <c r="AG175">
        <f t="shared" si="17"/>
        <v>2.3636030169423637E-4</v>
      </c>
      <c r="AK175">
        <f t="shared" si="16"/>
        <v>3.059062828641682E-5</v>
      </c>
    </row>
    <row r="176" spans="1:37" x14ac:dyDescent="0.3">
      <c r="A176" s="1">
        <v>44169</v>
      </c>
      <c r="B176">
        <v>1.212</v>
      </c>
      <c r="C176">
        <v>1.3436999999999999</v>
      </c>
      <c r="D176">
        <v>104.14</v>
      </c>
      <c r="G176">
        <v>1.212</v>
      </c>
      <c r="H176">
        <f t="shared" si="13"/>
        <v>1.214</v>
      </c>
      <c r="I176">
        <f t="shared" si="13"/>
        <v>1.2115</v>
      </c>
      <c r="J176">
        <f t="shared" si="13"/>
        <v>1.2070000000000001</v>
      </c>
      <c r="L176">
        <f t="shared" si="12"/>
        <v>-2.0000000000000018E-3</v>
      </c>
      <c r="W176">
        <f t="shared" si="14"/>
        <v>2.9856496195704739E-3</v>
      </c>
      <c r="X176">
        <f t="shared" si="15"/>
        <v>-5.4597701149425989E-3</v>
      </c>
      <c r="Y176">
        <f t="shared" si="15"/>
        <v>9.5877277085338957E-4</v>
      </c>
      <c r="Z176">
        <f t="shared" si="15"/>
        <v>2.8771458712957836E-4</v>
      </c>
      <c r="AE176">
        <f>W176-mu-theta*AE175</f>
        <v>1.3954870106997147E-3</v>
      </c>
      <c r="AF176">
        <f t="shared" si="17"/>
        <v>-5.530879521958223E-3</v>
      </c>
      <c r="AG176">
        <f t="shared" si="17"/>
        <v>7.6099935082716555E-4</v>
      </c>
      <c r="AK176">
        <f t="shared" si="16"/>
        <v>1.9473839970316257E-6</v>
      </c>
    </row>
    <row r="177" spans="1:37" x14ac:dyDescent="0.3">
      <c r="A177" s="1">
        <v>44172</v>
      </c>
      <c r="B177">
        <v>1.2108000000000001</v>
      </c>
      <c r="C177">
        <v>1.3375999999999999</v>
      </c>
      <c r="D177">
        <v>104.06</v>
      </c>
      <c r="G177">
        <v>1.2108000000000001</v>
      </c>
      <c r="H177">
        <f t="shared" si="13"/>
        <v>1.212</v>
      </c>
      <c r="I177">
        <f t="shared" si="13"/>
        <v>1.214</v>
      </c>
      <c r="J177">
        <f t="shared" si="13"/>
        <v>1.2115</v>
      </c>
      <c r="L177">
        <f t="shared" si="12"/>
        <v>-1.1999999999998678E-3</v>
      </c>
      <c r="W177">
        <f t="shared" si="14"/>
        <v>-7.6819665834451981E-4</v>
      </c>
      <c r="X177">
        <f t="shared" si="15"/>
        <v>2.9856496195704739E-3</v>
      </c>
      <c r="Y177">
        <f t="shared" si="15"/>
        <v>-5.4597701149425989E-3</v>
      </c>
      <c r="Z177">
        <f t="shared" si="15"/>
        <v>9.5877277085338957E-4</v>
      </c>
      <c r="AE177">
        <f>W177-mu-theta*AE176</f>
        <v>-6.8612121696202304E-4</v>
      </c>
      <c r="AF177">
        <f t="shared" si="17"/>
        <v>1.3954870106997147E-3</v>
      </c>
      <c r="AG177">
        <f t="shared" si="17"/>
        <v>-5.530879521958223E-3</v>
      </c>
      <c r="AK177">
        <f t="shared" si="16"/>
        <v>4.7076232436544747E-7</v>
      </c>
    </row>
    <row r="178" spans="1:37" x14ac:dyDescent="0.3">
      <c r="A178" s="1">
        <v>44173</v>
      </c>
      <c r="B178">
        <v>1.2101</v>
      </c>
      <c r="C178">
        <v>1.3352999999999999</v>
      </c>
      <c r="D178">
        <v>104.15</v>
      </c>
      <c r="G178">
        <v>1.2101</v>
      </c>
      <c r="H178">
        <f t="shared" si="13"/>
        <v>1.2108000000000001</v>
      </c>
      <c r="I178">
        <f t="shared" si="13"/>
        <v>1.212</v>
      </c>
      <c r="J178">
        <f t="shared" si="13"/>
        <v>1.214</v>
      </c>
      <c r="L178">
        <f t="shared" si="12"/>
        <v>-7.0000000000014495E-4</v>
      </c>
      <c r="W178">
        <f t="shared" si="14"/>
        <v>8.6488564289836066E-4</v>
      </c>
      <c r="X178">
        <f t="shared" si="15"/>
        <v>-7.6819665834451981E-4</v>
      </c>
      <c r="Y178">
        <f t="shared" si="15"/>
        <v>2.9856496195704739E-3</v>
      </c>
      <c r="Z178">
        <f t="shared" si="15"/>
        <v>-5.4597701149425989E-3</v>
      </c>
      <c r="AE178">
        <f>W178-mu-theta*AE177</f>
        <v>4.4439679352271087E-4</v>
      </c>
      <c r="AF178">
        <f t="shared" si="17"/>
        <v>-6.8612121696202304E-4</v>
      </c>
      <c r="AG178">
        <f t="shared" si="17"/>
        <v>1.3954870106997147E-3</v>
      </c>
      <c r="AK178">
        <f t="shared" si="16"/>
        <v>1.9748851009326693E-7</v>
      </c>
    </row>
    <row r="179" spans="1:37" x14ac:dyDescent="0.3">
      <c r="A179" s="1">
        <v>44174</v>
      </c>
      <c r="B179">
        <v>1.2081</v>
      </c>
      <c r="C179">
        <v>1.3395999999999999</v>
      </c>
      <c r="D179">
        <v>104.21</v>
      </c>
      <c r="G179">
        <v>1.2081</v>
      </c>
      <c r="H179">
        <f t="shared" si="13"/>
        <v>1.2101</v>
      </c>
      <c r="I179">
        <f t="shared" si="13"/>
        <v>1.2108000000000001</v>
      </c>
      <c r="J179">
        <f t="shared" si="13"/>
        <v>1.212</v>
      </c>
      <c r="L179">
        <f t="shared" si="12"/>
        <v>-2.0000000000000018E-3</v>
      </c>
      <c r="W179">
        <f t="shared" si="14"/>
        <v>5.7609217474784505E-4</v>
      </c>
      <c r="X179">
        <f t="shared" si="15"/>
        <v>8.6488564289836066E-4</v>
      </c>
      <c r="Y179">
        <f t="shared" si="15"/>
        <v>-7.6819665834451981E-4</v>
      </c>
      <c r="Z179">
        <f t="shared" si="15"/>
        <v>2.9856496195704739E-3</v>
      </c>
      <c r="AE179">
        <f>W179-mu-theta*AE178</f>
        <v>4.2854516648260479E-4</v>
      </c>
      <c r="AF179">
        <f t="shared" si="17"/>
        <v>4.4439679352271087E-4</v>
      </c>
      <c r="AG179">
        <f t="shared" si="17"/>
        <v>-6.8612121696202304E-4</v>
      </c>
      <c r="AK179">
        <f t="shared" si="16"/>
        <v>1.8365095971560344E-7</v>
      </c>
    </row>
    <row r="180" spans="1:37" x14ac:dyDescent="0.3">
      <c r="A180" s="1">
        <v>44175</v>
      </c>
      <c r="B180">
        <v>1.2136</v>
      </c>
      <c r="C180">
        <v>1.3292999999999999</v>
      </c>
      <c r="D180">
        <v>104.2</v>
      </c>
      <c r="G180">
        <v>1.2136</v>
      </c>
      <c r="H180">
        <f t="shared" si="13"/>
        <v>1.2081</v>
      </c>
      <c r="I180">
        <f t="shared" si="13"/>
        <v>1.2101</v>
      </c>
      <c r="J180">
        <f t="shared" si="13"/>
        <v>1.2108000000000001</v>
      </c>
      <c r="L180">
        <f t="shared" si="12"/>
        <v>5.5000000000000604E-3</v>
      </c>
      <c r="W180">
        <f t="shared" si="14"/>
        <v>-9.596008060638044E-5</v>
      </c>
      <c r="X180">
        <f t="shared" si="15"/>
        <v>5.7609217474784505E-4</v>
      </c>
      <c r="Y180">
        <f t="shared" si="15"/>
        <v>8.6488564289836066E-4</v>
      </c>
      <c r="Z180">
        <f t="shared" si="15"/>
        <v>-7.6819665834451981E-4</v>
      </c>
      <c r="AE180">
        <f>W180-mu-theta*AE179</f>
        <v>-2.4733415949658758E-4</v>
      </c>
      <c r="AF180">
        <f t="shared" si="17"/>
        <v>4.2854516648260479E-4</v>
      </c>
      <c r="AG180">
        <f t="shared" si="17"/>
        <v>4.4439679352271087E-4</v>
      </c>
      <c r="AK180">
        <f t="shared" si="16"/>
        <v>6.1174186453883427E-8</v>
      </c>
    </row>
    <row r="181" spans="1:37" x14ac:dyDescent="0.3">
      <c r="A181" s="1">
        <v>44176</v>
      </c>
      <c r="B181">
        <v>1.2111000000000001</v>
      </c>
      <c r="C181">
        <v>1.3223</v>
      </c>
      <c r="D181">
        <v>104.01</v>
      </c>
      <c r="G181">
        <v>1.2111000000000001</v>
      </c>
      <c r="H181">
        <f t="shared" si="13"/>
        <v>1.2136</v>
      </c>
      <c r="I181">
        <f t="shared" si="13"/>
        <v>1.2081</v>
      </c>
      <c r="J181">
        <f t="shared" si="13"/>
        <v>1.2101</v>
      </c>
      <c r="L181">
        <f t="shared" si="12"/>
        <v>-2.4999999999999467E-3</v>
      </c>
      <c r="W181">
        <f t="shared" si="14"/>
        <v>-1.8234165067178285E-3</v>
      </c>
      <c r="X181">
        <f t="shared" si="15"/>
        <v>-9.596008060638044E-5</v>
      </c>
      <c r="Y181">
        <f t="shared" si="15"/>
        <v>5.7609217474784505E-4</v>
      </c>
      <c r="Z181">
        <f t="shared" si="15"/>
        <v>8.6488564289836066E-4</v>
      </c>
      <c r="AE181">
        <f>W181-mu-theta*AE180</f>
        <v>-2.1379686560946132E-3</v>
      </c>
      <c r="AF181">
        <f t="shared" si="17"/>
        <v>-2.4733415949658758E-4</v>
      </c>
      <c r="AG181">
        <f t="shared" si="17"/>
        <v>4.2854516648260479E-4</v>
      </c>
      <c r="AK181">
        <f t="shared" si="16"/>
        <v>4.5709099744430064E-6</v>
      </c>
    </row>
    <row r="182" spans="1:37" x14ac:dyDescent="0.3">
      <c r="A182" s="1">
        <v>44179</v>
      </c>
      <c r="B182">
        <v>1.2142999999999999</v>
      </c>
      <c r="C182">
        <v>1.3322000000000001</v>
      </c>
      <c r="D182">
        <v>104.03</v>
      </c>
      <c r="G182">
        <v>1.2142999999999999</v>
      </c>
      <c r="H182">
        <f t="shared" si="13"/>
        <v>1.2111000000000001</v>
      </c>
      <c r="I182">
        <f t="shared" si="13"/>
        <v>1.2136</v>
      </c>
      <c r="J182">
        <f t="shared" si="13"/>
        <v>1.2081</v>
      </c>
      <c r="L182">
        <f t="shared" si="12"/>
        <v>3.1999999999998696E-3</v>
      </c>
      <c r="W182">
        <f t="shared" si="14"/>
        <v>1.9228920296121546E-4</v>
      </c>
      <c r="X182">
        <f t="shared" si="15"/>
        <v>-1.8234165067178285E-3</v>
      </c>
      <c r="Y182">
        <f t="shared" si="15"/>
        <v>-9.596008060638044E-5</v>
      </c>
      <c r="Z182">
        <f t="shared" si="15"/>
        <v>5.7609217474784505E-4</v>
      </c>
      <c r="AE182">
        <f>W182-mu-theta*AE181</f>
        <v>-5.7872030099327936E-4</v>
      </c>
      <c r="AF182">
        <f t="shared" si="17"/>
        <v>-2.1379686560946132E-3</v>
      </c>
      <c r="AG182">
        <f t="shared" si="17"/>
        <v>-2.4733415949658758E-4</v>
      </c>
      <c r="AK182">
        <f t="shared" si="16"/>
        <v>3.3491718678175185E-7</v>
      </c>
    </row>
    <row r="183" spans="1:37" x14ac:dyDescent="0.3">
      <c r="A183" s="1">
        <v>44180</v>
      </c>
      <c r="B183">
        <v>1.2151000000000001</v>
      </c>
      <c r="C183">
        <v>1.3461000000000001</v>
      </c>
      <c r="D183">
        <v>103.66</v>
      </c>
      <c r="G183">
        <v>1.2151000000000001</v>
      </c>
      <c r="H183">
        <f t="shared" si="13"/>
        <v>1.2142999999999999</v>
      </c>
      <c r="I183">
        <f t="shared" si="13"/>
        <v>1.2111000000000001</v>
      </c>
      <c r="J183">
        <f t="shared" si="13"/>
        <v>1.2136</v>
      </c>
      <c r="L183">
        <f t="shared" si="12"/>
        <v>8.0000000000013394E-4</v>
      </c>
      <c r="W183">
        <f t="shared" si="14"/>
        <v>-3.5566663462463189E-3</v>
      </c>
      <c r="X183">
        <f t="shared" si="15"/>
        <v>1.9228920296121546E-4</v>
      </c>
      <c r="Y183">
        <f t="shared" si="15"/>
        <v>-1.8234165067178285E-3</v>
      </c>
      <c r="Z183">
        <f t="shared" si="15"/>
        <v>-9.596008060638044E-5</v>
      </c>
      <c r="AE183">
        <f>W183-mu-theta*AE182</f>
        <v>-3.9512253090835982E-3</v>
      </c>
      <c r="AF183">
        <f t="shared" si="17"/>
        <v>-5.7872030099327936E-4</v>
      </c>
      <c r="AG183">
        <f t="shared" si="17"/>
        <v>-2.1379686560946132E-3</v>
      </c>
      <c r="AK183">
        <f t="shared" si="16"/>
        <v>1.5612181443142777E-5</v>
      </c>
    </row>
    <row r="184" spans="1:37" x14ac:dyDescent="0.3">
      <c r="A184" s="1">
        <v>44181</v>
      </c>
      <c r="B184">
        <v>1.2197</v>
      </c>
      <c r="C184">
        <v>1.3507</v>
      </c>
      <c r="D184">
        <v>103.48</v>
      </c>
      <c r="G184">
        <v>1.2197</v>
      </c>
      <c r="H184">
        <f t="shared" si="13"/>
        <v>1.2151000000000001</v>
      </c>
      <c r="I184">
        <f t="shared" si="13"/>
        <v>1.2142999999999999</v>
      </c>
      <c r="J184">
        <f t="shared" si="13"/>
        <v>1.2111000000000001</v>
      </c>
      <c r="L184">
        <f t="shared" si="12"/>
        <v>4.5999999999999375E-3</v>
      </c>
      <c r="W184">
        <f t="shared" si="14"/>
        <v>-1.7364460737024176E-3</v>
      </c>
      <c r="X184">
        <f t="shared" si="15"/>
        <v>-3.5566663462463189E-3</v>
      </c>
      <c r="Y184">
        <f t="shared" si="15"/>
        <v>1.9228920296121546E-4</v>
      </c>
      <c r="Z184">
        <f t="shared" si="15"/>
        <v>-1.8234165067178285E-3</v>
      </c>
      <c r="AE184">
        <f>W184-mu-theta*AE183</f>
        <v>-2.9452315393687541E-3</v>
      </c>
      <c r="AF184">
        <f t="shared" si="17"/>
        <v>-3.9512253090835982E-3</v>
      </c>
      <c r="AG184">
        <f t="shared" si="17"/>
        <v>-5.7872030099327936E-4</v>
      </c>
      <c r="AK184">
        <f t="shared" si="16"/>
        <v>8.6743888204924404E-6</v>
      </c>
    </row>
    <row r="185" spans="1:37" x14ac:dyDescent="0.3">
      <c r="A185" s="1">
        <v>44182</v>
      </c>
      <c r="B185">
        <v>1.2265999999999999</v>
      </c>
      <c r="C185">
        <v>1.3582000000000001</v>
      </c>
      <c r="D185">
        <v>103.1</v>
      </c>
      <c r="G185">
        <v>1.2265999999999999</v>
      </c>
      <c r="H185">
        <f t="shared" si="13"/>
        <v>1.2197</v>
      </c>
      <c r="I185">
        <f t="shared" si="13"/>
        <v>1.2151000000000001</v>
      </c>
      <c r="J185">
        <f t="shared" si="13"/>
        <v>1.2142999999999999</v>
      </c>
      <c r="L185">
        <f t="shared" si="12"/>
        <v>6.8999999999999062E-3</v>
      </c>
      <c r="W185">
        <f t="shared" si="14"/>
        <v>-3.6722071897952228E-3</v>
      </c>
      <c r="X185">
        <f t="shared" si="15"/>
        <v>-1.7364460737024176E-3</v>
      </c>
      <c r="Y185">
        <f t="shared" si="15"/>
        <v>-3.5566663462463189E-3</v>
      </c>
      <c r="Z185">
        <f t="shared" si="15"/>
        <v>1.9228920296121546E-4</v>
      </c>
      <c r="AE185">
        <f>W185-mu-theta*AE184</f>
        <v>-4.6381147984923985E-3</v>
      </c>
      <c r="AF185">
        <f t="shared" si="17"/>
        <v>-2.9452315393687541E-3</v>
      </c>
      <c r="AG185">
        <f t="shared" si="17"/>
        <v>-3.9512253090835982E-3</v>
      </c>
      <c r="AK185">
        <f t="shared" si="16"/>
        <v>2.1512108883994184E-5</v>
      </c>
    </row>
    <row r="186" spans="1:37" x14ac:dyDescent="0.3">
      <c r="A186" s="1">
        <v>44183</v>
      </c>
      <c r="B186">
        <v>1.2255</v>
      </c>
      <c r="C186">
        <v>1.3520000000000001</v>
      </c>
      <c r="D186">
        <v>103.31</v>
      </c>
      <c r="G186">
        <v>1.2255</v>
      </c>
      <c r="H186">
        <f t="shared" si="13"/>
        <v>1.2265999999999999</v>
      </c>
      <c r="I186">
        <f t="shared" si="13"/>
        <v>1.2197</v>
      </c>
      <c r="J186">
        <f t="shared" si="13"/>
        <v>1.2151000000000001</v>
      </c>
      <c r="L186">
        <f t="shared" si="12"/>
        <v>-1.0999999999998789E-3</v>
      </c>
      <c r="W186">
        <f t="shared" si="14"/>
        <v>2.0368574199806787E-3</v>
      </c>
      <c r="X186">
        <f t="shared" si="15"/>
        <v>-3.6722071897952228E-3</v>
      </c>
      <c r="Y186">
        <f t="shared" si="15"/>
        <v>-1.7364460737024176E-3</v>
      </c>
      <c r="Z186">
        <f t="shared" si="15"/>
        <v>-3.5566663462463189E-3</v>
      </c>
      <c r="AE186">
        <f>W186-mu-theta*AE185</f>
        <v>6.6223569152164155E-4</v>
      </c>
      <c r="AF186">
        <f t="shared" si="17"/>
        <v>-4.6381147984923985E-3</v>
      </c>
      <c r="AG186">
        <f t="shared" si="17"/>
        <v>-2.9452315393687541E-3</v>
      </c>
      <c r="AK186">
        <f t="shared" si="16"/>
        <v>4.3855611112514679E-7</v>
      </c>
    </row>
    <row r="187" spans="1:37" x14ac:dyDescent="0.3">
      <c r="A187" s="1">
        <v>44186</v>
      </c>
      <c r="B187">
        <v>1.2242</v>
      </c>
      <c r="C187">
        <v>1.3463000000000001</v>
      </c>
      <c r="D187">
        <v>103.3</v>
      </c>
      <c r="G187">
        <v>1.2242</v>
      </c>
      <c r="H187">
        <f t="shared" si="13"/>
        <v>1.2255</v>
      </c>
      <c r="I187">
        <f t="shared" si="13"/>
        <v>1.2265999999999999</v>
      </c>
      <c r="J187">
        <f t="shared" si="13"/>
        <v>1.2197</v>
      </c>
      <c r="L187">
        <f t="shared" si="12"/>
        <v>-1.3000000000000789E-3</v>
      </c>
      <c r="W187">
        <f t="shared" si="14"/>
        <v>-9.679605072118009E-5</v>
      </c>
      <c r="X187">
        <f t="shared" si="15"/>
        <v>2.0368574199806787E-3</v>
      </c>
      <c r="Y187">
        <f t="shared" si="15"/>
        <v>-3.6722071897952228E-3</v>
      </c>
      <c r="Z187">
        <f t="shared" si="15"/>
        <v>-1.7364460737024176E-3</v>
      </c>
      <c r="AE187">
        <f>W187-mu-theta*AE186</f>
        <v>-1.9175004469220558E-4</v>
      </c>
      <c r="AF187">
        <f t="shared" si="17"/>
        <v>6.6223569152164155E-4</v>
      </c>
      <c r="AG187">
        <f t="shared" si="17"/>
        <v>-4.6381147984923985E-3</v>
      </c>
      <c r="AK187">
        <f t="shared" si="16"/>
        <v>3.6768079639462836E-8</v>
      </c>
    </row>
    <row r="188" spans="1:37" x14ac:dyDescent="0.3">
      <c r="A188" s="1">
        <v>44187</v>
      </c>
      <c r="B188">
        <v>1.2161</v>
      </c>
      <c r="C188">
        <v>1.3360000000000001</v>
      </c>
      <c r="D188">
        <v>103.63</v>
      </c>
      <c r="G188">
        <v>1.2161</v>
      </c>
      <c r="H188">
        <f t="shared" si="13"/>
        <v>1.2242</v>
      </c>
      <c r="I188">
        <f t="shared" si="13"/>
        <v>1.2255</v>
      </c>
      <c r="J188">
        <f t="shared" si="13"/>
        <v>1.2265999999999999</v>
      </c>
      <c r="L188">
        <f t="shared" si="12"/>
        <v>-8.0999999999999961E-3</v>
      </c>
      <c r="W188">
        <f t="shared" si="14"/>
        <v>3.1945788964181832E-3</v>
      </c>
      <c r="X188">
        <f t="shared" si="15"/>
        <v>-9.679605072118009E-5</v>
      </c>
      <c r="Y188">
        <f t="shared" si="15"/>
        <v>2.0368574199806787E-3</v>
      </c>
      <c r="Z188">
        <f t="shared" si="15"/>
        <v>-3.6722071897952228E-3</v>
      </c>
      <c r="AE188">
        <f>W188-mu-theta*AE187</f>
        <v>2.8934464630392845E-3</v>
      </c>
      <c r="AF188">
        <f t="shared" si="17"/>
        <v>-1.9175004469220558E-4</v>
      </c>
      <c r="AG188">
        <f t="shared" si="17"/>
        <v>6.6223569152164155E-4</v>
      </c>
      <c r="AK188">
        <f t="shared" si="16"/>
        <v>8.3720324344745453E-6</v>
      </c>
    </row>
    <row r="189" spans="1:37" x14ac:dyDescent="0.3">
      <c r="A189" s="1">
        <v>44188</v>
      </c>
      <c r="B189">
        <v>1.2184999999999999</v>
      </c>
      <c r="C189">
        <v>1.3492</v>
      </c>
      <c r="D189">
        <v>103.55</v>
      </c>
      <c r="G189">
        <v>1.2184999999999999</v>
      </c>
      <c r="H189">
        <f t="shared" si="13"/>
        <v>1.2161</v>
      </c>
      <c r="I189">
        <f t="shared" si="13"/>
        <v>1.2242</v>
      </c>
      <c r="J189">
        <f t="shared" si="13"/>
        <v>1.2255</v>
      </c>
      <c r="L189">
        <f t="shared" si="12"/>
        <v>2.3999999999999577E-3</v>
      </c>
      <c r="W189">
        <f t="shared" si="14"/>
        <v>-7.7197722667179676E-4</v>
      </c>
      <c r="X189">
        <f t="shared" si="15"/>
        <v>3.1945788964181832E-3</v>
      </c>
      <c r="Y189">
        <f t="shared" si="15"/>
        <v>-9.679605072118009E-5</v>
      </c>
      <c r="Z189">
        <f t="shared" si="15"/>
        <v>2.0368574199806787E-3</v>
      </c>
      <c r="AE189">
        <f>W189-mu-theta*AE188</f>
        <v>-3.2824827155624814E-4</v>
      </c>
      <c r="AF189">
        <f t="shared" si="17"/>
        <v>2.8934464630392845E-3</v>
      </c>
      <c r="AG189">
        <f t="shared" si="17"/>
        <v>-1.9175004469220558E-4</v>
      </c>
      <c r="AK189">
        <f t="shared" si="16"/>
        <v>1.0774692777966443E-7</v>
      </c>
    </row>
    <row r="190" spans="1:37" x14ac:dyDescent="0.3">
      <c r="A190" s="1">
        <v>44189</v>
      </c>
      <c r="B190">
        <v>1.2185999999999999</v>
      </c>
      <c r="C190">
        <v>1.3554999999999999</v>
      </c>
      <c r="D190">
        <v>103.63</v>
      </c>
      <c r="G190">
        <v>1.2185999999999999</v>
      </c>
      <c r="H190">
        <f t="shared" si="13"/>
        <v>1.2184999999999999</v>
      </c>
      <c r="I190">
        <f t="shared" si="13"/>
        <v>1.2161</v>
      </c>
      <c r="J190">
        <f t="shared" si="13"/>
        <v>1.2242</v>
      </c>
      <c r="L190">
        <f t="shared" si="12"/>
        <v>9.9999999999988987E-5</v>
      </c>
      <c r="W190">
        <f t="shared" si="14"/>
        <v>7.7257363592465758E-4</v>
      </c>
      <c r="X190">
        <f t="shared" si="15"/>
        <v>-7.7197722667179676E-4</v>
      </c>
      <c r="Y190">
        <f t="shared" si="15"/>
        <v>3.1945788964181832E-3</v>
      </c>
      <c r="Z190">
        <f t="shared" si="15"/>
        <v>-9.679605072118009E-5</v>
      </c>
      <c r="AE190">
        <f>W190-mu-theta*AE189</f>
        <v>4.3848632964408468E-4</v>
      </c>
      <c r="AF190">
        <f t="shared" si="17"/>
        <v>-3.2824827155624814E-4</v>
      </c>
      <c r="AG190">
        <f t="shared" si="17"/>
        <v>2.8934464630392845E-3</v>
      </c>
      <c r="AK190">
        <f t="shared" si="16"/>
        <v>1.9227026128474091E-7</v>
      </c>
    </row>
    <row r="191" spans="1:37" x14ac:dyDescent="0.3">
      <c r="A191" s="1">
        <v>44190</v>
      </c>
      <c r="B191">
        <v>1.2203999999999999</v>
      </c>
      <c r="C191">
        <v>1.3548</v>
      </c>
      <c r="D191">
        <v>103.48</v>
      </c>
      <c r="G191">
        <v>1.2203999999999999</v>
      </c>
      <c r="H191">
        <f t="shared" si="13"/>
        <v>1.2185999999999999</v>
      </c>
      <c r="I191">
        <f t="shared" si="13"/>
        <v>1.2184999999999999</v>
      </c>
      <c r="J191">
        <f t="shared" si="13"/>
        <v>1.2161</v>
      </c>
      <c r="L191">
        <f t="shared" si="12"/>
        <v>1.8000000000000238E-3</v>
      </c>
      <c r="W191">
        <f t="shared" si="14"/>
        <v>-1.4474573000095674E-3</v>
      </c>
      <c r="X191">
        <f t="shared" si="15"/>
        <v>7.7257363592465758E-4</v>
      </c>
      <c r="Y191">
        <f t="shared" si="15"/>
        <v>-7.7197722667179676E-4</v>
      </c>
      <c r="Z191">
        <f t="shared" si="15"/>
        <v>3.1945788964181832E-3</v>
      </c>
      <c r="AE191">
        <f>W191-mu-theta*AE190</f>
        <v>-1.5964312761584569E-3</v>
      </c>
      <c r="AF191">
        <f t="shared" si="17"/>
        <v>4.3848632964408468E-4</v>
      </c>
      <c r="AG191">
        <f t="shared" si="17"/>
        <v>-3.2824827155624814E-4</v>
      </c>
      <c r="AK191">
        <f t="shared" si="16"/>
        <v>2.5485928194969194E-6</v>
      </c>
    </row>
    <row r="192" spans="1:37" x14ac:dyDescent="0.3">
      <c r="A192" s="1">
        <v>44193</v>
      </c>
      <c r="B192">
        <v>1.2214</v>
      </c>
      <c r="C192">
        <v>1.3449</v>
      </c>
      <c r="D192">
        <v>103.78</v>
      </c>
      <c r="G192">
        <v>1.2214</v>
      </c>
      <c r="H192">
        <f t="shared" si="13"/>
        <v>1.2203999999999999</v>
      </c>
      <c r="I192">
        <f t="shared" si="13"/>
        <v>1.2185999999999999</v>
      </c>
      <c r="J192">
        <f t="shared" si="13"/>
        <v>1.2184999999999999</v>
      </c>
      <c r="L192">
        <f t="shared" si="12"/>
        <v>1.0000000000001119E-3</v>
      </c>
      <c r="W192">
        <f t="shared" si="14"/>
        <v>2.8991109393119168E-3</v>
      </c>
      <c r="X192">
        <f t="shared" si="15"/>
        <v>-1.4474573000095674E-3</v>
      </c>
      <c r="Y192">
        <f t="shared" si="15"/>
        <v>7.7257363592465758E-4</v>
      </c>
      <c r="Z192">
        <f t="shared" si="15"/>
        <v>-7.7197722667179676E-4</v>
      </c>
      <c r="AE192">
        <f>W192-mu-theta*AE191</f>
        <v>2.2588452254952772E-3</v>
      </c>
      <c r="AF192">
        <f t="shared" si="17"/>
        <v>-1.5964312761584569E-3</v>
      </c>
      <c r="AG192">
        <f t="shared" si="17"/>
        <v>4.3848632964408468E-4</v>
      </c>
      <c r="AK192">
        <f t="shared" si="16"/>
        <v>5.1023817527428093E-6</v>
      </c>
    </row>
    <row r="193" spans="1:37" x14ac:dyDescent="0.3">
      <c r="A193" s="1">
        <v>44194</v>
      </c>
      <c r="B193">
        <v>1.2246999999999999</v>
      </c>
      <c r="C193">
        <v>1.35</v>
      </c>
      <c r="D193">
        <v>103.56</v>
      </c>
      <c r="G193">
        <v>1.2246999999999999</v>
      </c>
      <c r="H193">
        <f t="shared" si="13"/>
        <v>1.2214</v>
      </c>
      <c r="I193">
        <f t="shared" si="13"/>
        <v>1.2203999999999999</v>
      </c>
      <c r="J193">
        <f t="shared" si="13"/>
        <v>1.2185999999999999</v>
      </c>
      <c r="L193">
        <f t="shared" si="12"/>
        <v>3.2999999999998586E-3</v>
      </c>
      <c r="W193">
        <f t="shared" si="14"/>
        <v>-2.1198689535555874E-3</v>
      </c>
      <c r="X193">
        <f t="shared" si="15"/>
        <v>2.8991109393119168E-3</v>
      </c>
      <c r="Y193">
        <f t="shared" si="15"/>
        <v>-1.4474573000095674E-3</v>
      </c>
      <c r="Z193">
        <f t="shared" si="15"/>
        <v>7.7257363592465758E-4</v>
      </c>
      <c r="AE193">
        <f>W193-mu-theta*AE192</f>
        <v>-1.8293522679835718E-3</v>
      </c>
      <c r="AF193">
        <f t="shared" si="17"/>
        <v>2.2588452254952772E-3</v>
      </c>
      <c r="AG193">
        <f t="shared" si="17"/>
        <v>-1.5964312761584569E-3</v>
      </c>
      <c r="AK193">
        <f t="shared" si="16"/>
        <v>3.3465297203766377E-6</v>
      </c>
    </row>
    <row r="194" spans="1:37" x14ac:dyDescent="0.3">
      <c r="A194" s="1">
        <v>44195</v>
      </c>
      <c r="B194">
        <v>1.2295</v>
      </c>
      <c r="C194">
        <v>1.3622000000000001</v>
      </c>
      <c r="D194">
        <v>103.17</v>
      </c>
      <c r="G194">
        <v>1.2295</v>
      </c>
      <c r="H194">
        <f t="shared" si="13"/>
        <v>1.2246999999999999</v>
      </c>
      <c r="I194">
        <f t="shared" si="13"/>
        <v>1.2214</v>
      </c>
      <c r="J194">
        <f t="shared" si="13"/>
        <v>1.2203999999999999</v>
      </c>
      <c r="L194">
        <f t="shared" si="12"/>
        <v>4.8000000000001375E-3</v>
      </c>
      <c r="W194">
        <f t="shared" si="14"/>
        <v>-3.7659327925840145E-3</v>
      </c>
      <c r="X194">
        <f t="shared" si="15"/>
        <v>-2.1198689535555874E-3</v>
      </c>
      <c r="Y194">
        <f t="shared" si="15"/>
        <v>2.8991109393119168E-3</v>
      </c>
      <c r="Z194">
        <f t="shared" si="15"/>
        <v>-1.4474573000095674E-3</v>
      </c>
      <c r="AE194">
        <f>W194-mu-theta*AE193</f>
        <v>-4.4624328023184614E-3</v>
      </c>
      <c r="AF194">
        <f t="shared" si="17"/>
        <v>-1.8293522679835718E-3</v>
      </c>
      <c r="AG194">
        <f t="shared" si="17"/>
        <v>2.2588452254952772E-3</v>
      </c>
      <c r="AK194">
        <f t="shared" si="16"/>
        <v>1.9913306515207795E-5</v>
      </c>
    </row>
    <row r="195" spans="1:37" x14ac:dyDescent="0.3">
      <c r="A195" s="1">
        <v>44196</v>
      </c>
      <c r="B195">
        <v>1.2213000000000001</v>
      </c>
      <c r="C195">
        <v>1.3673</v>
      </c>
      <c r="D195">
        <v>103.24</v>
      </c>
      <c r="G195">
        <v>1.2213000000000001</v>
      </c>
      <c r="H195">
        <f t="shared" si="13"/>
        <v>1.2295</v>
      </c>
      <c r="I195">
        <f t="shared" si="13"/>
        <v>1.2246999999999999</v>
      </c>
      <c r="J195">
        <f t="shared" si="13"/>
        <v>1.2214</v>
      </c>
      <c r="L195">
        <f t="shared" si="12"/>
        <v>-8.1999999999999851E-3</v>
      </c>
      <c r="W195">
        <f t="shared" si="14"/>
        <v>6.7849180963451756E-4</v>
      </c>
      <c r="X195">
        <f t="shared" si="15"/>
        <v>-3.7659327925840145E-3</v>
      </c>
      <c r="Y195">
        <f t="shared" si="15"/>
        <v>-2.1198689535555874E-3</v>
      </c>
      <c r="Z195">
        <f t="shared" si="15"/>
        <v>2.8991109393119168E-3</v>
      </c>
      <c r="AE195">
        <f>W195-mu-theta*AE194</f>
        <v>-6.5371487807244322E-4</v>
      </c>
      <c r="AF195">
        <f t="shared" si="17"/>
        <v>-4.4624328023184614E-3</v>
      </c>
      <c r="AG195">
        <f t="shared" si="17"/>
        <v>-1.8293522679835718E-3</v>
      </c>
      <c r="AK195">
        <f t="shared" si="16"/>
        <v>4.2734314181326929E-7</v>
      </c>
    </row>
    <row r="196" spans="1:37" x14ac:dyDescent="0.3">
      <c r="A196" s="1">
        <v>44200</v>
      </c>
      <c r="B196">
        <v>1.2248000000000001</v>
      </c>
      <c r="C196">
        <v>1.3569</v>
      </c>
      <c r="D196">
        <v>103.1</v>
      </c>
      <c r="G196">
        <v>1.2248000000000001</v>
      </c>
      <c r="H196">
        <f t="shared" si="13"/>
        <v>1.2213000000000001</v>
      </c>
      <c r="I196">
        <f t="shared" si="13"/>
        <v>1.2295</v>
      </c>
      <c r="J196">
        <f t="shared" si="13"/>
        <v>1.2246999999999999</v>
      </c>
      <c r="L196">
        <f t="shared" si="12"/>
        <v>3.5000000000000586E-3</v>
      </c>
      <c r="W196">
        <f t="shared" si="14"/>
        <v>-1.3560635412630819E-3</v>
      </c>
      <c r="X196">
        <f t="shared" si="15"/>
        <v>6.7849180963451756E-4</v>
      </c>
      <c r="Y196">
        <f t="shared" si="15"/>
        <v>-3.7659327925840145E-3</v>
      </c>
      <c r="Z196">
        <f t="shared" si="15"/>
        <v>-2.1198689535555874E-3</v>
      </c>
      <c r="AE196">
        <f>W196-mu-theta*AE195</f>
        <v>-1.7687285030773322E-3</v>
      </c>
      <c r="AF196">
        <f t="shared" si="17"/>
        <v>-6.5371487807244322E-4</v>
      </c>
      <c r="AG196">
        <f t="shared" si="17"/>
        <v>-4.4624328023184614E-3</v>
      </c>
      <c r="AK196">
        <f t="shared" si="16"/>
        <v>3.1284005175981802E-6</v>
      </c>
    </row>
    <row r="197" spans="1:37" x14ac:dyDescent="0.3">
      <c r="A197" s="1">
        <v>44201</v>
      </c>
      <c r="B197">
        <v>1.2294</v>
      </c>
      <c r="C197">
        <v>1.3624000000000001</v>
      </c>
      <c r="D197">
        <v>102.72</v>
      </c>
      <c r="G197">
        <v>1.2294</v>
      </c>
      <c r="H197">
        <f t="shared" si="13"/>
        <v>1.2248000000000001</v>
      </c>
      <c r="I197">
        <f t="shared" si="13"/>
        <v>1.2213000000000001</v>
      </c>
      <c r="J197">
        <f t="shared" si="13"/>
        <v>1.2295</v>
      </c>
      <c r="L197">
        <f t="shared" si="12"/>
        <v>4.5999999999999375E-3</v>
      </c>
      <c r="W197">
        <f t="shared" si="14"/>
        <v>-3.6857419980600918E-3</v>
      </c>
      <c r="X197">
        <f t="shared" si="15"/>
        <v>-1.3560635412630819E-3</v>
      </c>
      <c r="Y197">
        <f t="shared" si="15"/>
        <v>6.7849180963451756E-4</v>
      </c>
      <c r="Z197">
        <f t="shared" si="15"/>
        <v>-3.7659327925840145E-3</v>
      </c>
      <c r="AE197">
        <f>W197-mu-theta*AE196</f>
        <v>-4.3676055651593083E-3</v>
      </c>
      <c r="AF197">
        <f t="shared" si="17"/>
        <v>-1.7687285030773322E-3</v>
      </c>
      <c r="AG197">
        <f t="shared" si="17"/>
        <v>-6.5371487807244322E-4</v>
      </c>
      <c r="AK197">
        <f t="shared" si="16"/>
        <v>1.9075978372810562E-5</v>
      </c>
    </row>
    <row r="198" spans="1:37" x14ac:dyDescent="0.3">
      <c r="A198" s="1">
        <v>44202</v>
      </c>
      <c r="B198">
        <v>1.2324999999999999</v>
      </c>
      <c r="C198">
        <v>1.3607</v>
      </c>
      <c r="D198">
        <v>103.04</v>
      </c>
      <c r="G198">
        <v>1.2324999999999999</v>
      </c>
      <c r="H198">
        <f t="shared" si="13"/>
        <v>1.2294</v>
      </c>
      <c r="I198">
        <f t="shared" si="13"/>
        <v>1.2248000000000001</v>
      </c>
      <c r="J198">
        <f t="shared" si="13"/>
        <v>1.2213000000000001</v>
      </c>
      <c r="L198">
        <f t="shared" ref="L198:L261" si="18">G198-H198</f>
        <v>3.0999999999998806E-3</v>
      </c>
      <c r="W198">
        <f t="shared" si="14"/>
        <v>3.1152647975078601E-3</v>
      </c>
      <c r="X198">
        <f t="shared" si="15"/>
        <v>-3.6857419980600918E-3</v>
      </c>
      <c r="Y198">
        <f t="shared" si="15"/>
        <v>-1.3560635412630819E-3</v>
      </c>
      <c r="Z198">
        <f t="shared" si="15"/>
        <v>6.7849180963451756E-4</v>
      </c>
      <c r="AE198">
        <f>W198-mu-theta*AE197</f>
        <v>1.8059523233008993E-3</v>
      </c>
      <c r="AF198">
        <f t="shared" si="17"/>
        <v>-4.3676055651593083E-3</v>
      </c>
      <c r="AG198">
        <f t="shared" si="17"/>
        <v>-1.7687285030773322E-3</v>
      </c>
      <c r="AK198">
        <f t="shared" si="16"/>
        <v>3.2614637940359157E-6</v>
      </c>
    </row>
    <row r="199" spans="1:37" x14ac:dyDescent="0.3">
      <c r="A199" s="1">
        <v>44203</v>
      </c>
      <c r="B199">
        <v>1.2270000000000001</v>
      </c>
      <c r="C199">
        <v>1.3563000000000001</v>
      </c>
      <c r="D199">
        <v>103.8</v>
      </c>
      <c r="G199">
        <v>1.2270000000000001</v>
      </c>
      <c r="H199">
        <f t="shared" ref="H199:J262" si="19">G198</f>
        <v>1.2324999999999999</v>
      </c>
      <c r="I199">
        <f t="shared" si="19"/>
        <v>1.2294</v>
      </c>
      <c r="J199">
        <f t="shared" si="19"/>
        <v>1.2248000000000001</v>
      </c>
      <c r="L199">
        <f t="shared" si="18"/>
        <v>-5.4999999999998384E-3</v>
      </c>
      <c r="W199">
        <f t="shared" ref="W199:W262" si="20">(D199-D198)/D198</f>
        <v>7.3757763975154395E-3</v>
      </c>
      <c r="X199">
        <f t="shared" si="15"/>
        <v>3.1152647975078601E-3</v>
      </c>
      <c r="Y199">
        <f t="shared" si="15"/>
        <v>-3.6857419980600918E-3</v>
      </c>
      <c r="Z199">
        <f t="shared" si="15"/>
        <v>-1.3560635412630819E-3</v>
      </c>
      <c r="AE199">
        <f>W199-mu-theta*AE198</f>
        <v>7.5569507980425945E-3</v>
      </c>
      <c r="AF199">
        <f t="shared" si="17"/>
        <v>1.8059523233008993E-3</v>
      </c>
      <c r="AG199">
        <f t="shared" si="17"/>
        <v>-4.3676055651593083E-3</v>
      </c>
      <c r="AK199">
        <f t="shared" si="16"/>
        <v>5.7107505364036602E-5</v>
      </c>
    </row>
    <row r="200" spans="1:37" x14ac:dyDescent="0.3">
      <c r="A200" s="1">
        <v>44204</v>
      </c>
      <c r="B200">
        <v>1.2218</v>
      </c>
      <c r="C200">
        <v>1.3563000000000001</v>
      </c>
      <c r="D200">
        <v>103.93</v>
      </c>
      <c r="G200">
        <v>1.2218</v>
      </c>
      <c r="H200">
        <f t="shared" si="19"/>
        <v>1.2270000000000001</v>
      </c>
      <c r="I200">
        <f t="shared" si="19"/>
        <v>1.2324999999999999</v>
      </c>
      <c r="J200">
        <f t="shared" si="19"/>
        <v>1.2294</v>
      </c>
      <c r="L200">
        <f t="shared" si="18"/>
        <v>-5.2000000000000934E-3</v>
      </c>
      <c r="W200">
        <f t="shared" si="20"/>
        <v>1.252408477842097E-3</v>
      </c>
      <c r="X200">
        <f t="shared" ref="X200:Z263" si="21">W199</f>
        <v>7.3757763975154395E-3</v>
      </c>
      <c r="Y200">
        <f t="shared" si="21"/>
        <v>3.1152647975078601E-3</v>
      </c>
      <c r="Z200">
        <f t="shared" si="21"/>
        <v>-3.6857419980600918E-3</v>
      </c>
      <c r="AE200">
        <f>W200-mu-theta*AE199</f>
        <v>2.822050905734971E-3</v>
      </c>
      <c r="AF200">
        <f t="shared" si="17"/>
        <v>7.5569507980425945E-3</v>
      </c>
      <c r="AG200">
        <f t="shared" si="17"/>
        <v>1.8059523233008993E-3</v>
      </c>
      <c r="AK200">
        <f t="shared" ref="AK200:AK263" si="22">POWER(AE200,2)</f>
        <v>7.9639713145595705E-6</v>
      </c>
    </row>
    <row r="201" spans="1:37" x14ac:dyDescent="0.3">
      <c r="A201" s="1">
        <v>44207</v>
      </c>
      <c r="B201">
        <v>1.2149000000000001</v>
      </c>
      <c r="C201">
        <v>1.3513999999999999</v>
      </c>
      <c r="D201">
        <v>104.24</v>
      </c>
      <c r="G201">
        <v>1.2149000000000001</v>
      </c>
      <c r="H201">
        <f t="shared" si="19"/>
        <v>1.2218</v>
      </c>
      <c r="I201">
        <f t="shared" si="19"/>
        <v>1.2270000000000001</v>
      </c>
      <c r="J201">
        <f t="shared" si="19"/>
        <v>1.2324999999999999</v>
      </c>
      <c r="L201">
        <f t="shared" si="18"/>
        <v>-6.8999999999999062E-3</v>
      </c>
      <c r="W201">
        <f t="shared" si="20"/>
        <v>2.9827768690463587E-3</v>
      </c>
      <c r="X201">
        <f t="shared" si="21"/>
        <v>1.252408477842097E-3</v>
      </c>
      <c r="Y201">
        <f t="shared" si="21"/>
        <v>7.3757763975154395E-3</v>
      </c>
      <c r="Z201">
        <f t="shared" si="21"/>
        <v>3.1152647975078601E-3</v>
      </c>
      <c r="AE201">
        <f>W201-mu-theta*AE200</f>
        <v>3.4092687393237914E-3</v>
      </c>
      <c r="AF201">
        <f t="shared" ref="AF201:AG264" si="23">AE200</f>
        <v>2.822050905734971E-3</v>
      </c>
      <c r="AG201">
        <f t="shared" si="23"/>
        <v>7.5569507980425945E-3</v>
      </c>
      <c r="AK201">
        <f t="shared" si="22"/>
        <v>1.1623113336930434E-5</v>
      </c>
    </row>
    <row r="202" spans="1:37" x14ac:dyDescent="0.3">
      <c r="A202" s="1">
        <v>44208</v>
      </c>
      <c r="B202">
        <v>1.2206999999999999</v>
      </c>
      <c r="C202">
        <v>1.3663000000000001</v>
      </c>
      <c r="D202">
        <v>103.75</v>
      </c>
      <c r="G202">
        <v>1.2206999999999999</v>
      </c>
      <c r="H202">
        <f t="shared" si="19"/>
        <v>1.2149000000000001</v>
      </c>
      <c r="I202">
        <f t="shared" si="19"/>
        <v>1.2218</v>
      </c>
      <c r="J202">
        <f t="shared" si="19"/>
        <v>1.2270000000000001</v>
      </c>
      <c r="L202">
        <f t="shared" si="18"/>
        <v>5.7999999999998053E-3</v>
      </c>
      <c r="W202">
        <f t="shared" si="20"/>
        <v>-4.7006907137374801E-3</v>
      </c>
      <c r="X202">
        <f t="shared" si="21"/>
        <v>2.9827768690463587E-3</v>
      </c>
      <c r="Y202">
        <f t="shared" si="21"/>
        <v>1.252408477842097E-3</v>
      </c>
      <c r="Z202">
        <f t="shared" si="21"/>
        <v>7.3757763975154395E-3</v>
      </c>
      <c r="AE202">
        <f>W202-mu-theta*AE201</f>
        <v>-4.1324263859262864E-3</v>
      </c>
      <c r="AF202">
        <f t="shared" si="23"/>
        <v>3.4092687393237914E-3</v>
      </c>
      <c r="AG202">
        <f t="shared" si="23"/>
        <v>2.822050905734971E-3</v>
      </c>
      <c r="AK202">
        <f t="shared" si="22"/>
        <v>1.7076947835099789E-5</v>
      </c>
    </row>
    <row r="203" spans="1:37" x14ac:dyDescent="0.3">
      <c r="A203" s="1">
        <v>44209</v>
      </c>
      <c r="B203">
        <v>1.2157</v>
      </c>
      <c r="C203">
        <v>1.3636999999999999</v>
      </c>
      <c r="D203">
        <v>103.85</v>
      </c>
      <c r="G203">
        <v>1.2157</v>
      </c>
      <c r="H203">
        <f t="shared" si="19"/>
        <v>1.2206999999999999</v>
      </c>
      <c r="I203">
        <f t="shared" si="19"/>
        <v>1.2149000000000001</v>
      </c>
      <c r="J203">
        <f t="shared" si="19"/>
        <v>1.2218</v>
      </c>
      <c r="L203">
        <f t="shared" si="18"/>
        <v>-4.9999999999998934E-3</v>
      </c>
      <c r="W203">
        <f t="shared" si="20"/>
        <v>9.6385542168669219E-4</v>
      </c>
      <c r="X203">
        <f t="shared" si="21"/>
        <v>-4.7006907137374801E-3</v>
      </c>
      <c r="Y203">
        <f t="shared" si="21"/>
        <v>2.9827768690463587E-3</v>
      </c>
      <c r="Z203">
        <f t="shared" si="21"/>
        <v>1.252408477842097E-3</v>
      </c>
      <c r="AE203">
        <f>W203-mu-theta*AE202</f>
        <v>-2.8867756066310382E-4</v>
      </c>
      <c r="AF203">
        <f t="shared" si="23"/>
        <v>-4.1324263859262864E-3</v>
      </c>
      <c r="AG203">
        <f t="shared" si="23"/>
        <v>3.4092687393237914E-3</v>
      </c>
      <c r="AK203">
        <f t="shared" si="22"/>
        <v>8.3334734030399985E-8</v>
      </c>
    </row>
    <row r="204" spans="1:37" x14ac:dyDescent="0.3">
      <c r="A204" s="1">
        <v>44210</v>
      </c>
      <c r="B204">
        <v>1.2156</v>
      </c>
      <c r="C204">
        <v>1.3687</v>
      </c>
      <c r="D204">
        <v>103.79</v>
      </c>
      <c r="G204">
        <v>1.2156</v>
      </c>
      <c r="H204">
        <f t="shared" si="19"/>
        <v>1.2157</v>
      </c>
      <c r="I204">
        <f t="shared" si="19"/>
        <v>1.2206999999999999</v>
      </c>
      <c r="J204">
        <f t="shared" si="19"/>
        <v>1.2149000000000001</v>
      </c>
      <c r="L204">
        <f t="shared" si="18"/>
        <v>-9.9999999999988987E-5</v>
      </c>
      <c r="W204">
        <f t="shared" si="20"/>
        <v>-5.7775637939324091E-4</v>
      </c>
      <c r="X204">
        <f t="shared" si="21"/>
        <v>9.6385542168669219E-4</v>
      </c>
      <c r="Y204">
        <f t="shared" si="21"/>
        <v>-4.7006907137374801E-3</v>
      </c>
      <c r="Z204">
        <f t="shared" si="21"/>
        <v>2.9827768690463587E-3</v>
      </c>
      <c r="AE204">
        <f>W204-mu-theta*AE203</f>
        <v>-9.0229009821651048E-4</v>
      </c>
      <c r="AF204">
        <f t="shared" si="23"/>
        <v>-2.8867756066310382E-4</v>
      </c>
      <c r="AG204">
        <f t="shared" si="23"/>
        <v>-4.1324263859262864E-3</v>
      </c>
      <c r="AK204">
        <f t="shared" si="22"/>
        <v>8.1412742133956017E-7</v>
      </c>
    </row>
    <row r="205" spans="1:37" x14ac:dyDescent="0.3">
      <c r="A205" s="1">
        <v>44211</v>
      </c>
      <c r="B205">
        <v>1.2078</v>
      </c>
      <c r="C205">
        <v>1.3586</v>
      </c>
      <c r="D205">
        <v>103.87</v>
      </c>
      <c r="G205">
        <v>1.2078</v>
      </c>
      <c r="H205">
        <f t="shared" si="19"/>
        <v>1.2156</v>
      </c>
      <c r="I205">
        <f t="shared" si="19"/>
        <v>1.2157</v>
      </c>
      <c r="J205">
        <f t="shared" si="19"/>
        <v>1.2206999999999999</v>
      </c>
      <c r="L205">
        <f t="shared" si="18"/>
        <v>-7.8000000000000291E-3</v>
      </c>
      <c r="W205">
        <f t="shared" si="20"/>
        <v>7.7078716639366305E-4</v>
      </c>
      <c r="X205">
        <f t="shared" si="21"/>
        <v>-5.7775637939324091E-4</v>
      </c>
      <c r="Y205">
        <f t="shared" si="21"/>
        <v>9.6385542168669219E-4</v>
      </c>
      <c r="Z205">
        <f t="shared" si="21"/>
        <v>-4.7006907137374801E-3</v>
      </c>
      <c r="AE205">
        <f>W205-mu-theta*AE204</f>
        <v>2.981084961631654E-4</v>
      </c>
      <c r="AF205">
        <f t="shared" si="23"/>
        <v>-9.0229009821651048E-4</v>
      </c>
      <c r="AG205">
        <f t="shared" si="23"/>
        <v>-2.8867756066310382E-4</v>
      </c>
      <c r="AK205">
        <f t="shared" si="22"/>
        <v>8.8868675484664006E-8</v>
      </c>
    </row>
    <row r="206" spans="1:37" x14ac:dyDescent="0.3">
      <c r="A206" s="1">
        <v>44214</v>
      </c>
      <c r="B206">
        <v>1.2076</v>
      </c>
      <c r="C206">
        <v>1.3584000000000001</v>
      </c>
      <c r="D206">
        <v>103.69</v>
      </c>
      <c r="G206">
        <v>1.2076</v>
      </c>
      <c r="H206">
        <f t="shared" si="19"/>
        <v>1.2078</v>
      </c>
      <c r="I206">
        <f t="shared" si="19"/>
        <v>1.2156</v>
      </c>
      <c r="J206">
        <f t="shared" si="19"/>
        <v>1.2157</v>
      </c>
      <c r="L206">
        <f t="shared" si="18"/>
        <v>-1.9999999999997797E-4</v>
      </c>
      <c r="W206">
        <f t="shared" si="20"/>
        <v>-1.7329354000193205E-3</v>
      </c>
      <c r="X206">
        <f t="shared" si="21"/>
        <v>7.7078716639366305E-4</v>
      </c>
      <c r="Y206">
        <f t="shared" si="21"/>
        <v>-5.7775637939324091E-4</v>
      </c>
      <c r="Z206">
        <f t="shared" si="21"/>
        <v>9.6385542168669219E-4</v>
      </c>
      <c r="AE206">
        <f>W206-mu-theta*AE205</f>
        <v>-1.9158009055078834E-3</v>
      </c>
      <c r="AF206">
        <f t="shared" si="23"/>
        <v>2.981084961631654E-4</v>
      </c>
      <c r="AG206">
        <f t="shared" si="23"/>
        <v>-9.0229009821651048E-4</v>
      </c>
      <c r="AK206">
        <f t="shared" si="22"/>
        <v>3.6702931095448257E-6</v>
      </c>
    </row>
    <row r="207" spans="1:37" x14ac:dyDescent="0.3">
      <c r="A207" s="1">
        <v>44215</v>
      </c>
      <c r="B207">
        <v>1.2128000000000001</v>
      </c>
      <c r="C207">
        <v>1.3628</v>
      </c>
      <c r="D207">
        <v>103.89</v>
      </c>
      <c r="G207">
        <v>1.2128000000000001</v>
      </c>
      <c r="H207">
        <f t="shared" si="19"/>
        <v>1.2076</v>
      </c>
      <c r="I207">
        <f t="shared" si="19"/>
        <v>1.2078</v>
      </c>
      <c r="J207">
        <f t="shared" si="19"/>
        <v>1.2156</v>
      </c>
      <c r="L207">
        <f t="shared" si="18"/>
        <v>5.2000000000000934E-3</v>
      </c>
      <c r="W207">
        <f t="shared" si="20"/>
        <v>1.9288263091908847E-3</v>
      </c>
      <c r="X207">
        <f t="shared" si="21"/>
        <v>-1.7329354000193205E-3</v>
      </c>
      <c r="Y207">
        <f t="shared" si="21"/>
        <v>7.7078716639366305E-4</v>
      </c>
      <c r="Z207">
        <f t="shared" si="21"/>
        <v>-5.7775637939324091E-4</v>
      </c>
      <c r="AE207">
        <f>W207-mu-theta*AE206</f>
        <v>1.2114549377721998E-3</v>
      </c>
      <c r="AF207">
        <f t="shared" si="23"/>
        <v>-1.9158009055078834E-3</v>
      </c>
      <c r="AG207">
        <f t="shared" si="23"/>
        <v>2.981084961631654E-4</v>
      </c>
      <c r="AK207">
        <f t="shared" si="22"/>
        <v>1.4676230662526445E-6</v>
      </c>
    </row>
    <row r="208" spans="1:37" x14ac:dyDescent="0.3">
      <c r="A208" s="1">
        <v>44216</v>
      </c>
      <c r="B208">
        <v>1.2103999999999999</v>
      </c>
      <c r="C208">
        <v>1.3653</v>
      </c>
      <c r="D208">
        <v>103.52</v>
      </c>
      <c r="G208">
        <v>1.2103999999999999</v>
      </c>
      <c r="H208">
        <f t="shared" si="19"/>
        <v>1.2128000000000001</v>
      </c>
      <c r="I208">
        <f t="shared" si="19"/>
        <v>1.2076</v>
      </c>
      <c r="J208">
        <f t="shared" si="19"/>
        <v>1.2078</v>
      </c>
      <c r="L208">
        <f t="shared" si="18"/>
        <v>-2.4000000000001798E-3</v>
      </c>
      <c r="W208">
        <f t="shared" si="20"/>
        <v>-3.5614592357301428E-3</v>
      </c>
      <c r="X208">
        <f t="shared" si="21"/>
        <v>1.9288263091908847E-3</v>
      </c>
      <c r="Y208">
        <f t="shared" si="21"/>
        <v>-1.7329354000193205E-3</v>
      </c>
      <c r="Z208">
        <f t="shared" si="21"/>
        <v>7.7078716639366305E-4</v>
      </c>
      <c r="AE208">
        <f>W208-mu-theta*AE207</f>
        <v>-3.5238148006141129E-3</v>
      </c>
      <c r="AF208">
        <f t="shared" si="23"/>
        <v>1.2114549377721998E-3</v>
      </c>
      <c r="AG208">
        <f t="shared" si="23"/>
        <v>-1.9158009055078834E-3</v>
      </c>
      <c r="AK208">
        <f t="shared" si="22"/>
        <v>1.241727074902708E-5</v>
      </c>
    </row>
    <row r="209" spans="1:37" x14ac:dyDescent="0.3">
      <c r="A209" s="1">
        <v>44217</v>
      </c>
      <c r="B209">
        <v>1.2161999999999999</v>
      </c>
      <c r="C209">
        <v>1.3732</v>
      </c>
      <c r="D209">
        <v>103.48</v>
      </c>
      <c r="G209">
        <v>1.2161999999999999</v>
      </c>
      <c r="H209">
        <f t="shared" si="19"/>
        <v>1.2103999999999999</v>
      </c>
      <c r="I209">
        <f t="shared" si="19"/>
        <v>1.2128000000000001</v>
      </c>
      <c r="J209">
        <f t="shared" si="19"/>
        <v>1.2076</v>
      </c>
      <c r="L209">
        <f t="shared" si="18"/>
        <v>5.8000000000000274E-3</v>
      </c>
      <c r="W209">
        <f t="shared" si="20"/>
        <v>-3.8639876352387985E-4</v>
      </c>
      <c r="X209">
        <f t="shared" si="21"/>
        <v>-3.5614592357301428E-3</v>
      </c>
      <c r="Y209">
        <f t="shared" si="21"/>
        <v>1.9288263091908847E-3</v>
      </c>
      <c r="Z209">
        <f t="shared" si="21"/>
        <v>-1.7329354000193205E-3</v>
      </c>
      <c r="AE209">
        <f>W209-mu-theta*AE208</f>
        <v>-1.4919941782492521E-3</v>
      </c>
      <c r="AF209">
        <f t="shared" si="23"/>
        <v>-3.5238148006141129E-3</v>
      </c>
      <c r="AG209">
        <f t="shared" si="23"/>
        <v>1.2114549377721998E-3</v>
      </c>
      <c r="AK209">
        <f t="shared" si="22"/>
        <v>2.2260466279296612E-6</v>
      </c>
    </row>
    <row r="210" spans="1:37" x14ac:dyDescent="0.3">
      <c r="A210" s="1">
        <v>44218</v>
      </c>
      <c r="B210">
        <v>1.2166999999999999</v>
      </c>
      <c r="C210">
        <v>1.3684000000000001</v>
      </c>
      <c r="D210">
        <v>103.77</v>
      </c>
      <c r="G210">
        <v>1.2166999999999999</v>
      </c>
      <c r="H210">
        <f t="shared" si="19"/>
        <v>1.2161999999999999</v>
      </c>
      <c r="I210">
        <f t="shared" si="19"/>
        <v>1.2103999999999999</v>
      </c>
      <c r="J210">
        <f t="shared" si="19"/>
        <v>1.2128000000000001</v>
      </c>
      <c r="L210">
        <f t="shared" si="18"/>
        <v>4.9999999999994493E-4</v>
      </c>
      <c r="W210">
        <f t="shared" si="20"/>
        <v>2.8024739080014694E-3</v>
      </c>
      <c r="X210">
        <f t="shared" si="21"/>
        <v>-3.8639876352387985E-4</v>
      </c>
      <c r="Y210">
        <f t="shared" si="21"/>
        <v>-3.5614592357301428E-3</v>
      </c>
      <c r="Z210">
        <f t="shared" si="21"/>
        <v>1.9288263091908847E-3</v>
      </c>
      <c r="AE210">
        <f>W210-mu-theta*AE209</f>
        <v>2.1874225238277022E-3</v>
      </c>
      <c r="AF210">
        <f t="shared" si="23"/>
        <v>-1.4919941782492521E-3</v>
      </c>
      <c r="AG210">
        <f t="shared" si="23"/>
        <v>-3.5238148006141129E-3</v>
      </c>
      <c r="AK210">
        <f t="shared" si="22"/>
        <v>4.7848172977487541E-6</v>
      </c>
    </row>
    <row r="211" spans="1:37" x14ac:dyDescent="0.3">
      <c r="A211" s="1">
        <v>44221</v>
      </c>
      <c r="B211">
        <v>1.2137</v>
      </c>
      <c r="C211">
        <v>1.3673999999999999</v>
      </c>
      <c r="D211">
        <v>103.73</v>
      </c>
      <c r="G211">
        <v>1.2137</v>
      </c>
      <c r="H211">
        <f t="shared" si="19"/>
        <v>1.2166999999999999</v>
      </c>
      <c r="I211">
        <f t="shared" si="19"/>
        <v>1.2161999999999999</v>
      </c>
      <c r="J211">
        <f t="shared" si="19"/>
        <v>1.2103999999999999</v>
      </c>
      <c r="L211">
        <f t="shared" si="18"/>
        <v>-2.9999999999998916E-3</v>
      </c>
      <c r="W211">
        <f t="shared" si="20"/>
        <v>-3.8546786161696101E-4</v>
      </c>
      <c r="X211">
        <f t="shared" si="21"/>
        <v>2.8024739080014694E-3</v>
      </c>
      <c r="Y211">
        <f t="shared" si="21"/>
        <v>-3.8639876352387985E-4</v>
      </c>
      <c r="Z211">
        <f t="shared" si="21"/>
        <v>-3.5614592357301428E-3</v>
      </c>
      <c r="AE211">
        <f>W211-mu-theta*AE210</f>
        <v>-1.1219481436776076E-4</v>
      </c>
      <c r="AF211">
        <f t="shared" si="23"/>
        <v>2.1874225238277022E-3</v>
      </c>
      <c r="AG211">
        <f t="shared" si="23"/>
        <v>-1.4919941782492521E-3</v>
      </c>
      <c r="AK211">
        <f t="shared" si="22"/>
        <v>1.2587676371016295E-8</v>
      </c>
    </row>
    <row r="212" spans="1:37" x14ac:dyDescent="0.3">
      <c r="A212" s="1">
        <v>44222</v>
      </c>
      <c r="B212">
        <v>1.216</v>
      </c>
      <c r="C212">
        <v>1.3733</v>
      </c>
      <c r="D212">
        <v>103.6</v>
      </c>
      <c r="G212">
        <v>1.216</v>
      </c>
      <c r="H212">
        <f t="shared" si="19"/>
        <v>1.2137</v>
      </c>
      <c r="I212">
        <f t="shared" si="19"/>
        <v>1.2166999999999999</v>
      </c>
      <c r="J212">
        <f t="shared" si="19"/>
        <v>1.2161999999999999</v>
      </c>
      <c r="L212">
        <f t="shared" si="18"/>
        <v>2.2999999999999687E-3</v>
      </c>
      <c r="W212">
        <f t="shared" si="20"/>
        <v>-1.2532536392558533E-3</v>
      </c>
      <c r="X212">
        <f t="shared" si="21"/>
        <v>-3.8546786161696101E-4</v>
      </c>
      <c r="Y212">
        <f t="shared" si="21"/>
        <v>2.8024739080014694E-3</v>
      </c>
      <c r="Z212">
        <f t="shared" si="21"/>
        <v>-3.8639876352387985E-4</v>
      </c>
      <c r="AE212">
        <f>W212-mu-theta*AE211</f>
        <v>-1.5351789916034587E-3</v>
      </c>
      <c r="AF212">
        <f t="shared" si="23"/>
        <v>-1.1219481436776076E-4</v>
      </c>
      <c r="AG212">
        <f t="shared" si="23"/>
        <v>2.1874225238277022E-3</v>
      </c>
      <c r="AK212">
        <f t="shared" si="22"/>
        <v>2.3567745362606125E-6</v>
      </c>
    </row>
    <row r="213" spans="1:37" x14ac:dyDescent="0.3">
      <c r="A213" s="1">
        <v>44223</v>
      </c>
      <c r="B213">
        <v>1.2108000000000001</v>
      </c>
      <c r="C213">
        <v>1.3686</v>
      </c>
      <c r="D213">
        <v>104.09</v>
      </c>
      <c r="G213">
        <v>1.2108000000000001</v>
      </c>
      <c r="H213">
        <f t="shared" si="19"/>
        <v>1.216</v>
      </c>
      <c r="I213">
        <f t="shared" si="19"/>
        <v>1.2137</v>
      </c>
      <c r="J213">
        <f t="shared" si="19"/>
        <v>1.2166999999999999</v>
      </c>
      <c r="L213">
        <f t="shared" si="18"/>
        <v>-5.1999999999998714E-3</v>
      </c>
      <c r="W213">
        <f t="shared" si="20"/>
        <v>4.7297297297298176E-3</v>
      </c>
      <c r="X213">
        <f t="shared" si="21"/>
        <v>-1.2532536392558533E-3</v>
      </c>
      <c r="Y213">
        <f t="shared" si="21"/>
        <v>-3.8546786161696101E-4</v>
      </c>
      <c r="Z213">
        <f t="shared" si="21"/>
        <v>2.8024739080014694E-3</v>
      </c>
      <c r="AE213">
        <f>W213-mu-theta*AE212</f>
        <v>4.1042522025352482E-3</v>
      </c>
      <c r="AF213">
        <f t="shared" si="23"/>
        <v>-1.5351789916034587E-3</v>
      </c>
      <c r="AG213">
        <f t="shared" si="23"/>
        <v>-1.1219481436776076E-4</v>
      </c>
      <c r="AK213">
        <f t="shared" si="22"/>
        <v>1.6844886142015435E-5</v>
      </c>
    </row>
    <row r="214" spans="1:37" x14ac:dyDescent="0.3">
      <c r="A214" s="1">
        <v>44224</v>
      </c>
      <c r="B214">
        <v>1.2121</v>
      </c>
      <c r="C214">
        <v>1.3717999999999999</v>
      </c>
      <c r="D214">
        <v>104.21</v>
      </c>
      <c r="G214">
        <v>1.2121</v>
      </c>
      <c r="H214">
        <f t="shared" si="19"/>
        <v>1.2108000000000001</v>
      </c>
      <c r="I214">
        <f t="shared" si="19"/>
        <v>1.216</v>
      </c>
      <c r="J214">
        <f t="shared" si="19"/>
        <v>1.2137</v>
      </c>
      <c r="L214">
        <f t="shared" si="18"/>
        <v>1.2999999999998568E-3</v>
      </c>
      <c r="W214">
        <f t="shared" si="20"/>
        <v>1.1528484964933262E-3</v>
      </c>
      <c r="X214">
        <f t="shared" si="21"/>
        <v>4.7297297297298176E-3</v>
      </c>
      <c r="Y214">
        <f t="shared" si="21"/>
        <v>-1.2532536392558533E-3</v>
      </c>
      <c r="Z214">
        <f t="shared" si="21"/>
        <v>-3.8546786161696101E-4</v>
      </c>
      <c r="AE214">
        <f>W214-mu-theta*AE213</f>
        <v>1.8889032214773078E-3</v>
      </c>
      <c r="AF214">
        <f t="shared" si="23"/>
        <v>4.1042522025352482E-3</v>
      </c>
      <c r="AG214">
        <f t="shared" si="23"/>
        <v>-1.5351789916034587E-3</v>
      </c>
      <c r="AK214">
        <f t="shared" si="22"/>
        <v>3.5679553801073512E-6</v>
      </c>
    </row>
    <row r="215" spans="1:37" x14ac:dyDescent="0.3">
      <c r="A215" s="1">
        <v>44225</v>
      </c>
      <c r="B215">
        <v>1.2136</v>
      </c>
      <c r="C215">
        <v>1.3702000000000001</v>
      </c>
      <c r="D215">
        <v>104.68</v>
      </c>
      <c r="G215">
        <v>1.2136</v>
      </c>
      <c r="H215">
        <f t="shared" si="19"/>
        <v>1.2121</v>
      </c>
      <c r="I215">
        <f t="shared" si="19"/>
        <v>1.2108000000000001</v>
      </c>
      <c r="J215">
        <f t="shared" si="19"/>
        <v>1.216</v>
      </c>
      <c r="L215">
        <f t="shared" si="18"/>
        <v>1.5000000000000568E-3</v>
      </c>
      <c r="W215">
        <f t="shared" si="20"/>
        <v>4.5101237885041079E-3</v>
      </c>
      <c r="X215">
        <f t="shared" si="21"/>
        <v>1.1528484964933262E-3</v>
      </c>
      <c r="Y215">
        <f t="shared" si="21"/>
        <v>4.7297297297298176E-3</v>
      </c>
      <c r="Z215">
        <f t="shared" si="21"/>
        <v>-1.2532536392558533E-3</v>
      </c>
      <c r="AE215">
        <f>W215-mu-theta*AE214</f>
        <v>4.7113250887887677E-3</v>
      </c>
      <c r="AF215">
        <f t="shared" si="23"/>
        <v>1.8889032214773078E-3</v>
      </c>
      <c r="AG215">
        <f t="shared" si="23"/>
        <v>4.1042522025352482E-3</v>
      </c>
      <c r="AK215">
        <f t="shared" si="22"/>
        <v>2.219658409225049E-5</v>
      </c>
    </row>
    <row r="216" spans="1:37" x14ac:dyDescent="0.3">
      <c r="A216" s="1">
        <v>44228</v>
      </c>
      <c r="B216">
        <v>1.2059</v>
      </c>
      <c r="C216">
        <v>1.3661000000000001</v>
      </c>
      <c r="D216">
        <v>104.91</v>
      </c>
      <c r="G216">
        <v>1.2059</v>
      </c>
      <c r="H216">
        <f t="shared" si="19"/>
        <v>1.2136</v>
      </c>
      <c r="I216">
        <f t="shared" si="19"/>
        <v>1.2121</v>
      </c>
      <c r="J216">
        <f t="shared" si="19"/>
        <v>1.2108000000000001</v>
      </c>
      <c r="L216">
        <f t="shared" si="18"/>
        <v>-7.7000000000000401E-3</v>
      </c>
      <c r="W216">
        <f t="shared" si="20"/>
        <v>2.1971723347343308E-3</v>
      </c>
      <c r="X216">
        <f t="shared" si="21"/>
        <v>4.5101237885041079E-3</v>
      </c>
      <c r="Y216">
        <f t="shared" si="21"/>
        <v>1.1528484964933262E-3</v>
      </c>
      <c r="Z216">
        <f t="shared" si="21"/>
        <v>4.7297297297298176E-3</v>
      </c>
      <c r="AE216">
        <f>W216-mu-theta*AE215</f>
        <v>3.0797931380342168E-3</v>
      </c>
      <c r="AF216">
        <f t="shared" si="23"/>
        <v>4.7113250887887677E-3</v>
      </c>
      <c r="AG216">
        <f t="shared" si="23"/>
        <v>1.8889032214773078E-3</v>
      </c>
      <c r="AK216">
        <f t="shared" si="22"/>
        <v>9.4851257730826478E-6</v>
      </c>
    </row>
    <row r="217" spans="1:37" x14ac:dyDescent="0.3">
      <c r="A217" s="1">
        <v>44229</v>
      </c>
      <c r="B217">
        <v>1.2041999999999999</v>
      </c>
      <c r="C217">
        <v>1.3665</v>
      </c>
      <c r="D217">
        <v>104.97</v>
      </c>
      <c r="G217">
        <v>1.2041999999999999</v>
      </c>
      <c r="H217">
        <f t="shared" si="19"/>
        <v>1.2059</v>
      </c>
      <c r="I217">
        <f t="shared" si="19"/>
        <v>1.2136</v>
      </c>
      <c r="J217">
        <f t="shared" si="19"/>
        <v>1.2121</v>
      </c>
      <c r="L217">
        <f t="shared" si="18"/>
        <v>-1.7000000000000348E-3</v>
      </c>
      <c r="W217">
        <f t="shared" si="20"/>
        <v>5.7191878753219216E-4</v>
      </c>
      <c r="X217">
        <f t="shared" si="21"/>
        <v>2.1971723347343308E-3</v>
      </c>
      <c r="Y217">
        <f t="shared" si="21"/>
        <v>4.5101237885041079E-3</v>
      </c>
      <c r="Z217">
        <f t="shared" si="21"/>
        <v>1.1528484964933262E-3</v>
      </c>
      <c r="AE217">
        <f>W217-mu-theta*AE216</f>
        <v>1.0606375650886162E-3</v>
      </c>
      <c r="AF217">
        <f t="shared" si="23"/>
        <v>3.0797931380342168E-3</v>
      </c>
      <c r="AG217">
        <f t="shared" si="23"/>
        <v>4.7113250887887677E-3</v>
      </c>
      <c r="AK217">
        <f t="shared" si="22"/>
        <v>1.1249520444771086E-6</v>
      </c>
    </row>
    <row r="218" spans="1:37" x14ac:dyDescent="0.3">
      <c r="A218" s="1">
        <v>44230</v>
      </c>
      <c r="B218">
        <v>1.2034</v>
      </c>
      <c r="C218">
        <v>1.3644000000000001</v>
      </c>
      <c r="D218">
        <v>105.01</v>
      </c>
      <c r="G218">
        <v>1.2034</v>
      </c>
      <c r="H218">
        <f t="shared" si="19"/>
        <v>1.2041999999999999</v>
      </c>
      <c r="I218">
        <f t="shared" si="19"/>
        <v>1.2059</v>
      </c>
      <c r="J218">
        <f t="shared" si="19"/>
        <v>1.2136</v>
      </c>
      <c r="L218">
        <f t="shared" si="18"/>
        <v>-7.9999999999991189E-4</v>
      </c>
      <c r="W218">
        <f t="shared" si="20"/>
        <v>3.8106125559689676E-4</v>
      </c>
      <c r="X218">
        <f t="shared" si="21"/>
        <v>5.7191878753219216E-4</v>
      </c>
      <c r="Y218">
        <f t="shared" si="21"/>
        <v>2.1971723347343308E-3</v>
      </c>
      <c r="Z218">
        <f t="shared" si="21"/>
        <v>4.5101237885041079E-3</v>
      </c>
      <c r="AE218">
        <f>W218-mu-theta*AE217</f>
        <v>3.8229373531732696E-4</v>
      </c>
      <c r="AF218">
        <f t="shared" si="23"/>
        <v>1.0606375650886162E-3</v>
      </c>
      <c r="AG218">
        <f t="shared" si="23"/>
        <v>3.0797931380342168E-3</v>
      </c>
      <c r="AK218">
        <f t="shared" si="22"/>
        <v>1.4614850006287444E-7</v>
      </c>
    </row>
    <row r="219" spans="1:37" x14ac:dyDescent="0.3">
      <c r="A219" s="1">
        <v>44231</v>
      </c>
      <c r="B219">
        <v>1.1961999999999999</v>
      </c>
      <c r="C219">
        <v>1.367</v>
      </c>
      <c r="D219">
        <v>105.54</v>
      </c>
      <c r="G219">
        <v>1.1961999999999999</v>
      </c>
      <c r="H219">
        <f t="shared" si="19"/>
        <v>1.2034</v>
      </c>
      <c r="I219">
        <f t="shared" si="19"/>
        <v>1.2041999999999999</v>
      </c>
      <c r="J219">
        <f t="shared" si="19"/>
        <v>1.2059</v>
      </c>
      <c r="L219">
        <f t="shared" si="18"/>
        <v>-7.2000000000000952E-3</v>
      </c>
      <c r="W219">
        <f t="shared" si="20"/>
        <v>5.0471383677745084E-3</v>
      </c>
      <c r="X219">
        <f t="shared" si="21"/>
        <v>3.8106125559689676E-4</v>
      </c>
      <c r="Y219">
        <f t="shared" si="21"/>
        <v>5.7191878753219216E-4</v>
      </c>
      <c r="Z219">
        <f t="shared" si="21"/>
        <v>2.1971723347343308E-3</v>
      </c>
      <c r="AE219">
        <f>W219-mu-theta*AE218</f>
        <v>4.8845977699441658E-3</v>
      </c>
      <c r="AF219">
        <f t="shared" si="23"/>
        <v>3.8229373531732696E-4</v>
      </c>
      <c r="AG219">
        <f t="shared" si="23"/>
        <v>1.0606375650886162E-3</v>
      </c>
      <c r="AK219">
        <f t="shared" si="22"/>
        <v>2.3859295374143516E-5</v>
      </c>
    </row>
    <row r="220" spans="1:37" x14ac:dyDescent="0.3">
      <c r="A220" s="1">
        <v>44232</v>
      </c>
      <c r="B220">
        <v>1.2041999999999999</v>
      </c>
      <c r="C220">
        <v>1.3733</v>
      </c>
      <c r="D220">
        <v>105.36</v>
      </c>
      <c r="G220">
        <v>1.2041999999999999</v>
      </c>
      <c r="H220">
        <f t="shared" si="19"/>
        <v>1.1961999999999999</v>
      </c>
      <c r="I220">
        <f t="shared" si="19"/>
        <v>1.2034</v>
      </c>
      <c r="J220">
        <f t="shared" si="19"/>
        <v>1.2041999999999999</v>
      </c>
      <c r="L220">
        <f t="shared" si="18"/>
        <v>8.0000000000000071E-3</v>
      </c>
      <c r="W220">
        <f t="shared" si="20"/>
        <v>-1.7055144968732879E-3</v>
      </c>
      <c r="X220">
        <f t="shared" si="21"/>
        <v>5.0471383677745084E-3</v>
      </c>
      <c r="Y220">
        <f t="shared" si="21"/>
        <v>3.8106125559689676E-4</v>
      </c>
      <c r="Z220">
        <f t="shared" si="21"/>
        <v>5.7191878753219216E-4</v>
      </c>
      <c r="AE220">
        <f>W220-mu-theta*AE219</f>
        <v>-7.8106033561706699E-4</v>
      </c>
      <c r="AF220">
        <f t="shared" si="23"/>
        <v>4.8845977699441658E-3</v>
      </c>
      <c r="AG220">
        <f t="shared" si="23"/>
        <v>3.8229373531732696E-4</v>
      </c>
      <c r="AK220">
        <f t="shared" si="22"/>
        <v>6.1005524787424532E-7</v>
      </c>
    </row>
    <row r="221" spans="1:37" x14ac:dyDescent="0.3">
      <c r="A221" s="1">
        <v>44235</v>
      </c>
      <c r="B221">
        <v>1.2048000000000001</v>
      </c>
      <c r="C221">
        <v>1.3737999999999999</v>
      </c>
      <c r="D221">
        <v>105.22</v>
      </c>
      <c r="G221">
        <v>1.2048000000000001</v>
      </c>
      <c r="H221">
        <f t="shared" si="19"/>
        <v>1.2041999999999999</v>
      </c>
      <c r="I221">
        <f t="shared" si="19"/>
        <v>1.1961999999999999</v>
      </c>
      <c r="J221">
        <f t="shared" si="19"/>
        <v>1.2034</v>
      </c>
      <c r="L221">
        <f t="shared" si="18"/>
        <v>6.0000000000015596E-4</v>
      </c>
      <c r="W221">
        <f t="shared" si="20"/>
        <v>-1.3287775246773022E-3</v>
      </c>
      <c r="X221">
        <f t="shared" si="21"/>
        <v>-1.7055144968732879E-3</v>
      </c>
      <c r="Y221">
        <f t="shared" si="21"/>
        <v>5.0471383677745084E-3</v>
      </c>
      <c r="Z221">
        <f t="shared" si="21"/>
        <v>3.8106125559689676E-4</v>
      </c>
      <c r="AE221">
        <f>W221-mu-theta*AE220</f>
        <v>-1.7721875991893801E-3</v>
      </c>
      <c r="AF221">
        <f t="shared" si="23"/>
        <v>-7.8106033561706699E-4</v>
      </c>
      <c r="AG221">
        <f t="shared" si="23"/>
        <v>4.8845977699441658E-3</v>
      </c>
      <c r="AK221">
        <f t="shared" si="22"/>
        <v>3.1406488867206189E-6</v>
      </c>
    </row>
    <row r="222" spans="1:37" x14ac:dyDescent="0.3">
      <c r="A222" s="1">
        <v>44236</v>
      </c>
      <c r="B222">
        <v>1.2117</v>
      </c>
      <c r="C222">
        <v>1.3814</v>
      </c>
      <c r="D222">
        <v>104.57</v>
      </c>
      <c r="G222">
        <v>1.2117</v>
      </c>
      <c r="H222">
        <f t="shared" si="19"/>
        <v>1.2048000000000001</v>
      </c>
      <c r="I222">
        <f t="shared" si="19"/>
        <v>1.2041999999999999</v>
      </c>
      <c r="J222">
        <f t="shared" si="19"/>
        <v>1.1961999999999999</v>
      </c>
      <c r="L222">
        <f t="shared" si="18"/>
        <v>6.8999999999999062E-3</v>
      </c>
      <c r="W222">
        <f t="shared" si="20"/>
        <v>-6.1775327884433162E-3</v>
      </c>
      <c r="X222">
        <f t="shared" si="21"/>
        <v>-1.3287775246773022E-3</v>
      </c>
      <c r="Y222">
        <f t="shared" si="21"/>
        <v>-1.7055144968732879E-3</v>
      </c>
      <c r="Z222">
        <f t="shared" si="21"/>
        <v>5.0471383677745084E-3</v>
      </c>
      <c r="AE222">
        <f>W222-mu-theta*AE221</f>
        <v>-6.8602314878028281E-3</v>
      </c>
      <c r="AF222">
        <f t="shared" si="23"/>
        <v>-1.7721875991893801E-3</v>
      </c>
      <c r="AG222">
        <f t="shared" si="23"/>
        <v>-7.8106033561706699E-4</v>
      </c>
      <c r="AK222">
        <f t="shared" si="22"/>
        <v>4.7062776066241406E-5</v>
      </c>
    </row>
    <row r="223" spans="1:37" x14ac:dyDescent="0.3">
      <c r="A223" s="1">
        <v>44237</v>
      </c>
      <c r="B223">
        <v>1.2116</v>
      </c>
      <c r="C223">
        <v>1.3828</v>
      </c>
      <c r="D223">
        <v>104.57</v>
      </c>
      <c r="G223">
        <v>1.2116</v>
      </c>
      <c r="H223">
        <f t="shared" si="19"/>
        <v>1.2117</v>
      </c>
      <c r="I223">
        <f t="shared" si="19"/>
        <v>1.2048000000000001</v>
      </c>
      <c r="J223">
        <f t="shared" si="19"/>
        <v>1.2041999999999999</v>
      </c>
      <c r="L223">
        <f t="shared" si="18"/>
        <v>-9.9999999999988987E-5</v>
      </c>
      <c r="W223">
        <f t="shared" si="20"/>
        <v>0</v>
      </c>
      <c r="X223">
        <f t="shared" si="21"/>
        <v>-6.1775327884433162E-3</v>
      </c>
      <c r="Y223">
        <f t="shared" si="21"/>
        <v>-1.3287775246773022E-3</v>
      </c>
      <c r="Z223">
        <f t="shared" si="21"/>
        <v>-1.7055144968732879E-3</v>
      </c>
      <c r="AE223">
        <f>W223-mu-theta*AE222</f>
        <v>-1.9111090862168345E-3</v>
      </c>
      <c r="AF223">
        <f t="shared" si="23"/>
        <v>-6.8602314878028281E-3</v>
      </c>
      <c r="AG223">
        <f t="shared" si="23"/>
        <v>-1.7721875991893801E-3</v>
      </c>
      <c r="AK223">
        <f t="shared" si="22"/>
        <v>3.6523379394205441E-6</v>
      </c>
    </row>
    <row r="224" spans="1:37" x14ac:dyDescent="0.3">
      <c r="A224" s="1">
        <v>44238</v>
      </c>
      <c r="B224">
        <v>1.2128000000000001</v>
      </c>
      <c r="C224">
        <v>1.3815</v>
      </c>
      <c r="D224">
        <v>104.72</v>
      </c>
      <c r="G224">
        <v>1.2128000000000001</v>
      </c>
      <c r="H224">
        <f t="shared" si="19"/>
        <v>1.2116</v>
      </c>
      <c r="I224">
        <f t="shared" si="19"/>
        <v>1.2117</v>
      </c>
      <c r="J224">
        <f t="shared" si="19"/>
        <v>1.2048000000000001</v>
      </c>
      <c r="L224">
        <f t="shared" si="18"/>
        <v>1.2000000000000899E-3</v>
      </c>
      <c r="W224">
        <f t="shared" si="20"/>
        <v>1.4344458257627014E-3</v>
      </c>
      <c r="X224">
        <f t="shared" si="21"/>
        <v>0</v>
      </c>
      <c r="Y224">
        <f t="shared" si="21"/>
        <v>-6.1775327884433162E-3</v>
      </c>
      <c r="Z224">
        <f t="shared" si="21"/>
        <v>-1.3287775246773022E-3</v>
      </c>
      <c r="AE224">
        <f>W224-mu-theta*AE223</f>
        <v>7.1820720391861821E-4</v>
      </c>
      <c r="AF224">
        <f t="shared" si="23"/>
        <v>-1.9111090862168345E-3</v>
      </c>
      <c r="AG224">
        <f t="shared" si="23"/>
        <v>-6.8602314878028281E-3</v>
      </c>
      <c r="AK224">
        <f t="shared" si="22"/>
        <v>5.1582158776059965E-7</v>
      </c>
    </row>
    <row r="225" spans="1:37" x14ac:dyDescent="0.3">
      <c r="A225" s="1">
        <v>44239</v>
      </c>
      <c r="B225">
        <v>1.2118</v>
      </c>
      <c r="C225">
        <v>1.3844000000000001</v>
      </c>
      <c r="D225">
        <v>104.93</v>
      </c>
      <c r="G225">
        <v>1.2118</v>
      </c>
      <c r="H225">
        <f t="shared" si="19"/>
        <v>1.2128000000000001</v>
      </c>
      <c r="I225">
        <f t="shared" si="19"/>
        <v>1.2116</v>
      </c>
      <c r="J225">
        <f t="shared" si="19"/>
        <v>1.2117</v>
      </c>
      <c r="L225">
        <f t="shared" si="18"/>
        <v>-1.0000000000001119E-3</v>
      </c>
      <c r="W225">
        <f t="shared" si="20"/>
        <v>2.0053475935829638E-3</v>
      </c>
      <c r="X225">
        <f t="shared" si="21"/>
        <v>1.4344458257627014E-3</v>
      </c>
      <c r="Y225">
        <f t="shared" si="21"/>
        <v>0</v>
      </c>
      <c r="Z225">
        <f t="shared" si="21"/>
        <v>-6.1775327884433162E-3</v>
      </c>
      <c r="AE225">
        <f>W225-mu-theta*AE224</f>
        <v>1.9239068453114159E-3</v>
      </c>
      <c r="AF225">
        <f t="shared" si="23"/>
        <v>7.1820720391861821E-4</v>
      </c>
      <c r="AG225">
        <f t="shared" si="23"/>
        <v>-1.9111090862168345E-3</v>
      </c>
      <c r="AK225">
        <f t="shared" si="22"/>
        <v>3.7014175494361244E-6</v>
      </c>
    </row>
    <row r="226" spans="1:37" x14ac:dyDescent="0.3">
      <c r="A226" s="1">
        <v>44242</v>
      </c>
      <c r="B226">
        <v>1.2126999999999999</v>
      </c>
      <c r="C226">
        <v>1.3903000000000001</v>
      </c>
      <c r="D226">
        <v>105.36</v>
      </c>
      <c r="G226">
        <v>1.2126999999999999</v>
      </c>
      <c r="H226">
        <f t="shared" si="19"/>
        <v>1.2118</v>
      </c>
      <c r="I226">
        <f t="shared" si="19"/>
        <v>1.2128000000000001</v>
      </c>
      <c r="J226">
        <f t="shared" si="19"/>
        <v>1.2116</v>
      </c>
      <c r="L226">
        <f t="shared" si="18"/>
        <v>8.9999999999990088E-4</v>
      </c>
      <c r="W226">
        <f t="shared" si="20"/>
        <v>4.0979700752882169E-3</v>
      </c>
      <c r="X226">
        <f t="shared" si="21"/>
        <v>2.0053475935829638E-3</v>
      </c>
      <c r="Y226">
        <f t="shared" si="21"/>
        <v>1.4344458257627014E-3</v>
      </c>
      <c r="Z226">
        <f t="shared" si="21"/>
        <v>0</v>
      </c>
      <c r="AE226">
        <f>W226-mu-theta*AE225</f>
        <v>4.3076223276552065E-3</v>
      </c>
      <c r="AF226">
        <f t="shared" si="23"/>
        <v>1.9239068453114159E-3</v>
      </c>
      <c r="AG226">
        <f t="shared" si="23"/>
        <v>7.1820720391861821E-4</v>
      </c>
      <c r="AK226">
        <f t="shared" si="22"/>
        <v>1.8555610117713659E-5</v>
      </c>
    </row>
    <row r="227" spans="1:37" x14ac:dyDescent="0.3">
      <c r="A227" s="1">
        <v>44243</v>
      </c>
      <c r="B227">
        <v>1.2103999999999999</v>
      </c>
      <c r="C227">
        <v>1.3900999999999999</v>
      </c>
      <c r="D227">
        <v>106.04</v>
      </c>
      <c r="G227">
        <v>1.2103999999999999</v>
      </c>
      <c r="H227">
        <f t="shared" si="19"/>
        <v>1.2126999999999999</v>
      </c>
      <c r="I227">
        <f t="shared" si="19"/>
        <v>1.2118</v>
      </c>
      <c r="J227">
        <f t="shared" si="19"/>
        <v>1.2128000000000001</v>
      </c>
      <c r="L227">
        <f t="shared" si="18"/>
        <v>-2.2999999999999687E-3</v>
      </c>
      <c r="W227">
        <f t="shared" si="20"/>
        <v>6.4540622627183636E-3</v>
      </c>
      <c r="X227">
        <f t="shared" si="21"/>
        <v>4.0979700752882169E-3</v>
      </c>
      <c r="Y227">
        <f t="shared" si="21"/>
        <v>2.0053475935829638E-3</v>
      </c>
      <c r="Z227">
        <f t="shared" si="21"/>
        <v>1.4344458257627014E-3</v>
      </c>
      <c r="AE227">
        <f>W227-mu-theta*AE226</f>
        <v>7.2392167949254915E-3</v>
      </c>
      <c r="AF227">
        <f t="shared" si="23"/>
        <v>4.3076223276552065E-3</v>
      </c>
      <c r="AG227">
        <f t="shared" si="23"/>
        <v>1.9239068453114159E-3</v>
      </c>
      <c r="AK227">
        <f t="shared" si="22"/>
        <v>5.2406259803931304E-5</v>
      </c>
    </row>
    <row r="228" spans="1:37" x14ac:dyDescent="0.3">
      <c r="A228" s="1">
        <v>44244</v>
      </c>
      <c r="B228">
        <v>1.2036</v>
      </c>
      <c r="C228">
        <v>1.3853</v>
      </c>
      <c r="D228">
        <v>105.85</v>
      </c>
      <c r="G228">
        <v>1.2036</v>
      </c>
      <c r="H228">
        <f t="shared" si="19"/>
        <v>1.2103999999999999</v>
      </c>
      <c r="I228">
        <f t="shared" si="19"/>
        <v>1.2126999999999999</v>
      </c>
      <c r="J228">
        <f t="shared" si="19"/>
        <v>1.2118</v>
      </c>
      <c r="L228">
        <f t="shared" si="18"/>
        <v>-6.7999999999999172E-3</v>
      </c>
      <c r="W228">
        <f t="shared" si="20"/>
        <v>-1.7917766880423606E-3</v>
      </c>
      <c r="X228">
        <f t="shared" si="21"/>
        <v>6.4540622627183636E-3</v>
      </c>
      <c r="Y228">
        <f t="shared" si="21"/>
        <v>4.0979700752882169E-3</v>
      </c>
      <c r="Z228">
        <f t="shared" si="21"/>
        <v>2.0053475935829638E-3</v>
      </c>
      <c r="AE228">
        <f>W228-mu-theta*AE227</f>
        <v>-2.9884502724021036E-4</v>
      </c>
      <c r="AF228">
        <f t="shared" si="23"/>
        <v>7.2392167949254915E-3</v>
      </c>
      <c r="AG228">
        <f t="shared" si="23"/>
        <v>4.3076223276552065E-3</v>
      </c>
      <c r="AK228">
        <f t="shared" si="22"/>
        <v>8.9308350306202073E-8</v>
      </c>
    </row>
    <row r="229" spans="1:37" x14ac:dyDescent="0.3">
      <c r="A229" s="1">
        <v>44245</v>
      </c>
      <c r="B229">
        <v>1.2088000000000001</v>
      </c>
      <c r="C229">
        <v>1.3971</v>
      </c>
      <c r="D229">
        <v>105.66</v>
      </c>
      <c r="G229">
        <v>1.2088000000000001</v>
      </c>
      <c r="H229">
        <f t="shared" si="19"/>
        <v>1.2036</v>
      </c>
      <c r="I229">
        <f t="shared" si="19"/>
        <v>1.2103999999999999</v>
      </c>
      <c r="J229">
        <f t="shared" si="19"/>
        <v>1.2126999999999999</v>
      </c>
      <c r="L229">
        <f t="shared" si="18"/>
        <v>5.2000000000000934E-3</v>
      </c>
      <c r="W229">
        <f t="shared" si="20"/>
        <v>-1.794992914501632E-3</v>
      </c>
      <c r="X229">
        <f t="shared" si="21"/>
        <v>-1.7917766880423606E-3</v>
      </c>
      <c r="Y229">
        <f t="shared" si="21"/>
        <v>6.4540622627183636E-3</v>
      </c>
      <c r="Z229">
        <f t="shared" si="21"/>
        <v>4.0979700752882169E-3</v>
      </c>
      <c r="AE229">
        <f>W229-mu-theta*AE228</f>
        <v>-2.1219813726755768E-3</v>
      </c>
      <c r="AF229">
        <f t="shared" si="23"/>
        <v>-2.9884502724021036E-4</v>
      </c>
      <c r="AG229">
        <f t="shared" si="23"/>
        <v>7.2392167949254915E-3</v>
      </c>
      <c r="AK229">
        <f t="shared" si="22"/>
        <v>4.5028049459821253E-6</v>
      </c>
    </row>
    <row r="230" spans="1:37" x14ac:dyDescent="0.3">
      <c r="A230" s="1">
        <v>44246</v>
      </c>
      <c r="B230">
        <v>1.2117</v>
      </c>
      <c r="C230">
        <v>1.4014</v>
      </c>
      <c r="D230">
        <v>105.43</v>
      </c>
      <c r="G230">
        <v>1.2117</v>
      </c>
      <c r="H230">
        <f t="shared" si="19"/>
        <v>1.2088000000000001</v>
      </c>
      <c r="I230">
        <f t="shared" si="19"/>
        <v>1.2036</v>
      </c>
      <c r="J230">
        <f t="shared" si="19"/>
        <v>1.2103999999999999</v>
      </c>
      <c r="L230">
        <f t="shared" si="18"/>
        <v>2.8999999999999027E-3</v>
      </c>
      <c r="W230">
        <f t="shared" si="20"/>
        <v>-2.1767934885480768E-3</v>
      </c>
      <c r="X230">
        <f t="shared" si="21"/>
        <v>-1.794992914501632E-3</v>
      </c>
      <c r="Y230">
        <f t="shared" si="21"/>
        <v>-1.7917766880423606E-3</v>
      </c>
      <c r="Z230">
        <f t="shared" si="21"/>
        <v>6.4540622627183636E-3</v>
      </c>
      <c r="AE230">
        <f>W230-mu-theta*AE229</f>
        <v>-2.9439431702527035E-3</v>
      </c>
      <c r="AF230">
        <f t="shared" si="23"/>
        <v>-2.1219813726755768E-3</v>
      </c>
      <c r="AG230">
        <f t="shared" si="23"/>
        <v>-2.9884502724021036E-4</v>
      </c>
      <c r="AK230">
        <f t="shared" si="22"/>
        <v>8.6668013896775387E-6</v>
      </c>
    </row>
    <row r="231" spans="1:37" x14ac:dyDescent="0.3">
      <c r="A231" s="1">
        <v>44249</v>
      </c>
      <c r="B231">
        <v>1.2154</v>
      </c>
      <c r="C231">
        <v>1.4060999999999999</v>
      </c>
      <c r="D231">
        <v>105.06</v>
      </c>
      <c r="G231">
        <v>1.2154</v>
      </c>
      <c r="H231">
        <f t="shared" si="19"/>
        <v>1.2117</v>
      </c>
      <c r="I231">
        <f t="shared" si="19"/>
        <v>1.2088000000000001</v>
      </c>
      <c r="J231">
        <f t="shared" si="19"/>
        <v>1.2036</v>
      </c>
      <c r="L231">
        <f t="shared" si="18"/>
        <v>3.7000000000000366E-3</v>
      </c>
      <c r="W231">
        <f t="shared" si="20"/>
        <v>-3.5094375414967704E-3</v>
      </c>
      <c r="X231">
        <f t="shared" si="21"/>
        <v>-2.1767934885480768E-3</v>
      </c>
      <c r="Y231">
        <f t="shared" si="21"/>
        <v>-1.794992914501632E-3</v>
      </c>
      <c r="Z231">
        <f t="shared" si="21"/>
        <v>-1.7917766880423606E-3</v>
      </c>
      <c r="AE231">
        <f>W231-mu-theta*AE230</f>
        <v>-4.4750340982378494E-3</v>
      </c>
      <c r="AF231">
        <f t="shared" si="23"/>
        <v>-2.9439431702527035E-3</v>
      </c>
      <c r="AG231">
        <f t="shared" si="23"/>
        <v>-2.1219813726755768E-3</v>
      </c>
      <c r="AK231">
        <f t="shared" si="22"/>
        <v>2.0025930180391441E-5</v>
      </c>
    </row>
    <row r="232" spans="1:37" x14ac:dyDescent="0.3">
      <c r="A232" s="1">
        <v>44250</v>
      </c>
      <c r="B232">
        <v>1.2149000000000001</v>
      </c>
      <c r="C232">
        <v>1.411</v>
      </c>
      <c r="D232">
        <v>105.24</v>
      </c>
      <c r="G232">
        <v>1.2149000000000001</v>
      </c>
      <c r="H232">
        <f t="shared" si="19"/>
        <v>1.2154</v>
      </c>
      <c r="I232">
        <f t="shared" si="19"/>
        <v>1.2117</v>
      </c>
      <c r="J232">
        <f t="shared" si="19"/>
        <v>1.2088000000000001</v>
      </c>
      <c r="L232">
        <f t="shared" si="18"/>
        <v>-4.9999999999994493E-4</v>
      </c>
      <c r="W232">
        <f t="shared" si="20"/>
        <v>1.7133066818959891E-3</v>
      </c>
      <c r="X232">
        <f t="shared" si="21"/>
        <v>-3.5094375414967704E-3</v>
      </c>
      <c r="Y232">
        <f t="shared" si="21"/>
        <v>-2.1767934885480768E-3</v>
      </c>
      <c r="Z232">
        <f t="shared" si="21"/>
        <v>-1.794992914501632E-3</v>
      </c>
      <c r="AE232">
        <f>W232-mu-theta*AE231</f>
        <v>3.7805765353039495E-4</v>
      </c>
      <c r="AF232">
        <f t="shared" si="23"/>
        <v>-4.4750340982378494E-3</v>
      </c>
      <c r="AG232">
        <f t="shared" si="23"/>
        <v>-2.9439431702527035E-3</v>
      </c>
      <c r="AK232">
        <f t="shared" si="22"/>
        <v>1.4292758939290816E-7</v>
      </c>
    </row>
    <row r="233" spans="1:37" x14ac:dyDescent="0.3">
      <c r="A233" s="1">
        <v>44251</v>
      </c>
      <c r="B233">
        <v>1.2163999999999999</v>
      </c>
      <c r="C233">
        <v>1.4138999999999999</v>
      </c>
      <c r="D233">
        <v>105.86</v>
      </c>
      <c r="G233">
        <v>1.2163999999999999</v>
      </c>
      <c r="H233">
        <f t="shared" si="19"/>
        <v>1.2149000000000001</v>
      </c>
      <c r="I233">
        <f t="shared" si="19"/>
        <v>1.2154</v>
      </c>
      <c r="J233">
        <f t="shared" si="19"/>
        <v>1.2117</v>
      </c>
      <c r="L233">
        <f t="shared" si="18"/>
        <v>1.4999999999998348E-3</v>
      </c>
      <c r="W233">
        <f t="shared" si="20"/>
        <v>5.8912960851387744E-3</v>
      </c>
      <c r="X233">
        <f t="shared" si="21"/>
        <v>1.7133066818959891E-3</v>
      </c>
      <c r="Y233">
        <f t="shared" si="21"/>
        <v>-3.5094375414967704E-3</v>
      </c>
      <c r="Z233">
        <f t="shared" si="21"/>
        <v>-2.1767934885480768E-3</v>
      </c>
      <c r="AE233">
        <f>W233-mu-theta*AE232</f>
        <v>5.7277327667933252E-3</v>
      </c>
      <c r="AF233">
        <f t="shared" si="23"/>
        <v>3.7805765353039495E-4</v>
      </c>
      <c r="AG233">
        <f t="shared" si="23"/>
        <v>-4.4750340982378494E-3</v>
      </c>
      <c r="AK233">
        <f t="shared" si="22"/>
        <v>3.2806922647797923E-5</v>
      </c>
    </row>
    <row r="234" spans="1:37" x14ac:dyDescent="0.3">
      <c r="A234" s="1">
        <v>44252</v>
      </c>
      <c r="B234">
        <v>1.2176</v>
      </c>
      <c r="C234">
        <v>1.4013</v>
      </c>
      <c r="D234">
        <v>106.21</v>
      </c>
      <c r="G234">
        <v>1.2176</v>
      </c>
      <c r="H234">
        <f t="shared" si="19"/>
        <v>1.2163999999999999</v>
      </c>
      <c r="I234">
        <f t="shared" si="19"/>
        <v>1.2149000000000001</v>
      </c>
      <c r="J234">
        <f t="shared" si="19"/>
        <v>1.2154</v>
      </c>
      <c r="L234">
        <f t="shared" si="18"/>
        <v>1.2000000000000899E-3</v>
      </c>
      <c r="W234">
        <f t="shared" si="20"/>
        <v>3.3062535424144561E-3</v>
      </c>
      <c r="X234">
        <f t="shared" si="21"/>
        <v>5.8912960851387744E-3</v>
      </c>
      <c r="Y234">
        <f t="shared" si="21"/>
        <v>1.7133066818959891E-3</v>
      </c>
      <c r="Z234">
        <f t="shared" si="21"/>
        <v>-3.5094375414967704E-3</v>
      </c>
      <c r="AE234">
        <f>W234-mu-theta*AE233</f>
        <v>4.4342664406482124E-3</v>
      </c>
      <c r="AF234">
        <f t="shared" si="23"/>
        <v>5.7277327667933252E-3</v>
      </c>
      <c r="AG234">
        <f t="shared" si="23"/>
        <v>3.7805765353039495E-4</v>
      </c>
      <c r="AK234">
        <f t="shared" si="22"/>
        <v>1.9662718866658968E-5</v>
      </c>
    </row>
    <row r="235" spans="1:37" x14ac:dyDescent="0.3">
      <c r="A235" s="1">
        <v>44253</v>
      </c>
      <c r="B235">
        <v>1.2074</v>
      </c>
      <c r="C235">
        <v>1.3932</v>
      </c>
      <c r="D235">
        <v>106.58</v>
      </c>
      <c r="G235">
        <v>1.2074</v>
      </c>
      <c r="H235">
        <f t="shared" si="19"/>
        <v>1.2176</v>
      </c>
      <c r="I235">
        <f t="shared" si="19"/>
        <v>1.2163999999999999</v>
      </c>
      <c r="J235">
        <f t="shared" si="19"/>
        <v>1.2149000000000001</v>
      </c>
      <c r="L235">
        <f t="shared" si="18"/>
        <v>-1.0199999999999987E-2</v>
      </c>
      <c r="W235">
        <f t="shared" si="20"/>
        <v>3.4836644383768435E-3</v>
      </c>
      <c r="X235">
        <f t="shared" si="21"/>
        <v>3.3062535424144561E-3</v>
      </c>
      <c r="Y235">
        <f t="shared" si="21"/>
        <v>5.8912960851387744E-3</v>
      </c>
      <c r="Z235">
        <f t="shared" si="21"/>
        <v>1.7133066818959891E-3</v>
      </c>
      <c r="AE235">
        <f>W235-mu-theta*AE234</f>
        <v>4.2993947571221131E-3</v>
      </c>
      <c r="AF235">
        <f t="shared" si="23"/>
        <v>4.4342664406482124E-3</v>
      </c>
      <c r="AG235">
        <f t="shared" si="23"/>
        <v>5.7277327667933252E-3</v>
      </c>
      <c r="AK235">
        <f t="shared" si="22"/>
        <v>1.8484795277569115E-5</v>
      </c>
    </row>
    <row r="236" spans="1:37" x14ac:dyDescent="0.3">
      <c r="A236" s="1">
        <v>44256</v>
      </c>
      <c r="B236">
        <v>1.2047000000000001</v>
      </c>
      <c r="C236">
        <v>1.3922000000000001</v>
      </c>
      <c r="D236">
        <v>106.75</v>
      </c>
      <c r="G236">
        <v>1.2047000000000001</v>
      </c>
      <c r="H236">
        <f t="shared" si="19"/>
        <v>1.2074</v>
      </c>
      <c r="I236">
        <f t="shared" si="19"/>
        <v>1.2176</v>
      </c>
      <c r="J236">
        <f t="shared" si="19"/>
        <v>1.2163999999999999</v>
      </c>
      <c r="L236">
        <f t="shared" si="18"/>
        <v>-2.6999999999999247E-3</v>
      </c>
      <c r="W236">
        <f t="shared" si="20"/>
        <v>1.5950459748545853E-3</v>
      </c>
      <c r="X236">
        <f t="shared" si="21"/>
        <v>3.4836644383768435E-3</v>
      </c>
      <c r="Y236">
        <f t="shared" si="21"/>
        <v>3.3062535424144561E-3</v>
      </c>
      <c r="Z236">
        <f t="shared" si="21"/>
        <v>5.8912960851387744E-3</v>
      </c>
      <c r="AE236">
        <f>W236-mu-theta*AE235</f>
        <v>2.3782141183192598E-3</v>
      </c>
      <c r="AF236">
        <f t="shared" si="23"/>
        <v>4.2993947571221131E-3</v>
      </c>
      <c r="AG236">
        <f t="shared" si="23"/>
        <v>4.4342664406482124E-3</v>
      </c>
      <c r="AK236">
        <f t="shared" si="22"/>
        <v>5.6559023925730539E-6</v>
      </c>
    </row>
    <row r="237" spans="1:37" x14ac:dyDescent="0.3">
      <c r="A237" s="1">
        <v>44257</v>
      </c>
      <c r="B237">
        <v>1.2089000000000001</v>
      </c>
      <c r="C237">
        <v>1.3953</v>
      </c>
      <c r="D237">
        <v>106.67</v>
      </c>
      <c r="G237">
        <v>1.2089000000000001</v>
      </c>
      <c r="H237">
        <f t="shared" si="19"/>
        <v>1.2047000000000001</v>
      </c>
      <c r="I237">
        <f t="shared" si="19"/>
        <v>1.2074</v>
      </c>
      <c r="J237">
        <f t="shared" si="19"/>
        <v>1.2176</v>
      </c>
      <c r="L237">
        <f t="shared" si="18"/>
        <v>4.1999999999999815E-3</v>
      </c>
      <c r="W237">
        <f t="shared" si="20"/>
        <v>-7.4941451990630725E-4</v>
      </c>
      <c r="X237">
        <f t="shared" si="21"/>
        <v>1.5950459748545853E-3</v>
      </c>
      <c r="Y237">
        <f t="shared" si="21"/>
        <v>3.4836644383768435E-3</v>
      </c>
      <c r="Z237">
        <f t="shared" si="21"/>
        <v>3.3062535424144561E-3</v>
      </c>
      <c r="AE237">
        <f>W237-mu-theta*AE236</f>
        <v>-4.3007850985071338E-4</v>
      </c>
      <c r="AF237">
        <f t="shared" si="23"/>
        <v>2.3782141183192598E-3</v>
      </c>
      <c r="AG237">
        <f t="shared" si="23"/>
        <v>4.2993947571221131E-3</v>
      </c>
      <c r="AK237">
        <f t="shared" si="22"/>
        <v>1.8496752463541017E-7</v>
      </c>
    </row>
    <row r="238" spans="1:37" x14ac:dyDescent="0.3">
      <c r="A238" s="1">
        <v>44258</v>
      </c>
      <c r="B238">
        <v>1.2061999999999999</v>
      </c>
      <c r="C238">
        <v>1.3953</v>
      </c>
      <c r="D238">
        <v>106.99</v>
      </c>
      <c r="G238">
        <v>1.2061999999999999</v>
      </c>
      <c r="H238">
        <f t="shared" si="19"/>
        <v>1.2089000000000001</v>
      </c>
      <c r="I238">
        <f t="shared" si="19"/>
        <v>1.2047000000000001</v>
      </c>
      <c r="J238">
        <f t="shared" si="19"/>
        <v>1.2074</v>
      </c>
      <c r="L238">
        <f t="shared" si="18"/>
        <v>-2.7000000000001467E-3</v>
      </c>
      <c r="W238">
        <f t="shared" si="20"/>
        <v>2.999906252929532E-3</v>
      </c>
      <c r="X238">
        <f t="shared" si="21"/>
        <v>-7.4941451990630725E-4</v>
      </c>
      <c r="Y238">
        <f t="shared" si="21"/>
        <v>1.5950459748545853E-3</v>
      </c>
      <c r="Z238">
        <f t="shared" si="21"/>
        <v>3.4836644383768435E-3</v>
      </c>
      <c r="AE238">
        <f>W238-mu-theta*AE237</f>
        <v>2.6412339931470808E-3</v>
      </c>
      <c r="AF238">
        <f t="shared" si="23"/>
        <v>-4.3007850985071338E-4</v>
      </c>
      <c r="AG238">
        <f t="shared" si="23"/>
        <v>2.3782141183192598E-3</v>
      </c>
      <c r="AK238">
        <f t="shared" si="22"/>
        <v>6.976117006555674E-6</v>
      </c>
    </row>
    <row r="239" spans="1:37" x14ac:dyDescent="0.3">
      <c r="A239" s="1">
        <v>44259</v>
      </c>
      <c r="B239">
        <v>1.1966000000000001</v>
      </c>
      <c r="C239">
        <v>1.3894</v>
      </c>
      <c r="D239">
        <v>107.97</v>
      </c>
      <c r="G239">
        <v>1.1966000000000001</v>
      </c>
      <c r="H239">
        <f t="shared" si="19"/>
        <v>1.2061999999999999</v>
      </c>
      <c r="I239">
        <f t="shared" si="19"/>
        <v>1.2089000000000001</v>
      </c>
      <c r="J239">
        <f t="shared" si="19"/>
        <v>1.2047000000000001</v>
      </c>
      <c r="L239">
        <f t="shared" si="18"/>
        <v>-9.5999999999998309E-3</v>
      </c>
      <c r="W239">
        <f t="shared" si="20"/>
        <v>9.1597345546313123E-3</v>
      </c>
      <c r="X239">
        <f t="shared" si="21"/>
        <v>2.999906252929532E-3</v>
      </c>
      <c r="Y239">
        <f t="shared" si="21"/>
        <v>-7.4941451990630725E-4</v>
      </c>
      <c r="Z239">
        <f t="shared" si="21"/>
        <v>1.5950459748545853E-3</v>
      </c>
      <c r="AE239">
        <f>W239-mu-theta*AE238</f>
        <v>9.5425716572996241E-3</v>
      </c>
      <c r="AF239">
        <f t="shared" si="23"/>
        <v>2.6412339931470808E-3</v>
      </c>
      <c r="AG239">
        <f t="shared" si="23"/>
        <v>-4.3007850985071338E-4</v>
      </c>
      <c r="AK239">
        <f t="shared" si="22"/>
        <v>9.1060673834698094E-5</v>
      </c>
    </row>
    <row r="240" spans="1:37" x14ac:dyDescent="0.3">
      <c r="A240" s="1">
        <v>44260</v>
      </c>
      <c r="B240">
        <v>1.1917</v>
      </c>
      <c r="C240">
        <v>1.3841000000000001</v>
      </c>
      <c r="D240">
        <v>108.34</v>
      </c>
      <c r="G240">
        <v>1.1917</v>
      </c>
      <c r="H240">
        <f t="shared" si="19"/>
        <v>1.1966000000000001</v>
      </c>
      <c r="I240">
        <f t="shared" si="19"/>
        <v>1.2061999999999999</v>
      </c>
      <c r="J240">
        <f t="shared" si="19"/>
        <v>1.2089000000000001</v>
      </c>
      <c r="L240">
        <f t="shared" si="18"/>
        <v>-4.9000000000001265E-3</v>
      </c>
      <c r="W240">
        <f t="shared" si="20"/>
        <v>3.4268778364360893E-3</v>
      </c>
      <c r="X240">
        <f t="shared" si="21"/>
        <v>9.1597345546313123E-3</v>
      </c>
      <c r="Y240">
        <f t="shared" si="21"/>
        <v>2.999906252929532E-3</v>
      </c>
      <c r="Z240">
        <f t="shared" si="21"/>
        <v>-7.4941451990630725E-4</v>
      </c>
      <c r="AE240">
        <f>W240-mu-theta*AE239</f>
        <v>5.4759102501996618E-3</v>
      </c>
      <c r="AF240">
        <f t="shared" si="23"/>
        <v>9.5425716572996241E-3</v>
      </c>
      <c r="AG240">
        <f t="shared" si="23"/>
        <v>2.6412339931470808E-3</v>
      </c>
      <c r="AK240">
        <f t="shared" si="22"/>
        <v>2.9985593068241722E-5</v>
      </c>
    </row>
    <row r="241" spans="1:37" x14ac:dyDescent="0.3">
      <c r="A241" s="1">
        <v>44263</v>
      </c>
      <c r="B241">
        <v>1.1842999999999999</v>
      </c>
      <c r="C241">
        <v>1.3824000000000001</v>
      </c>
      <c r="D241">
        <v>108.86</v>
      </c>
      <c r="G241">
        <v>1.1842999999999999</v>
      </c>
      <c r="H241">
        <f t="shared" si="19"/>
        <v>1.1917</v>
      </c>
      <c r="I241">
        <f t="shared" si="19"/>
        <v>1.1966000000000001</v>
      </c>
      <c r="J241">
        <f t="shared" si="19"/>
        <v>1.2061999999999999</v>
      </c>
      <c r="L241">
        <f t="shared" si="18"/>
        <v>-7.4000000000000732E-3</v>
      </c>
      <c r="W241">
        <f t="shared" si="20"/>
        <v>4.7997046335609746E-3</v>
      </c>
      <c r="X241">
        <f t="shared" si="21"/>
        <v>3.4268778364360893E-3</v>
      </c>
      <c r="Y241">
        <f t="shared" si="21"/>
        <v>9.1597345546313123E-3</v>
      </c>
      <c r="Z241">
        <f t="shared" si="21"/>
        <v>2.999906252929532E-3</v>
      </c>
      <c r="AE241">
        <f>W241-mu-theta*AE240</f>
        <v>5.8669198260751553E-3</v>
      </c>
      <c r="AF241">
        <f t="shared" si="23"/>
        <v>5.4759102501996618E-3</v>
      </c>
      <c r="AG241">
        <f t="shared" si="23"/>
        <v>9.5425716572996241E-3</v>
      </c>
      <c r="AK241">
        <f t="shared" si="22"/>
        <v>3.4420748245593732E-5</v>
      </c>
    </row>
    <row r="242" spans="1:37" x14ac:dyDescent="0.3">
      <c r="A242" s="1">
        <v>44264</v>
      </c>
      <c r="B242">
        <v>1.1898</v>
      </c>
      <c r="C242">
        <v>1.3893</v>
      </c>
      <c r="D242">
        <v>108.46</v>
      </c>
      <c r="G242">
        <v>1.1898</v>
      </c>
      <c r="H242">
        <f t="shared" si="19"/>
        <v>1.1842999999999999</v>
      </c>
      <c r="I242">
        <f t="shared" si="19"/>
        <v>1.1917</v>
      </c>
      <c r="J242">
        <f t="shared" si="19"/>
        <v>1.1966000000000001</v>
      </c>
      <c r="L242">
        <f t="shared" si="18"/>
        <v>5.5000000000000604E-3</v>
      </c>
      <c r="W242">
        <f t="shared" si="20"/>
        <v>-3.6744442403087055E-3</v>
      </c>
      <c r="X242">
        <f t="shared" si="21"/>
        <v>4.7997046335609746E-3</v>
      </c>
      <c r="Y242">
        <f t="shared" si="21"/>
        <v>3.4268778364360893E-3</v>
      </c>
      <c r="Z242">
        <f t="shared" si="21"/>
        <v>9.1597345546313123E-3</v>
      </c>
      <c r="AE242">
        <f>W242-mu-theta*AE241</f>
        <v>-2.512827302274789E-3</v>
      </c>
      <c r="AF242">
        <f t="shared" si="23"/>
        <v>5.8669198260751553E-3</v>
      </c>
      <c r="AG242">
        <f t="shared" si="23"/>
        <v>5.4759102501996618E-3</v>
      </c>
      <c r="AK242">
        <f t="shared" si="22"/>
        <v>6.3143010510575935E-6</v>
      </c>
    </row>
    <row r="243" spans="1:37" x14ac:dyDescent="0.3">
      <c r="A243" s="1">
        <v>44265</v>
      </c>
      <c r="B243">
        <v>1.1924999999999999</v>
      </c>
      <c r="C243">
        <v>1.393</v>
      </c>
      <c r="D243">
        <v>108.38</v>
      </c>
      <c r="G243">
        <v>1.1924999999999999</v>
      </c>
      <c r="H243">
        <f t="shared" si="19"/>
        <v>1.1898</v>
      </c>
      <c r="I243">
        <f t="shared" si="19"/>
        <v>1.1842999999999999</v>
      </c>
      <c r="J243">
        <f t="shared" si="19"/>
        <v>1.1917</v>
      </c>
      <c r="L243">
        <f t="shared" si="18"/>
        <v>2.6999999999999247E-3</v>
      </c>
      <c r="W243">
        <f t="shared" si="20"/>
        <v>-7.3759911488104643E-4</v>
      </c>
      <c r="X243">
        <f t="shared" si="21"/>
        <v>-3.6744442403087055E-3</v>
      </c>
      <c r="Y243">
        <f t="shared" si="21"/>
        <v>4.7997046335609746E-3</v>
      </c>
      <c r="Z243">
        <f t="shared" si="21"/>
        <v>3.4268778364360893E-3</v>
      </c>
      <c r="AE243">
        <f>W243-mu-theta*AE242</f>
        <v>-1.5991110328578558E-3</v>
      </c>
      <c r="AF243">
        <f t="shared" si="23"/>
        <v>-2.512827302274789E-3</v>
      </c>
      <c r="AG243">
        <f t="shared" si="23"/>
        <v>5.8669198260751553E-3</v>
      </c>
      <c r="AK243">
        <f t="shared" si="22"/>
        <v>2.5571560954077184E-6</v>
      </c>
    </row>
    <row r="244" spans="1:37" x14ac:dyDescent="0.3">
      <c r="A244" s="1">
        <v>44266</v>
      </c>
      <c r="B244">
        <v>1.1983999999999999</v>
      </c>
      <c r="C244">
        <v>1.399</v>
      </c>
      <c r="D244">
        <v>108.49</v>
      </c>
      <c r="G244">
        <v>1.1983999999999999</v>
      </c>
      <c r="H244">
        <f t="shared" si="19"/>
        <v>1.1924999999999999</v>
      </c>
      <c r="I244">
        <f t="shared" si="19"/>
        <v>1.1898</v>
      </c>
      <c r="J244">
        <f t="shared" si="19"/>
        <v>1.1842999999999999</v>
      </c>
      <c r="L244">
        <f t="shared" si="18"/>
        <v>5.9000000000000163E-3</v>
      </c>
      <c r="W244">
        <f t="shared" si="20"/>
        <v>1.0149474072707089E-3</v>
      </c>
      <c r="X244">
        <f t="shared" si="21"/>
        <v>-7.3759911488104643E-4</v>
      </c>
      <c r="Y244">
        <f t="shared" si="21"/>
        <v>-3.6744442403087055E-3</v>
      </c>
      <c r="Z244">
        <f t="shared" si="21"/>
        <v>4.7997046335609746E-3</v>
      </c>
      <c r="AE244">
        <f>W244-mu-theta*AE243</f>
        <v>3.740347177133218E-4</v>
      </c>
      <c r="AF244">
        <f t="shared" si="23"/>
        <v>-1.5991110328578558E-3</v>
      </c>
      <c r="AG244">
        <f t="shared" si="23"/>
        <v>-2.512827302274789E-3</v>
      </c>
      <c r="AK244">
        <f t="shared" si="22"/>
        <v>1.3990197005488432E-7</v>
      </c>
    </row>
    <row r="245" spans="1:37" x14ac:dyDescent="0.3">
      <c r="A245" s="1">
        <v>44267</v>
      </c>
      <c r="B245">
        <v>1.1952</v>
      </c>
      <c r="C245">
        <v>1.3922000000000001</v>
      </c>
      <c r="D245">
        <v>109</v>
      </c>
      <c r="G245">
        <v>1.1952</v>
      </c>
      <c r="H245">
        <f t="shared" si="19"/>
        <v>1.1983999999999999</v>
      </c>
      <c r="I245">
        <f t="shared" si="19"/>
        <v>1.1924999999999999</v>
      </c>
      <c r="J245">
        <f t="shared" si="19"/>
        <v>1.1898</v>
      </c>
      <c r="L245">
        <f t="shared" si="18"/>
        <v>-3.1999999999998696E-3</v>
      </c>
      <c r="W245">
        <f t="shared" si="20"/>
        <v>4.7008940916213951E-3</v>
      </c>
      <c r="X245">
        <f t="shared" si="21"/>
        <v>1.0149474072707089E-3</v>
      </c>
      <c r="Y245">
        <f t="shared" si="21"/>
        <v>-7.3759911488104643E-4</v>
      </c>
      <c r="Z245">
        <f t="shared" si="21"/>
        <v>-3.6744442403087055E-3</v>
      </c>
      <c r="AE245">
        <f>W245-mu-theta*AE244</f>
        <v>4.5363595127578494E-3</v>
      </c>
      <c r="AF245">
        <f t="shared" si="23"/>
        <v>3.740347177133218E-4</v>
      </c>
      <c r="AG245">
        <f t="shared" si="23"/>
        <v>-1.5991110328578558E-3</v>
      </c>
      <c r="AK245">
        <f t="shared" si="22"/>
        <v>2.0578557628988634E-5</v>
      </c>
    </row>
    <row r="246" spans="1:37" x14ac:dyDescent="0.3">
      <c r="A246" s="1">
        <v>44270</v>
      </c>
      <c r="B246">
        <v>1.1928000000000001</v>
      </c>
      <c r="C246">
        <v>1.3893</v>
      </c>
      <c r="D246">
        <v>109.12</v>
      </c>
      <c r="G246">
        <v>1.1928000000000001</v>
      </c>
      <c r="H246">
        <f t="shared" si="19"/>
        <v>1.1952</v>
      </c>
      <c r="I246">
        <f t="shared" si="19"/>
        <v>1.1983999999999999</v>
      </c>
      <c r="J246">
        <f t="shared" si="19"/>
        <v>1.1924999999999999</v>
      </c>
      <c r="L246">
        <f t="shared" si="18"/>
        <v>-2.3999999999999577E-3</v>
      </c>
      <c r="W246">
        <f t="shared" si="20"/>
        <v>1.1009174311927023E-3</v>
      </c>
      <c r="X246">
        <f t="shared" si="21"/>
        <v>4.7008940916213951E-3</v>
      </c>
      <c r="Y246">
        <f t="shared" si="21"/>
        <v>1.0149474072707089E-3</v>
      </c>
      <c r="Z246">
        <f t="shared" si="21"/>
        <v>-7.3759911488104643E-4</v>
      </c>
      <c r="AE246">
        <f>W246-mu-theta*AE245</f>
        <v>1.941296159611936E-3</v>
      </c>
      <c r="AF246">
        <f t="shared" si="23"/>
        <v>4.5363595127578494E-3</v>
      </c>
      <c r="AG246">
        <f t="shared" si="23"/>
        <v>3.740347177133218E-4</v>
      </c>
      <c r="AK246">
        <f t="shared" si="22"/>
        <v>3.7686307793240513E-6</v>
      </c>
    </row>
    <row r="247" spans="1:37" x14ac:dyDescent="0.3">
      <c r="A247" s="1">
        <v>44271</v>
      </c>
      <c r="B247">
        <v>1.19</v>
      </c>
      <c r="C247">
        <v>1.3887</v>
      </c>
      <c r="D247">
        <v>108.98</v>
      </c>
      <c r="G247">
        <v>1.19</v>
      </c>
      <c r="H247">
        <f t="shared" si="19"/>
        <v>1.1928000000000001</v>
      </c>
      <c r="I247">
        <f t="shared" si="19"/>
        <v>1.1952</v>
      </c>
      <c r="J247">
        <f t="shared" si="19"/>
        <v>1.1983999999999999</v>
      </c>
      <c r="L247">
        <f t="shared" si="18"/>
        <v>-2.8000000000001357E-3</v>
      </c>
      <c r="W247">
        <f t="shared" si="20"/>
        <v>-1.2829912023460462E-3</v>
      </c>
      <c r="X247">
        <f t="shared" si="21"/>
        <v>1.1009174311927023E-3</v>
      </c>
      <c r="Y247">
        <f t="shared" si="21"/>
        <v>4.7008940916213951E-3</v>
      </c>
      <c r="Z247">
        <f t="shared" si="21"/>
        <v>1.0149474072707089E-3</v>
      </c>
      <c r="AE247">
        <f>W247-mu-theta*AE246</f>
        <v>-1.0691406343248048E-3</v>
      </c>
      <c r="AF247">
        <f t="shared" si="23"/>
        <v>1.941296159611936E-3</v>
      </c>
      <c r="AG247">
        <f t="shared" si="23"/>
        <v>4.5363595127578494E-3</v>
      </c>
      <c r="AK247">
        <f t="shared" si="22"/>
        <v>1.1430616959644461E-6</v>
      </c>
    </row>
    <row r="248" spans="1:37" x14ac:dyDescent="0.3">
      <c r="A248" s="1">
        <v>44272</v>
      </c>
      <c r="B248">
        <v>1.1978</v>
      </c>
      <c r="C248">
        <v>1.3963000000000001</v>
      </c>
      <c r="D248">
        <v>108.83</v>
      </c>
      <c r="G248">
        <v>1.1978</v>
      </c>
      <c r="H248">
        <f t="shared" si="19"/>
        <v>1.19</v>
      </c>
      <c r="I248">
        <f t="shared" si="19"/>
        <v>1.1928000000000001</v>
      </c>
      <c r="J248">
        <f t="shared" si="19"/>
        <v>1.1952</v>
      </c>
      <c r="L248">
        <f t="shared" si="18"/>
        <v>7.8000000000000291E-3</v>
      </c>
      <c r="W248">
        <f t="shared" si="20"/>
        <v>-1.3763993393283692E-3</v>
      </c>
      <c r="X248">
        <f t="shared" si="21"/>
        <v>-1.2829912023460462E-3</v>
      </c>
      <c r="Y248">
        <f t="shared" si="21"/>
        <v>1.1009174311927023E-3</v>
      </c>
      <c r="Z248">
        <f t="shared" si="21"/>
        <v>4.7008940916213951E-3</v>
      </c>
      <c r="AE248">
        <f>W248-mu-theta*AE247</f>
        <v>-1.8893608640497303E-3</v>
      </c>
      <c r="AF248">
        <f t="shared" si="23"/>
        <v>-1.0691406343248048E-3</v>
      </c>
      <c r="AG248">
        <f t="shared" si="23"/>
        <v>1.941296159611936E-3</v>
      </c>
      <c r="AK248">
        <f t="shared" si="22"/>
        <v>3.5696844746027432E-6</v>
      </c>
    </row>
    <row r="249" spans="1:37" x14ac:dyDescent="0.3">
      <c r="A249" s="1">
        <v>44273</v>
      </c>
      <c r="B249">
        <v>1.1915</v>
      </c>
      <c r="C249">
        <v>1.3919999999999999</v>
      </c>
      <c r="D249">
        <v>108.88</v>
      </c>
      <c r="G249">
        <v>1.1915</v>
      </c>
      <c r="H249">
        <f t="shared" si="19"/>
        <v>1.1978</v>
      </c>
      <c r="I249">
        <f t="shared" si="19"/>
        <v>1.19</v>
      </c>
      <c r="J249">
        <f t="shared" si="19"/>
        <v>1.1928000000000001</v>
      </c>
      <c r="L249">
        <f t="shared" si="18"/>
        <v>-6.2999999999999723E-3</v>
      </c>
      <c r="W249">
        <f t="shared" si="20"/>
        <v>4.594321418726193E-4</v>
      </c>
      <c r="X249">
        <f t="shared" si="21"/>
        <v>-1.3763993393283692E-3</v>
      </c>
      <c r="Y249">
        <f t="shared" si="21"/>
        <v>-1.2829912023460462E-3</v>
      </c>
      <c r="Z249">
        <f t="shared" si="21"/>
        <v>1.1009174311927023E-3</v>
      </c>
      <c r="AE249">
        <f>W249-mu-theta*AE248</f>
        <v>-2.5155578980632222E-4</v>
      </c>
      <c r="AF249">
        <f t="shared" si="23"/>
        <v>-1.8893608640497303E-3</v>
      </c>
      <c r="AG249">
        <f t="shared" si="23"/>
        <v>-1.0691406343248048E-3</v>
      </c>
      <c r="AK249">
        <f t="shared" si="22"/>
        <v>6.3280315385082565E-8</v>
      </c>
    </row>
    <row r="250" spans="1:37" x14ac:dyDescent="0.3">
      <c r="A250" s="1">
        <v>44274</v>
      </c>
      <c r="B250">
        <v>1.1902999999999999</v>
      </c>
      <c r="C250">
        <v>1.3868</v>
      </c>
      <c r="D250">
        <v>108.87</v>
      </c>
      <c r="G250">
        <v>1.1902999999999999</v>
      </c>
      <c r="H250">
        <f t="shared" si="19"/>
        <v>1.1915</v>
      </c>
      <c r="I250">
        <f t="shared" si="19"/>
        <v>1.1978</v>
      </c>
      <c r="J250">
        <f t="shared" si="19"/>
        <v>1.19</v>
      </c>
      <c r="L250">
        <f t="shared" si="18"/>
        <v>-1.2000000000000899E-3</v>
      </c>
      <c r="W250">
        <f t="shared" si="20"/>
        <v>-9.1844232182135426E-5</v>
      </c>
      <c r="X250">
        <f t="shared" si="21"/>
        <v>4.594321418726193E-4</v>
      </c>
      <c r="Y250">
        <f t="shared" si="21"/>
        <v>-1.3763993393283692E-3</v>
      </c>
      <c r="Z250">
        <f t="shared" si="21"/>
        <v>-1.2829912023460462E-3</v>
      </c>
      <c r="AE250">
        <f>W250-mu-theta*AE249</f>
        <v>-4.0741561304266492E-4</v>
      </c>
      <c r="AF250">
        <f t="shared" si="23"/>
        <v>-2.5155578980632222E-4</v>
      </c>
      <c r="AG250">
        <f t="shared" si="23"/>
        <v>-1.8893608640497303E-3</v>
      </c>
      <c r="AK250">
        <f t="shared" si="22"/>
        <v>1.6598748175093048E-7</v>
      </c>
    </row>
    <row r="251" spans="1:37" x14ac:dyDescent="0.3">
      <c r="A251" s="1">
        <v>44277</v>
      </c>
      <c r="B251">
        <v>1.1931</v>
      </c>
      <c r="C251">
        <v>1.3863000000000001</v>
      </c>
      <c r="D251">
        <v>108.83</v>
      </c>
      <c r="G251">
        <v>1.1931</v>
      </c>
      <c r="H251">
        <f t="shared" si="19"/>
        <v>1.1902999999999999</v>
      </c>
      <c r="I251">
        <f t="shared" si="19"/>
        <v>1.1915</v>
      </c>
      <c r="J251">
        <f t="shared" si="19"/>
        <v>1.1978</v>
      </c>
      <c r="L251">
        <f t="shared" si="18"/>
        <v>2.8000000000001357E-3</v>
      </c>
      <c r="W251">
        <f t="shared" si="20"/>
        <v>-3.6741067328011621E-4</v>
      </c>
      <c r="X251">
        <f t="shared" si="21"/>
        <v>-9.1844232182135426E-5</v>
      </c>
      <c r="Y251">
        <f t="shared" si="21"/>
        <v>4.594321418726193E-4</v>
      </c>
      <c r="Z251">
        <f t="shared" si="21"/>
        <v>-1.3763993393283692E-3</v>
      </c>
      <c r="AE251">
        <f>W251-mu-theta*AE250</f>
        <v>-7.2061141228862448E-4</v>
      </c>
      <c r="AF251">
        <f t="shared" si="23"/>
        <v>-4.0741561304266492E-4</v>
      </c>
      <c r="AG251">
        <f t="shared" si="23"/>
        <v>-2.5155578980632222E-4</v>
      </c>
      <c r="AK251">
        <f t="shared" si="22"/>
        <v>5.1928080752060592E-7</v>
      </c>
    </row>
    <row r="252" spans="1:37" x14ac:dyDescent="0.3">
      <c r="A252" s="1">
        <v>44278</v>
      </c>
      <c r="B252">
        <v>1.1849000000000001</v>
      </c>
      <c r="C252">
        <v>1.375</v>
      </c>
      <c r="D252">
        <v>108.56</v>
      </c>
      <c r="G252">
        <v>1.1849000000000001</v>
      </c>
      <c r="H252">
        <f t="shared" si="19"/>
        <v>1.1931</v>
      </c>
      <c r="I252">
        <f t="shared" si="19"/>
        <v>1.1902999999999999</v>
      </c>
      <c r="J252">
        <f t="shared" si="19"/>
        <v>1.1915</v>
      </c>
      <c r="L252">
        <f t="shared" si="18"/>
        <v>-8.1999999999999851E-3</v>
      </c>
      <c r="W252">
        <f t="shared" si="20"/>
        <v>-2.4809335661122485E-3</v>
      </c>
      <c r="X252">
        <f t="shared" si="21"/>
        <v>-3.6741067328011621E-4</v>
      </c>
      <c r="Y252">
        <f t="shared" si="21"/>
        <v>-9.1844232182135426E-5</v>
      </c>
      <c r="Z252">
        <f t="shared" si="21"/>
        <v>4.594321418726193E-4</v>
      </c>
      <c r="AE252">
        <f>W252-mu-theta*AE251</f>
        <v>-2.9097494101269876E-3</v>
      </c>
      <c r="AF252">
        <f t="shared" si="23"/>
        <v>-7.2061141228862448E-4</v>
      </c>
      <c r="AG252">
        <f t="shared" si="23"/>
        <v>-4.0741561304266492E-4</v>
      </c>
      <c r="AK252">
        <f t="shared" si="22"/>
        <v>8.4666416297343527E-6</v>
      </c>
    </row>
    <row r="253" spans="1:37" x14ac:dyDescent="0.3">
      <c r="A253" s="1">
        <v>44279</v>
      </c>
      <c r="B253">
        <v>1.1812</v>
      </c>
      <c r="C253">
        <v>1.3683000000000001</v>
      </c>
      <c r="D253">
        <v>108.72</v>
      </c>
      <c r="G253">
        <v>1.1812</v>
      </c>
      <c r="H253">
        <f t="shared" si="19"/>
        <v>1.1849000000000001</v>
      </c>
      <c r="I253">
        <f t="shared" si="19"/>
        <v>1.1931</v>
      </c>
      <c r="J253">
        <f t="shared" si="19"/>
        <v>1.1902999999999999</v>
      </c>
      <c r="L253">
        <f t="shared" si="18"/>
        <v>-3.7000000000000366E-3</v>
      </c>
      <c r="W253">
        <f t="shared" si="20"/>
        <v>1.4738393515106539E-3</v>
      </c>
      <c r="X253">
        <f t="shared" si="21"/>
        <v>-2.4809335661122485E-3</v>
      </c>
      <c r="Y253">
        <f t="shared" si="21"/>
        <v>-3.6741067328011621E-4</v>
      </c>
      <c r="Z253">
        <f t="shared" si="21"/>
        <v>-9.1844232182135426E-5</v>
      </c>
      <c r="AE253">
        <f>W253-mu-theta*AE252</f>
        <v>5.1649822082793461E-4</v>
      </c>
      <c r="AF253">
        <f t="shared" si="23"/>
        <v>-2.9097494101269876E-3</v>
      </c>
      <c r="AG253">
        <f t="shared" si="23"/>
        <v>-7.2061141228862448E-4</v>
      </c>
      <c r="AK253">
        <f t="shared" si="22"/>
        <v>2.6677041211842189E-7</v>
      </c>
    </row>
    <row r="254" spans="1:37" x14ac:dyDescent="0.3">
      <c r="A254" s="1">
        <v>44280</v>
      </c>
      <c r="B254">
        <v>1.1763999999999999</v>
      </c>
      <c r="C254">
        <v>1.3732</v>
      </c>
      <c r="D254">
        <v>109.17</v>
      </c>
      <c r="G254">
        <v>1.1763999999999999</v>
      </c>
      <c r="H254">
        <f t="shared" si="19"/>
        <v>1.1812</v>
      </c>
      <c r="I254">
        <f t="shared" si="19"/>
        <v>1.1849000000000001</v>
      </c>
      <c r="J254">
        <f t="shared" si="19"/>
        <v>1.1931</v>
      </c>
      <c r="L254">
        <f t="shared" si="18"/>
        <v>-4.8000000000001375E-3</v>
      </c>
      <c r="W254">
        <f t="shared" si="20"/>
        <v>4.1390728476821455E-3</v>
      </c>
      <c r="X254">
        <f t="shared" si="21"/>
        <v>1.4738393515106539E-3</v>
      </c>
      <c r="Y254">
        <f t="shared" si="21"/>
        <v>-2.4809335661122485E-3</v>
      </c>
      <c r="Z254">
        <f t="shared" si="21"/>
        <v>-3.6741067328011621E-4</v>
      </c>
      <c r="AE254">
        <f>W254-mu-theta*AE253</f>
        <v>4.0089333429974439E-3</v>
      </c>
      <c r="AF254">
        <f t="shared" si="23"/>
        <v>5.1649822082793461E-4</v>
      </c>
      <c r="AG254">
        <f t="shared" si="23"/>
        <v>-2.9097494101269876E-3</v>
      </c>
      <c r="AK254">
        <f t="shared" si="22"/>
        <v>1.6071546548596663E-5</v>
      </c>
    </row>
    <row r="255" spans="1:37" x14ac:dyDescent="0.3">
      <c r="A255" s="1">
        <v>44281</v>
      </c>
      <c r="B255">
        <v>1.1796</v>
      </c>
      <c r="C255">
        <v>1.3787</v>
      </c>
      <c r="D255">
        <v>109.64</v>
      </c>
      <c r="G255">
        <v>1.1796</v>
      </c>
      <c r="H255">
        <f t="shared" si="19"/>
        <v>1.1763999999999999</v>
      </c>
      <c r="I255">
        <f t="shared" si="19"/>
        <v>1.1812</v>
      </c>
      <c r="J255">
        <f t="shared" si="19"/>
        <v>1.1849000000000001</v>
      </c>
      <c r="L255">
        <f t="shared" si="18"/>
        <v>3.2000000000000917E-3</v>
      </c>
      <c r="W255">
        <f t="shared" si="20"/>
        <v>4.305212054593742E-3</v>
      </c>
      <c r="X255">
        <f t="shared" si="21"/>
        <v>4.1390728476821455E-3</v>
      </c>
      <c r="Y255">
        <f t="shared" si="21"/>
        <v>1.4738393515106539E-3</v>
      </c>
      <c r="Z255">
        <f t="shared" si="21"/>
        <v>-2.4809335661122485E-3</v>
      </c>
      <c r="AE255">
        <f>W255-mu-theta*AE254</f>
        <v>5.0182538733051047E-3</v>
      </c>
      <c r="AF255">
        <f t="shared" si="23"/>
        <v>4.0089333429974439E-3</v>
      </c>
      <c r="AG255">
        <f t="shared" si="23"/>
        <v>5.1649822082793461E-4</v>
      </c>
      <c r="AK255">
        <f t="shared" si="22"/>
        <v>2.5182871936941686E-5</v>
      </c>
    </row>
    <row r="256" spans="1:37" x14ac:dyDescent="0.3">
      <c r="A256" s="1">
        <v>44284</v>
      </c>
      <c r="B256">
        <v>1.1761999999999999</v>
      </c>
      <c r="C256">
        <v>1.3758999999999999</v>
      </c>
      <c r="D256">
        <v>109.78</v>
      </c>
      <c r="G256">
        <v>1.1761999999999999</v>
      </c>
      <c r="H256">
        <f t="shared" si="19"/>
        <v>1.1796</v>
      </c>
      <c r="I256">
        <f t="shared" si="19"/>
        <v>1.1763999999999999</v>
      </c>
      <c r="J256">
        <f t="shared" si="19"/>
        <v>1.1812</v>
      </c>
      <c r="L256">
        <f t="shared" si="18"/>
        <v>-3.4000000000000696E-3</v>
      </c>
      <c r="W256">
        <f t="shared" si="20"/>
        <v>1.2769062385990567E-3</v>
      </c>
      <c r="X256">
        <f t="shared" si="21"/>
        <v>4.305212054593742E-3</v>
      </c>
      <c r="Y256">
        <f t="shared" si="21"/>
        <v>4.1390728476821455E-3</v>
      </c>
      <c r="Z256">
        <f t="shared" si="21"/>
        <v>1.4738393515106539E-3</v>
      </c>
      <c r="AE256">
        <f>W256-mu-theta*AE255</f>
        <v>2.2336290966727089E-3</v>
      </c>
      <c r="AF256">
        <f t="shared" si="23"/>
        <v>5.0182538733051047E-3</v>
      </c>
      <c r="AG256">
        <f t="shared" si="23"/>
        <v>4.0089333429974439E-3</v>
      </c>
      <c r="AK256">
        <f t="shared" si="22"/>
        <v>4.9890989415029416E-6</v>
      </c>
    </row>
    <row r="257" spans="1:37" x14ac:dyDescent="0.3">
      <c r="A257" s="1">
        <v>44285</v>
      </c>
      <c r="B257">
        <v>1.1714</v>
      </c>
      <c r="C257">
        <v>1.3738999999999999</v>
      </c>
      <c r="D257">
        <v>110.34</v>
      </c>
      <c r="G257">
        <v>1.1714</v>
      </c>
      <c r="H257">
        <f t="shared" si="19"/>
        <v>1.1761999999999999</v>
      </c>
      <c r="I257">
        <f t="shared" si="19"/>
        <v>1.1796</v>
      </c>
      <c r="J257">
        <f t="shared" si="19"/>
        <v>1.1763999999999999</v>
      </c>
      <c r="L257">
        <f t="shared" si="18"/>
        <v>-4.7999999999999154E-3</v>
      </c>
      <c r="W257">
        <f t="shared" si="20"/>
        <v>5.1011113135361842E-3</v>
      </c>
      <c r="X257">
        <f t="shared" si="21"/>
        <v>1.2769062385990567E-3</v>
      </c>
      <c r="Y257">
        <f t="shared" si="21"/>
        <v>4.305212054593742E-3</v>
      </c>
      <c r="Z257">
        <f t="shared" si="21"/>
        <v>4.1390728476821455E-3</v>
      </c>
      <c r="AE257">
        <f>W257-mu-theta*AE256</f>
        <v>5.3855400495464245E-3</v>
      </c>
      <c r="AF257">
        <f t="shared" si="23"/>
        <v>2.2336290966727089E-3</v>
      </c>
      <c r="AG257">
        <f t="shared" si="23"/>
        <v>5.0182538733051047E-3</v>
      </c>
      <c r="AK257">
        <f t="shared" si="22"/>
        <v>2.9004041625268505E-5</v>
      </c>
    </row>
    <row r="258" spans="1:37" x14ac:dyDescent="0.3">
      <c r="A258" s="1">
        <v>44286</v>
      </c>
      <c r="B258">
        <v>1.1728000000000001</v>
      </c>
      <c r="C258">
        <v>1.3778999999999999</v>
      </c>
      <c r="D258">
        <v>110.7</v>
      </c>
      <c r="G258">
        <v>1.1728000000000001</v>
      </c>
      <c r="H258">
        <f t="shared" si="19"/>
        <v>1.1714</v>
      </c>
      <c r="I258">
        <f t="shared" si="19"/>
        <v>1.1761999999999999</v>
      </c>
      <c r="J258">
        <f t="shared" si="19"/>
        <v>1.1796</v>
      </c>
      <c r="L258">
        <f t="shared" si="18"/>
        <v>1.4000000000000679E-3</v>
      </c>
      <c r="W258">
        <f t="shared" si="20"/>
        <v>3.2626427406198971E-3</v>
      </c>
      <c r="X258">
        <f t="shared" si="21"/>
        <v>5.1011113135361842E-3</v>
      </c>
      <c r="Y258">
        <f t="shared" si="21"/>
        <v>1.2769062385990567E-3</v>
      </c>
      <c r="Z258">
        <f t="shared" si="21"/>
        <v>4.305212054593742E-3</v>
      </c>
      <c r="AE258">
        <f>W258-mu-theta*AE257</f>
        <v>4.3080397854185579E-3</v>
      </c>
      <c r="AF258">
        <f t="shared" si="23"/>
        <v>5.3855400495464245E-3</v>
      </c>
      <c r="AG258">
        <f t="shared" si="23"/>
        <v>2.2336290966727089E-3</v>
      </c>
      <c r="AK258">
        <f t="shared" si="22"/>
        <v>1.8559206792749174E-5</v>
      </c>
    </row>
    <row r="259" spans="1:37" x14ac:dyDescent="0.3">
      <c r="A259" s="1">
        <v>44287</v>
      </c>
      <c r="B259">
        <v>1.1775</v>
      </c>
      <c r="C259">
        <v>1.383</v>
      </c>
      <c r="D259">
        <v>110.6</v>
      </c>
      <c r="G259">
        <v>1.1775</v>
      </c>
      <c r="H259">
        <f t="shared" si="19"/>
        <v>1.1728000000000001</v>
      </c>
      <c r="I259">
        <f t="shared" si="19"/>
        <v>1.1714</v>
      </c>
      <c r="J259">
        <f t="shared" si="19"/>
        <v>1.1761999999999999</v>
      </c>
      <c r="L259">
        <f t="shared" si="18"/>
        <v>4.6999999999999265E-3</v>
      </c>
      <c r="W259">
        <f t="shared" si="20"/>
        <v>-9.0334236675707795E-4</v>
      </c>
      <c r="X259">
        <f t="shared" si="21"/>
        <v>3.2626427406198971E-3</v>
      </c>
      <c r="Y259">
        <f t="shared" si="21"/>
        <v>5.1011113135361842E-3</v>
      </c>
      <c r="Z259">
        <f t="shared" si="21"/>
        <v>1.2769062385990567E-3</v>
      </c>
      <c r="AE259">
        <f>W259-mu-theta*AE258</f>
        <v>-1.1808704739799071E-4</v>
      </c>
      <c r="AF259">
        <f t="shared" si="23"/>
        <v>4.3080397854185579E-3</v>
      </c>
      <c r="AG259">
        <f t="shared" si="23"/>
        <v>5.3855400495464245E-3</v>
      </c>
      <c r="AK259">
        <f t="shared" si="22"/>
        <v>1.3944550763175303E-8</v>
      </c>
    </row>
    <row r="260" spans="1:37" x14ac:dyDescent="0.3">
      <c r="A260" s="1">
        <v>44288</v>
      </c>
      <c r="B260">
        <v>1.1761999999999999</v>
      </c>
      <c r="C260">
        <v>1.3829</v>
      </c>
      <c r="D260">
        <v>110.71</v>
      </c>
      <c r="G260">
        <v>1.1761999999999999</v>
      </c>
      <c r="H260">
        <f t="shared" si="19"/>
        <v>1.1775</v>
      </c>
      <c r="I260">
        <f t="shared" si="19"/>
        <v>1.1728000000000001</v>
      </c>
      <c r="J260">
        <f t="shared" si="19"/>
        <v>1.1714</v>
      </c>
      <c r="L260">
        <f t="shared" si="18"/>
        <v>-1.3000000000000789E-3</v>
      </c>
      <c r="W260">
        <f t="shared" si="20"/>
        <v>9.9457504520795146E-4</v>
      </c>
      <c r="X260">
        <f t="shared" si="21"/>
        <v>-9.0334236675707795E-4</v>
      </c>
      <c r="Y260">
        <f t="shared" si="21"/>
        <v>3.2626427406198971E-3</v>
      </c>
      <c r="Z260">
        <f t="shared" si="21"/>
        <v>5.1011113135361842E-3</v>
      </c>
      <c r="AE260">
        <f>W260-mu-theta*AE259</f>
        <v>7.1122712646458114E-4</v>
      </c>
      <c r="AF260">
        <f t="shared" si="23"/>
        <v>-1.1808704739799071E-4</v>
      </c>
      <c r="AG260">
        <f t="shared" si="23"/>
        <v>4.3080397854185579E-3</v>
      </c>
      <c r="AK260">
        <f t="shared" si="22"/>
        <v>5.0584402541906534E-7</v>
      </c>
    </row>
    <row r="261" spans="1:37" x14ac:dyDescent="0.3">
      <c r="A261" s="1">
        <v>44291</v>
      </c>
      <c r="B261">
        <v>1.1811</v>
      </c>
      <c r="C261">
        <v>1.3896999999999999</v>
      </c>
      <c r="D261">
        <v>110.17</v>
      </c>
      <c r="G261">
        <v>1.1811</v>
      </c>
      <c r="H261">
        <f t="shared" si="19"/>
        <v>1.1761999999999999</v>
      </c>
      <c r="I261">
        <f t="shared" si="19"/>
        <v>1.1775</v>
      </c>
      <c r="J261">
        <f t="shared" si="19"/>
        <v>1.1728000000000001</v>
      </c>
      <c r="L261">
        <f t="shared" si="18"/>
        <v>4.9000000000001265E-3</v>
      </c>
      <c r="W261">
        <f t="shared" si="20"/>
        <v>-4.8776081654773014E-3</v>
      </c>
      <c r="X261">
        <f t="shared" si="21"/>
        <v>9.9457504520795146E-4</v>
      </c>
      <c r="Y261">
        <f t="shared" si="21"/>
        <v>-9.0334236675707795E-4</v>
      </c>
      <c r="Z261">
        <f t="shared" si="21"/>
        <v>3.2626427406198971E-3</v>
      </c>
      <c r="AE261">
        <f>W261-mu-theta*AE260</f>
        <v>-4.9607341192685573E-3</v>
      </c>
      <c r="AF261">
        <f t="shared" si="23"/>
        <v>7.1122712646458114E-4</v>
      </c>
      <c r="AG261">
        <f t="shared" si="23"/>
        <v>-1.1808704739799071E-4</v>
      </c>
      <c r="AK261">
        <f t="shared" si="22"/>
        <v>2.4608883002075188E-5</v>
      </c>
    </row>
    <row r="262" spans="1:37" x14ac:dyDescent="0.3">
      <c r="A262" s="1">
        <v>44292</v>
      </c>
      <c r="B262">
        <v>1.1875</v>
      </c>
      <c r="C262">
        <v>1.3823000000000001</v>
      </c>
      <c r="D262">
        <v>109.74</v>
      </c>
      <c r="G262">
        <v>1.1875</v>
      </c>
      <c r="H262">
        <f t="shared" si="19"/>
        <v>1.1811</v>
      </c>
      <c r="I262">
        <f t="shared" si="19"/>
        <v>1.1761999999999999</v>
      </c>
      <c r="J262">
        <f t="shared" si="19"/>
        <v>1.1775</v>
      </c>
      <c r="L262">
        <f t="shared" ref="L262:L325" si="24">G262-H262</f>
        <v>6.3999999999999613E-3</v>
      </c>
      <c r="W262">
        <f t="shared" si="20"/>
        <v>-3.9030589089589438E-3</v>
      </c>
      <c r="X262">
        <f t="shared" si="21"/>
        <v>-4.8776081654773014E-3</v>
      </c>
      <c r="Y262">
        <f t="shared" si="21"/>
        <v>9.9457504520795146E-4</v>
      </c>
      <c r="Z262">
        <f t="shared" si="21"/>
        <v>-9.0334236675707795E-4</v>
      </c>
      <c r="AE262">
        <f>W262-mu-theta*AE261</f>
        <v>-5.3555708705445449E-3</v>
      </c>
      <c r="AF262">
        <f t="shared" si="23"/>
        <v>-4.9607341192685573E-3</v>
      </c>
      <c r="AG262">
        <f t="shared" si="23"/>
        <v>7.1122712646458114E-4</v>
      </c>
      <c r="AK262">
        <f t="shared" si="22"/>
        <v>2.8682139349425256E-5</v>
      </c>
    </row>
    <row r="263" spans="1:37" x14ac:dyDescent="0.3">
      <c r="A263" s="1">
        <v>44293</v>
      </c>
      <c r="B263">
        <v>1.1870000000000001</v>
      </c>
      <c r="C263">
        <v>1.3734</v>
      </c>
      <c r="D263">
        <v>109.84</v>
      </c>
      <c r="G263">
        <v>1.1870000000000001</v>
      </c>
      <c r="H263">
        <f t="shared" ref="H263:J326" si="25">G262</f>
        <v>1.1875</v>
      </c>
      <c r="I263">
        <f t="shared" si="25"/>
        <v>1.1811</v>
      </c>
      <c r="J263">
        <f t="shared" si="25"/>
        <v>1.1761999999999999</v>
      </c>
      <c r="L263">
        <f t="shared" si="24"/>
        <v>-4.9999999999994493E-4</v>
      </c>
      <c r="W263">
        <f t="shared" ref="W263:W326" si="26">(D263-D262)/D262</f>
        <v>9.1124476034270575E-4</v>
      </c>
      <c r="X263">
        <f t="shared" si="21"/>
        <v>-3.9030589089589438E-3</v>
      </c>
      <c r="Y263">
        <f t="shared" si="21"/>
        <v>-4.8776081654773014E-3</v>
      </c>
      <c r="Z263">
        <f t="shared" si="21"/>
        <v>9.9457504520795146E-4</v>
      </c>
      <c r="AE263">
        <f>W263-mu-theta*AE262</f>
        <v>-6.3659294469134583E-4</v>
      </c>
      <c r="AF263">
        <f t="shared" si="23"/>
        <v>-5.3555708705445449E-3</v>
      </c>
      <c r="AG263">
        <f t="shared" si="23"/>
        <v>-4.9607341192685573E-3</v>
      </c>
      <c r="AK263">
        <f t="shared" si="22"/>
        <v>4.0525057723079888E-7</v>
      </c>
    </row>
    <row r="264" spans="1:37" x14ac:dyDescent="0.3">
      <c r="A264" s="1">
        <v>44294</v>
      </c>
      <c r="B264">
        <v>1.1912</v>
      </c>
      <c r="C264">
        <v>1.3733</v>
      </c>
      <c r="D264">
        <v>109.24</v>
      </c>
      <c r="G264">
        <v>1.1912</v>
      </c>
      <c r="H264">
        <f t="shared" si="25"/>
        <v>1.1870000000000001</v>
      </c>
      <c r="I264">
        <f t="shared" si="25"/>
        <v>1.1875</v>
      </c>
      <c r="J264">
        <f t="shared" si="25"/>
        <v>1.1811</v>
      </c>
      <c r="L264">
        <f t="shared" si="24"/>
        <v>4.1999999999999815E-3</v>
      </c>
      <c r="W264">
        <f t="shared" si="26"/>
        <v>-5.4624908958485841E-3</v>
      </c>
      <c r="X264">
        <f t="shared" ref="X264:Z327" si="27">W263</f>
        <v>9.1124476034270575E-4</v>
      </c>
      <c r="Y264">
        <f t="shared" si="27"/>
        <v>-3.9030589089589438E-3</v>
      </c>
      <c r="Z264">
        <f t="shared" si="27"/>
        <v>-4.8776081654773014E-3</v>
      </c>
      <c r="AE264">
        <f>W264-mu-theta*AE263</f>
        <v>-5.8710220959915784E-3</v>
      </c>
      <c r="AF264">
        <f t="shared" si="23"/>
        <v>-6.3659294469134583E-4</v>
      </c>
      <c r="AG264">
        <f t="shared" si="23"/>
        <v>-5.3555708705445449E-3</v>
      </c>
      <c r="AK264">
        <f t="shared" ref="AK264:AK327" si="28">POWER(AE264,2)</f>
        <v>3.446890045162135E-5</v>
      </c>
    </row>
    <row r="265" spans="1:37" x14ac:dyDescent="0.3">
      <c r="A265" s="1">
        <v>44295</v>
      </c>
      <c r="B265">
        <v>1.1896</v>
      </c>
      <c r="C265">
        <v>1.3708</v>
      </c>
      <c r="D265">
        <v>109.65</v>
      </c>
      <c r="G265">
        <v>1.1896</v>
      </c>
      <c r="H265">
        <f t="shared" si="25"/>
        <v>1.1912</v>
      </c>
      <c r="I265">
        <f t="shared" si="25"/>
        <v>1.1870000000000001</v>
      </c>
      <c r="J265">
        <f t="shared" si="25"/>
        <v>1.1875</v>
      </c>
      <c r="L265">
        <f t="shared" si="24"/>
        <v>-1.6000000000000458E-3</v>
      </c>
      <c r="W265">
        <f t="shared" si="26"/>
        <v>3.7532039545954852E-3</v>
      </c>
      <c r="X265">
        <f t="shared" si="27"/>
        <v>-5.4624908958485841E-3</v>
      </c>
      <c r="Y265">
        <f t="shared" si="27"/>
        <v>9.1124476034270575E-4</v>
      </c>
      <c r="Z265">
        <f t="shared" si="27"/>
        <v>-3.9030589089589438E-3</v>
      </c>
      <c r="AE265">
        <f>W265-mu-theta*AE264</f>
        <v>2.080920459957598E-3</v>
      </c>
      <c r="AF265">
        <f t="shared" ref="AF265:AG328" si="29">AE264</f>
        <v>-5.8710220959915784E-3</v>
      </c>
      <c r="AG265">
        <f t="shared" si="29"/>
        <v>-6.3659294469134583E-4</v>
      </c>
      <c r="AK265">
        <f t="shared" si="28"/>
        <v>4.330229960670141E-6</v>
      </c>
    </row>
    <row r="266" spans="1:37" x14ac:dyDescent="0.3">
      <c r="A266" s="1">
        <v>44298</v>
      </c>
      <c r="B266">
        <v>1.1909000000000001</v>
      </c>
      <c r="C266">
        <v>1.3740000000000001</v>
      </c>
      <c r="D266">
        <v>109.37</v>
      </c>
      <c r="G266">
        <v>1.1909000000000001</v>
      </c>
      <c r="H266">
        <f t="shared" si="25"/>
        <v>1.1896</v>
      </c>
      <c r="I266">
        <f t="shared" si="25"/>
        <v>1.1912</v>
      </c>
      <c r="J266">
        <f t="shared" si="25"/>
        <v>1.1870000000000001</v>
      </c>
      <c r="L266">
        <f t="shared" si="24"/>
        <v>1.3000000000000789E-3</v>
      </c>
      <c r="W266">
        <f t="shared" si="26"/>
        <v>-2.5535795713634395E-3</v>
      </c>
      <c r="X266">
        <f t="shared" si="27"/>
        <v>3.7532039545954852E-3</v>
      </c>
      <c r="Y266">
        <f t="shared" si="27"/>
        <v>-5.4624908958485841E-3</v>
      </c>
      <c r="Z266">
        <f t="shared" si="27"/>
        <v>9.1124476034270575E-4</v>
      </c>
      <c r="AE266">
        <f>W266-mu-theta*AE265</f>
        <v>-2.3060194000924829E-3</v>
      </c>
      <c r="AF266">
        <f t="shared" si="29"/>
        <v>2.080920459957598E-3</v>
      </c>
      <c r="AG266">
        <f t="shared" si="29"/>
        <v>-5.8710220959915784E-3</v>
      </c>
      <c r="AK266">
        <f t="shared" si="28"/>
        <v>5.3177254736028947E-6</v>
      </c>
    </row>
    <row r="267" spans="1:37" x14ac:dyDescent="0.3">
      <c r="A267" s="1">
        <v>44299</v>
      </c>
      <c r="B267">
        <v>1.1946000000000001</v>
      </c>
      <c r="C267">
        <v>1.3748</v>
      </c>
      <c r="D267">
        <v>109.05</v>
      </c>
      <c r="G267">
        <v>1.1946000000000001</v>
      </c>
      <c r="H267">
        <f t="shared" si="25"/>
        <v>1.1909000000000001</v>
      </c>
      <c r="I267">
        <f t="shared" si="25"/>
        <v>1.1896</v>
      </c>
      <c r="J267">
        <f t="shared" si="25"/>
        <v>1.1912</v>
      </c>
      <c r="L267">
        <f t="shared" si="24"/>
        <v>3.7000000000000366E-3</v>
      </c>
      <c r="W267">
        <f t="shared" si="26"/>
        <v>-2.9258480387675538E-3</v>
      </c>
      <c r="X267">
        <f t="shared" si="27"/>
        <v>-2.5535795713634395E-3</v>
      </c>
      <c r="Y267">
        <f t="shared" si="27"/>
        <v>3.7532039545954852E-3</v>
      </c>
      <c r="Z267">
        <f t="shared" si="27"/>
        <v>-5.4624908958485841E-3</v>
      </c>
      <c r="AE267">
        <f>W267-mu-theta*AE266</f>
        <v>-3.7374301643356448E-3</v>
      </c>
      <c r="AF267">
        <f t="shared" si="29"/>
        <v>-2.3060194000924829E-3</v>
      </c>
      <c r="AG267">
        <f t="shared" si="29"/>
        <v>2.080920459957598E-3</v>
      </c>
      <c r="AK267">
        <f t="shared" si="28"/>
        <v>1.3968384233285965E-5</v>
      </c>
    </row>
    <row r="268" spans="1:37" x14ac:dyDescent="0.3">
      <c r="A268" s="1">
        <v>44300</v>
      </c>
      <c r="B268">
        <v>1.1978</v>
      </c>
      <c r="C268">
        <v>1.3777999999999999</v>
      </c>
      <c r="D268">
        <v>108.91</v>
      </c>
      <c r="G268">
        <v>1.1978</v>
      </c>
      <c r="H268">
        <f t="shared" si="25"/>
        <v>1.1946000000000001</v>
      </c>
      <c r="I268">
        <f t="shared" si="25"/>
        <v>1.1909000000000001</v>
      </c>
      <c r="J268">
        <f t="shared" si="25"/>
        <v>1.1896</v>
      </c>
      <c r="L268">
        <f t="shared" si="24"/>
        <v>3.1999999999998696E-3</v>
      </c>
      <c r="W268">
        <f t="shared" si="26"/>
        <v>-1.2838147638697898E-3</v>
      </c>
      <c r="X268">
        <f t="shared" si="27"/>
        <v>-2.9258480387675538E-3</v>
      </c>
      <c r="Y268">
        <f t="shared" si="27"/>
        <v>-2.5535795713634395E-3</v>
      </c>
      <c r="Z268">
        <f t="shared" si="27"/>
        <v>3.7532039545954852E-3</v>
      </c>
      <c r="AE268">
        <f>W268-mu-theta*AE267</f>
        <v>-2.4409835017292405E-3</v>
      </c>
      <c r="AF268">
        <f t="shared" si="29"/>
        <v>-3.7374301643356448E-3</v>
      </c>
      <c r="AG268">
        <f t="shared" si="29"/>
        <v>-2.3060194000924829E-3</v>
      </c>
      <c r="AK268">
        <f t="shared" si="28"/>
        <v>5.9584004557143453E-6</v>
      </c>
    </row>
    <row r="269" spans="1:37" x14ac:dyDescent="0.3">
      <c r="A269" s="1">
        <v>44301</v>
      </c>
      <c r="B269">
        <v>1.1964999999999999</v>
      </c>
      <c r="C269">
        <v>1.3786</v>
      </c>
      <c r="D269">
        <v>108.74</v>
      </c>
      <c r="G269">
        <v>1.1964999999999999</v>
      </c>
      <c r="H269">
        <f t="shared" si="25"/>
        <v>1.1978</v>
      </c>
      <c r="I269">
        <f t="shared" si="25"/>
        <v>1.1946000000000001</v>
      </c>
      <c r="J269">
        <f t="shared" si="25"/>
        <v>1.1909000000000001</v>
      </c>
      <c r="L269">
        <f t="shared" si="24"/>
        <v>-1.3000000000000789E-3</v>
      </c>
      <c r="W269">
        <f t="shared" si="26"/>
        <v>-1.5609218620879783E-3</v>
      </c>
      <c r="X269">
        <f t="shared" si="27"/>
        <v>-1.2838147638697898E-3</v>
      </c>
      <c r="Y269">
        <f t="shared" si="27"/>
        <v>-2.9258480387675538E-3</v>
      </c>
      <c r="Z269">
        <f t="shared" si="27"/>
        <v>-2.5535795713634395E-3</v>
      </c>
      <c r="AE269">
        <f>W269-mu-theta*AE268</f>
        <v>-2.4050884755128831E-3</v>
      </c>
      <c r="AF269">
        <f t="shared" si="29"/>
        <v>-2.4409835017292405E-3</v>
      </c>
      <c r="AG269">
        <f t="shared" si="29"/>
        <v>-3.7374301643356448E-3</v>
      </c>
      <c r="AK269">
        <f t="shared" si="28"/>
        <v>5.7844505750448837E-6</v>
      </c>
    </row>
    <row r="270" spans="1:37" x14ac:dyDescent="0.3">
      <c r="A270" s="1">
        <v>44302</v>
      </c>
      <c r="B270">
        <v>1.1982999999999999</v>
      </c>
      <c r="C270">
        <v>1.383</v>
      </c>
      <c r="D270">
        <v>108.77</v>
      </c>
      <c r="G270">
        <v>1.1982999999999999</v>
      </c>
      <c r="H270">
        <f t="shared" si="25"/>
        <v>1.1964999999999999</v>
      </c>
      <c r="I270">
        <f t="shared" si="25"/>
        <v>1.1978</v>
      </c>
      <c r="J270">
        <f t="shared" si="25"/>
        <v>1.1946000000000001</v>
      </c>
      <c r="L270">
        <f t="shared" si="24"/>
        <v>1.8000000000000238E-3</v>
      </c>
      <c r="W270">
        <f t="shared" si="26"/>
        <v>2.7588743792533694E-4</v>
      </c>
      <c r="X270">
        <f t="shared" si="27"/>
        <v>-1.5609218620879783E-3</v>
      </c>
      <c r="Y270">
        <f t="shared" si="27"/>
        <v>-1.2838147638697898E-3</v>
      </c>
      <c r="Z270">
        <f t="shared" si="27"/>
        <v>-2.9258480387675538E-3</v>
      </c>
      <c r="AE270">
        <f>W270-mu-theta*AE269</f>
        <v>-5.596130114479237E-4</v>
      </c>
      <c r="AF270">
        <f t="shared" si="29"/>
        <v>-2.4050884755128831E-3</v>
      </c>
      <c r="AG270">
        <f t="shared" si="29"/>
        <v>-2.4409835017292405E-3</v>
      </c>
      <c r="AK270">
        <f t="shared" si="28"/>
        <v>3.1316672258181397E-7</v>
      </c>
    </row>
    <row r="271" spans="1:37" x14ac:dyDescent="0.3">
      <c r="A271" s="1">
        <v>44305</v>
      </c>
      <c r="B271">
        <v>1.2033</v>
      </c>
      <c r="C271">
        <v>1.3983000000000001</v>
      </c>
      <c r="D271">
        <v>108.15</v>
      </c>
      <c r="G271">
        <v>1.2033</v>
      </c>
      <c r="H271">
        <f t="shared" si="25"/>
        <v>1.1982999999999999</v>
      </c>
      <c r="I271">
        <f t="shared" si="25"/>
        <v>1.1964999999999999</v>
      </c>
      <c r="J271">
        <f t="shared" si="25"/>
        <v>1.1978</v>
      </c>
      <c r="L271">
        <f t="shared" si="24"/>
        <v>5.0000000000001155E-3</v>
      </c>
      <c r="W271">
        <f t="shared" si="26"/>
        <v>-5.700101130826426E-3</v>
      </c>
      <c r="X271">
        <f t="shared" si="27"/>
        <v>2.7588743792533694E-4</v>
      </c>
      <c r="Y271">
        <f t="shared" si="27"/>
        <v>-1.5609218620879783E-3</v>
      </c>
      <c r="Z271">
        <f t="shared" si="27"/>
        <v>-1.2838147638697898E-3</v>
      </c>
      <c r="AE271">
        <f>W271-mu-theta*AE270</f>
        <v>-6.0900470059120975E-3</v>
      </c>
      <c r="AF271">
        <f t="shared" si="29"/>
        <v>-5.596130114479237E-4</v>
      </c>
      <c r="AG271">
        <f t="shared" si="29"/>
        <v>-2.4050884755128831E-3</v>
      </c>
      <c r="AK271">
        <f t="shared" si="28"/>
        <v>3.7088672534218902E-5</v>
      </c>
    </row>
    <row r="272" spans="1:37" x14ac:dyDescent="0.3">
      <c r="A272" s="1">
        <v>44306</v>
      </c>
      <c r="B272">
        <v>1.2033</v>
      </c>
      <c r="C272">
        <v>1.3935999999999999</v>
      </c>
      <c r="D272">
        <v>108.08</v>
      </c>
      <c r="G272">
        <v>1.2033</v>
      </c>
      <c r="H272">
        <f t="shared" si="25"/>
        <v>1.2033</v>
      </c>
      <c r="I272">
        <f t="shared" si="25"/>
        <v>1.1982999999999999</v>
      </c>
      <c r="J272">
        <f t="shared" si="25"/>
        <v>1.1964999999999999</v>
      </c>
      <c r="L272">
        <f t="shared" si="24"/>
        <v>0</v>
      </c>
      <c r="W272">
        <f t="shared" si="26"/>
        <v>-6.4724919093857964E-4</v>
      </c>
      <c r="X272">
        <f t="shared" si="27"/>
        <v>-5.700101130826426E-3</v>
      </c>
      <c r="Y272">
        <f t="shared" si="27"/>
        <v>2.7588743792533694E-4</v>
      </c>
      <c r="Z272">
        <f t="shared" si="27"/>
        <v>-1.5609218620879783E-3</v>
      </c>
      <c r="AE272">
        <f>W272-mu-theta*AE271</f>
        <v>-2.3724120396498407E-3</v>
      </c>
      <c r="AF272">
        <f t="shared" si="29"/>
        <v>-6.0900470059120975E-3</v>
      </c>
      <c r="AG272">
        <f t="shared" si="29"/>
        <v>-5.596130114479237E-4</v>
      </c>
      <c r="AK272">
        <f t="shared" si="28"/>
        <v>5.6283388858755173E-6</v>
      </c>
    </row>
    <row r="273" spans="1:37" x14ac:dyDescent="0.3">
      <c r="A273" s="1">
        <v>44307</v>
      </c>
      <c r="B273">
        <v>1.2033</v>
      </c>
      <c r="C273">
        <v>1.3929</v>
      </c>
      <c r="D273">
        <v>108.05</v>
      </c>
      <c r="G273">
        <v>1.2033</v>
      </c>
      <c r="H273">
        <f t="shared" si="25"/>
        <v>1.2033</v>
      </c>
      <c r="I273">
        <f t="shared" si="25"/>
        <v>1.2033</v>
      </c>
      <c r="J273">
        <f t="shared" si="25"/>
        <v>1.1982999999999999</v>
      </c>
      <c r="L273">
        <f t="shared" si="24"/>
        <v>0</v>
      </c>
      <c r="W273">
        <f t="shared" si="26"/>
        <v>-2.7757216876388911E-4</v>
      </c>
      <c r="X273">
        <f t="shared" si="27"/>
        <v>-6.4724919093857964E-4</v>
      </c>
      <c r="Y273">
        <f t="shared" si="27"/>
        <v>-5.700101130826426E-3</v>
      </c>
      <c r="Z273">
        <f t="shared" si="27"/>
        <v>2.7588743792533694E-4</v>
      </c>
      <c r="AE273">
        <f>W273-mu-theta*AE272</f>
        <v>-1.1051835208537187E-3</v>
      </c>
      <c r="AF273">
        <f t="shared" si="29"/>
        <v>-2.3724120396498407E-3</v>
      </c>
      <c r="AG273">
        <f t="shared" si="29"/>
        <v>-6.0900470059120975E-3</v>
      </c>
      <c r="AK273">
        <f t="shared" si="28"/>
        <v>1.2214306147666222E-6</v>
      </c>
    </row>
    <row r="274" spans="1:37" x14ac:dyDescent="0.3">
      <c r="A274" s="1">
        <v>44308</v>
      </c>
      <c r="B274">
        <v>1.2015</v>
      </c>
      <c r="C274">
        <v>1.3835999999999999</v>
      </c>
      <c r="D274">
        <v>107.96</v>
      </c>
      <c r="G274">
        <v>1.2015</v>
      </c>
      <c r="H274">
        <f t="shared" si="25"/>
        <v>1.2033</v>
      </c>
      <c r="I274">
        <f t="shared" si="25"/>
        <v>1.2033</v>
      </c>
      <c r="J274">
        <f t="shared" si="25"/>
        <v>1.2033</v>
      </c>
      <c r="L274">
        <f t="shared" si="24"/>
        <v>-1.8000000000000238E-3</v>
      </c>
      <c r="W274">
        <f t="shared" si="26"/>
        <v>-8.3294770939383079E-4</v>
      </c>
      <c r="X274">
        <f t="shared" si="27"/>
        <v>-2.7757216876388911E-4</v>
      </c>
      <c r="Y274">
        <f t="shared" si="27"/>
        <v>-6.4724919093857964E-4</v>
      </c>
      <c r="Z274">
        <f t="shared" si="27"/>
        <v>-5.700101130826426E-3</v>
      </c>
      <c r="AE274">
        <f>W274-mu-theta*AE273</f>
        <v>-1.3546110961969089E-3</v>
      </c>
      <c r="AF274">
        <f t="shared" si="29"/>
        <v>-1.1051835208537187E-3</v>
      </c>
      <c r="AG274">
        <f t="shared" si="29"/>
        <v>-2.3724120396498407E-3</v>
      </c>
      <c r="AK274">
        <f t="shared" si="28"/>
        <v>1.834971221939791E-6</v>
      </c>
    </row>
    <row r="275" spans="1:37" x14ac:dyDescent="0.3">
      <c r="A275" s="1">
        <v>44309</v>
      </c>
      <c r="B275">
        <v>1.2099</v>
      </c>
      <c r="C275">
        <v>1.3874</v>
      </c>
      <c r="D275">
        <v>107.91</v>
      </c>
      <c r="G275">
        <v>1.2099</v>
      </c>
      <c r="H275">
        <f t="shared" si="25"/>
        <v>1.2015</v>
      </c>
      <c r="I275">
        <f t="shared" si="25"/>
        <v>1.2033</v>
      </c>
      <c r="J275">
        <f t="shared" si="25"/>
        <v>1.2033</v>
      </c>
      <c r="L275">
        <f t="shared" si="24"/>
        <v>8.3999999999999631E-3</v>
      </c>
      <c r="W275">
        <f t="shared" si="26"/>
        <v>-4.6313449425710597E-4</v>
      </c>
      <c r="X275">
        <f t="shared" si="27"/>
        <v>-8.3294770939383079E-4</v>
      </c>
      <c r="Y275">
        <f t="shared" si="27"/>
        <v>-2.7757216876388911E-4</v>
      </c>
      <c r="Z275">
        <f t="shared" si="27"/>
        <v>-6.4724919093857964E-4</v>
      </c>
      <c r="AE275">
        <f>W275-mu-theta*AE274</f>
        <v>-1.0450173742540035E-3</v>
      </c>
      <c r="AF275">
        <f t="shared" si="29"/>
        <v>-1.3546110961969089E-3</v>
      </c>
      <c r="AG275">
        <f t="shared" si="29"/>
        <v>-1.1051835208537187E-3</v>
      </c>
      <c r="AK275">
        <f t="shared" si="28"/>
        <v>1.0920613124927321E-6</v>
      </c>
    </row>
    <row r="276" spans="1:37" x14ac:dyDescent="0.3">
      <c r="A276" s="1">
        <v>44312</v>
      </c>
      <c r="B276">
        <v>1.2082999999999999</v>
      </c>
      <c r="C276">
        <v>1.3895999999999999</v>
      </c>
      <c r="D276">
        <v>108.08</v>
      </c>
      <c r="G276">
        <v>1.2082999999999999</v>
      </c>
      <c r="H276">
        <f t="shared" si="25"/>
        <v>1.2099</v>
      </c>
      <c r="I276">
        <f t="shared" si="25"/>
        <v>1.2015</v>
      </c>
      <c r="J276">
        <f t="shared" si="25"/>
        <v>1.2033</v>
      </c>
      <c r="L276">
        <f t="shared" si="24"/>
        <v>-1.6000000000000458E-3</v>
      </c>
      <c r="W276">
        <f t="shared" si="26"/>
        <v>1.5753868964878297E-3</v>
      </c>
      <c r="X276">
        <f t="shared" si="27"/>
        <v>-4.6313449425710597E-4</v>
      </c>
      <c r="Y276">
        <f t="shared" si="27"/>
        <v>-8.3294770939383079E-4</v>
      </c>
      <c r="Z276">
        <f t="shared" si="27"/>
        <v>-2.7757216876388911E-4</v>
      </c>
      <c r="AE276">
        <f>W276-mu-theta*AE275</f>
        <v>1.0682494691768997E-3</v>
      </c>
      <c r="AF276">
        <f t="shared" si="29"/>
        <v>-1.0450173742540035E-3</v>
      </c>
      <c r="AG276">
        <f t="shared" si="29"/>
        <v>-1.3546110961969089E-3</v>
      </c>
      <c r="AK276">
        <f t="shared" si="28"/>
        <v>1.1411569283967278E-6</v>
      </c>
    </row>
    <row r="277" spans="1:37" x14ac:dyDescent="0.3">
      <c r="A277" s="1">
        <v>44313</v>
      </c>
      <c r="B277">
        <v>1.2090000000000001</v>
      </c>
      <c r="C277">
        <v>1.3912</v>
      </c>
      <c r="D277">
        <v>108.68</v>
      </c>
      <c r="G277">
        <v>1.2090000000000001</v>
      </c>
      <c r="H277">
        <f t="shared" si="25"/>
        <v>1.2082999999999999</v>
      </c>
      <c r="I277">
        <f t="shared" si="25"/>
        <v>1.2099</v>
      </c>
      <c r="J277">
        <f t="shared" si="25"/>
        <v>1.2015</v>
      </c>
      <c r="L277">
        <f t="shared" si="24"/>
        <v>7.0000000000014495E-4</v>
      </c>
      <c r="W277">
        <f t="shared" si="26"/>
        <v>5.5514433752776515E-3</v>
      </c>
      <c r="X277">
        <f t="shared" si="27"/>
        <v>1.5753868964878297E-3</v>
      </c>
      <c r="Y277">
        <f t="shared" si="27"/>
        <v>-4.6313449425710597E-4</v>
      </c>
      <c r="Z277">
        <f t="shared" si="27"/>
        <v>-8.3294770939383079E-4</v>
      </c>
      <c r="AE277">
        <f>W277-mu-theta*AE276</f>
        <v>5.5545136029127046E-3</v>
      </c>
      <c r="AF277">
        <f t="shared" si="29"/>
        <v>1.0682494691768997E-3</v>
      </c>
      <c r="AG277">
        <f t="shared" si="29"/>
        <v>-1.0450173742540035E-3</v>
      </c>
      <c r="AK277">
        <f t="shared" si="28"/>
        <v>3.0852621364942276E-5</v>
      </c>
    </row>
    <row r="278" spans="1:37" x14ac:dyDescent="0.3">
      <c r="A278" s="1">
        <v>44314</v>
      </c>
      <c r="B278">
        <v>1.2122999999999999</v>
      </c>
      <c r="C278">
        <v>1.3932</v>
      </c>
      <c r="D278">
        <v>108.59</v>
      </c>
      <c r="G278">
        <v>1.2122999999999999</v>
      </c>
      <c r="H278">
        <f t="shared" si="25"/>
        <v>1.2090000000000001</v>
      </c>
      <c r="I278">
        <f t="shared" si="25"/>
        <v>1.2082999999999999</v>
      </c>
      <c r="J278">
        <f t="shared" si="25"/>
        <v>1.2099</v>
      </c>
      <c r="L278">
        <f t="shared" si="24"/>
        <v>3.2999999999998586E-3</v>
      </c>
      <c r="W278">
        <f t="shared" si="26"/>
        <v>-8.2811924917191204E-4</v>
      </c>
      <c r="X278">
        <f t="shared" si="27"/>
        <v>5.5514433752776515E-3</v>
      </c>
      <c r="Y278">
        <f t="shared" si="27"/>
        <v>1.5753868964878297E-3</v>
      </c>
      <c r="Z278">
        <f t="shared" si="27"/>
        <v>-4.6313449425710597E-4</v>
      </c>
      <c r="AE278">
        <f>W278-mu-theta*AE277</f>
        <v>2.5807321182271512E-4</v>
      </c>
      <c r="AF278">
        <f t="shared" si="29"/>
        <v>5.5545136029127046E-3</v>
      </c>
      <c r="AG278">
        <f t="shared" si="29"/>
        <v>1.0682494691768997E-3</v>
      </c>
      <c r="AK278">
        <f t="shared" si="28"/>
        <v>6.6601782660491986E-8</v>
      </c>
    </row>
    <row r="279" spans="1:37" x14ac:dyDescent="0.3">
      <c r="A279" s="1">
        <v>44315</v>
      </c>
      <c r="B279">
        <v>1.2118</v>
      </c>
      <c r="C279">
        <v>1.3939999999999999</v>
      </c>
      <c r="D279">
        <v>108.91</v>
      </c>
      <c r="G279">
        <v>1.2118</v>
      </c>
      <c r="H279">
        <f t="shared" si="25"/>
        <v>1.2122999999999999</v>
      </c>
      <c r="I279">
        <f t="shared" si="25"/>
        <v>1.2090000000000001</v>
      </c>
      <c r="J279">
        <f t="shared" si="25"/>
        <v>1.2082999999999999</v>
      </c>
      <c r="L279">
        <f t="shared" si="24"/>
        <v>-4.9999999999994493E-4</v>
      </c>
      <c r="W279">
        <f t="shared" si="26"/>
        <v>2.9468643521502274E-3</v>
      </c>
      <c r="X279">
        <f t="shared" si="27"/>
        <v>-8.2811924917191204E-4</v>
      </c>
      <c r="Y279">
        <f t="shared" si="27"/>
        <v>5.5514433752776515E-3</v>
      </c>
      <c r="Z279">
        <f t="shared" si="27"/>
        <v>1.5753868964878297E-3</v>
      </c>
      <c r="AE279">
        <f>W279-mu-theta*AE278</f>
        <v>2.75433309687624E-3</v>
      </c>
      <c r="AF279">
        <f t="shared" si="29"/>
        <v>2.5807321182271512E-4</v>
      </c>
      <c r="AG279">
        <f t="shared" si="29"/>
        <v>5.5545136029127046E-3</v>
      </c>
      <c r="AK279">
        <f t="shared" si="28"/>
        <v>7.5863508085478586E-6</v>
      </c>
    </row>
    <row r="280" spans="1:37" x14ac:dyDescent="0.3">
      <c r="A280" s="1">
        <v>44316</v>
      </c>
      <c r="B280">
        <v>1.2018</v>
      </c>
      <c r="C280">
        <v>1.3814</v>
      </c>
      <c r="D280">
        <v>109.27</v>
      </c>
      <c r="G280">
        <v>1.2018</v>
      </c>
      <c r="H280">
        <f t="shared" si="25"/>
        <v>1.2118</v>
      </c>
      <c r="I280">
        <f t="shared" si="25"/>
        <v>1.2122999999999999</v>
      </c>
      <c r="J280">
        <f t="shared" si="25"/>
        <v>1.2090000000000001</v>
      </c>
      <c r="L280">
        <f t="shared" si="24"/>
        <v>-1.0000000000000009E-2</v>
      </c>
      <c r="W280">
        <f t="shared" si="26"/>
        <v>3.3054815903039154E-3</v>
      </c>
      <c r="X280">
        <f t="shared" si="27"/>
        <v>2.9468643521502274E-3</v>
      </c>
      <c r="Y280">
        <f t="shared" si="27"/>
        <v>-8.2811924917191204E-4</v>
      </c>
      <c r="Z280">
        <f t="shared" si="27"/>
        <v>5.5514433752776515E-3</v>
      </c>
      <c r="AE280">
        <f>W280-mu-theta*AE279</f>
        <v>3.7156242974061946E-3</v>
      </c>
      <c r="AF280">
        <f t="shared" si="29"/>
        <v>2.75433309687624E-3</v>
      </c>
      <c r="AG280">
        <f t="shared" si="29"/>
        <v>2.5807321182271512E-4</v>
      </c>
      <c r="AK280">
        <f t="shared" si="28"/>
        <v>1.3805863919475277E-5</v>
      </c>
    </row>
    <row r="281" spans="1:37" x14ac:dyDescent="0.3">
      <c r="A281" s="1">
        <v>44319</v>
      </c>
      <c r="B281">
        <v>1.2060999999999999</v>
      </c>
      <c r="C281">
        <v>1.3909</v>
      </c>
      <c r="D281">
        <v>109.06</v>
      </c>
      <c r="G281">
        <v>1.2060999999999999</v>
      </c>
      <c r="H281">
        <f t="shared" si="25"/>
        <v>1.2018</v>
      </c>
      <c r="I281">
        <f t="shared" si="25"/>
        <v>1.2118</v>
      </c>
      <c r="J281">
        <f t="shared" si="25"/>
        <v>1.2122999999999999</v>
      </c>
      <c r="L281">
        <f t="shared" si="24"/>
        <v>4.2999999999999705E-3</v>
      </c>
      <c r="W281">
        <f t="shared" si="26"/>
        <v>-1.9218449711722683E-3</v>
      </c>
      <c r="X281">
        <f t="shared" si="27"/>
        <v>3.3054815903039154E-3</v>
      </c>
      <c r="Y281">
        <f t="shared" si="27"/>
        <v>2.9468643521502274E-3</v>
      </c>
      <c r="Z281">
        <f t="shared" si="27"/>
        <v>-8.2811924917191204E-4</v>
      </c>
      <c r="AE281">
        <f>W281-mu-theta*AE280</f>
        <v>-1.279616983090359E-3</v>
      </c>
      <c r="AF281">
        <f t="shared" si="29"/>
        <v>3.7156242974061946E-3</v>
      </c>
      <c r="AG281">
        <f t="shared" si="29"/>
        <v>2.75433309687624E-3</v>
      </c>
      <c r="AK281">
        <f t="shared" si="28"/>
        <v>1.6374196234132722E-6</v>
      </c>
    </row>
    <row r="282" spans="1:37" x14ac:dyDescent="0.3">
      <c r="A282" s="1">
        <v>44320</v>
      </c>
      <c r="B282">
        <v>1.2013</v>
      </c>
      <c r="C282">
        <v>1.3885000000000001</v>
      </c>
      <c r="D282">
        <v>109.33</v>
      </c>
      <c r="G282">
        <v>1.2013</v>
      </c>
      <c r="H282">
        <f t="shared" si="25"/>
        <v>1.2060999999999999</v>
      </c>
      <c r="I282">
        <f t="shared" si="25"/>
        <v>1.2018</v>
      </c>
      <c r="J282">
        <f t="shared" si="25"/>
        <v>1.2118</v>
      </c>
      <c r="L282">
        <f t="shared" si="24"/>
        <v>-4.7999999999999154E-3</v>
      </c>
      <c r="W282">
        <f t="shared" si="26"/>
        <v>2.4757014487437742E-3</v>
      </c>
      <c r="X282">
        <f t="shared" si="27"/>
        <v>-1.9218449711722683E-3</v>
      </c>
      <c r="Y282">
        <f t="shared" si="27"/>
        <v>3.3054815903039154E-3</v>
      </c>
      <c r="Z282">
        <f t="shared" si="27"/>
        <v>2.9468643521502274E-3</v>
      </c>
      <c r="AE282">
        <f>W282-mu-theta*AE281</f>
        <v>1.911924455706579E-3</v>
      </c>
      <c r="AF282">
        <f t="shared" si="29"/>
        <v>-1.279616983090359E-3</v>
      </c>
      <c r="AG282">
        <f t="shared" si="29"/>
        <v>3.7156242974061946E-3</v>
      </c>
      <c r="AK282">
        <f t="shared" si="28"/>
        <v>3.6554551243288985E-6</v>
      </c>
    </row>
    <row r="283" spans="1:37" x14ac:dyDescent="0.3">
      <c r="A283" s="1">
        <v>44321</v>
      </c>
      <c r="B283">
        <v>1.2004999999999999</v>
      </c>
      <c r="C283">
        <v>1.3903000000000001</v>
      </c>
      <c r="D283">
        <v>109.18</v>
      </c>
      <c r="G283">
        <v>1.2004999999999999</v>
      </c>
      <c r="H283">
        <f t="shared" si="25"/>
        <v>1.2013</v>
      </c>
      <c r="I283">
        <f t="shared" si="25"/>
        <v>1.2060999999999999</v>
      </c>
      <c r="J283">
        <f t="shared" si="25"/>
        <v>1.2018</v>
      </c>
      <c r="L283">
        <f t="shared" si="24"/>
        <v>-8.0000000000013394E-4</v>
      </c>
      <c r="W283">
        <f t="shared" si="26"/>
        <v>-1.371993048568476E-3</v>
      </c>
      <c r="X283">
        <f t="shared" si="27"/>
        <v>2.4757014487437742E-3</v>
      </c>
      <c r="Y283">
        <f t="shared" si="27"/>
        <v>-1.9218449711722683E-3</v>
      </c>
      <c r="Z283">
        <f t="shared" si="27"/>
        <v>3.3054815903039154E-3</v>
      </c>
      <c r="AE283">
        <f>W283-mu-theta*AE282</f>
        <v>-1.1652337138280213E-3</v>
      </c>
      <c r="AF283">
        <f t="shared" si="29"/>
        <v>1.911924455706579E-3</v>
      </c>
      <c r="AG283">
        <f t="shared" si="29"/>
        <v>-1.279616983090359E-3</v>
      </c>
      <c r="AK283">
        <f t="shared" si="28"/>
        <v>1.3577696078414431E-6</v>
      </c>
    </row>
    <row r="284" spans="1:37" x14ac:dyDescent="0.3">
      <c r="A284" s="1">
        <v>44322</v>
      </c>
      <c r="B284">
        <v>1.2063999999999999</v>
      </c>
      <c r="C284">
        <v>1.3885000000000001</v>
      </c>
      <c r="D284">
        <v>109.08</v>
      </c>
      <c r="G284">
        <v>1.2063999999999999</v>
      </c>
      <c r="H284">
        <f t="shared" si="25"/>
        <v>1.2004999999999999</v>
      </c>
      <c r="I284">
        <f t="shared" si="25"/>
        <v>1.2013</v>
      </c>
      <c r="J284">
        <f t="shared" si="25"/>
        <v>1.2060999999999999</v>
      </c>
      <c r="L284">
        <f t="shared" si="24"/>
        <v>5.9000000000000163E-3</v>
      </c>
      <c r="W284">
        <f t="shared" si="26"/>
        <v>-9.159186664224997E-4</v>
      </c>
      <c r="X284">
        <f t="shared" si="27"/>
        <v>-1.371993048568476E-3</v>
      </c>
      <c r="Y284">
        <f t="shared" si="27"/>
        <v>2.4757014487437742E-3</v>
      </c>
      <c r="Z284">
        <f t="shared" si="27"/>
        <v>-1.9218449711722683E-3</v>
      </c>
      <c r="AE284">
        <f>W284-mu-theta*AE283</f>
        <v>-1.4520800179439052E-3</v>
      </c>
      <c r="AF284">
        <f t="shared" si="29"/>
        <v>-1.1652337138280213E-3</v>
      </c>
      <c r="AG284">
        <f t="shared" si="29"/>
        <v>1.911924455706579E-3</v>
      </c>
      <c r="AK284">
        <f t="shared" si="28"/>
        <v>2.108536378511972E-6</v>
      </c>
    </row>
    <row r="285" spans="1:37" x14ac:dyDescent="0.3">
      <c r="A285" s="1">
        <v>44323</v>
      </c>
      <c r="B285">
        <v>1.2162999999999999</v>
      </c>
      <c r="C285">
        <v>1.3972</v>
      </c>
      <c r="D285">
        <v>108.6</v>
      </c>
      <c r="G285">
        <v>1.2162999999999999</v>
      </c>
      <c r="H285">
        <f t="shared" si="25"/>
        <v>1.2063999999999999</v>
      </c>
      <c r="I285">
        <f t="shared" si="25"/>
        <v>1.2004999999999999</v>
      </c>
      <c r="J285">
        <f t="shared" si="25"/>
        <v>1.2013</v>
      </c>
      <c r="L285">
        <f t="shared" si="24"/>
        <v>9.9000000000000199E-3</v>
      </c>
      <c r="W285">
        <f t="shared" si="26"/>
        <v>-4.4004400440044366E-3</v>
      </c>
      <c r="X285">
        <f t="shared" si="27"/>
        <v>-9.159186664224997E-4</v>
      </c>
      <c r="Y285">
        <f t="shared" si="27"/>
        <v>-1.371993048568476E-3</v>
      </c>
      <c r="Z285">
        <f t="shared" si="27"/>
        <v>2.4757014487437742E-3</v>
      </c>
      <c r="AE285">
        <f>W285-mu-theta*AE284</f>
        <v>-5.0058549214626264E-3</v>
      </c>
      <c r="AF285">
        <f t="shared" si="29"/>
        <v>-1.4520800179439052E-3</v>
      </c>
      <c r="AG285">
        <f t="shared" si="29"/>
        <v>-1.1652337138280213E-3</v>
      </c>
      <c r="AK285">
        <f t="shared" si="28"/>
        <v>2.5058583494731596E-5</v>
      </c>
    </row>
    <row r="286" spans="1:37" x14ac:dyDescent="0.3">
      <c r="A286" s="1">
        <v>44326</v>
      </c>
      <c r="B286">
        <v>1.2129000000000001</v>
      </c>
      <c r="C286">
        <v>1.4119999999999999</v>
      </c>
      <c r="D286">
        <v>108.78</v>
      </c>
      <c r="G286">
        <v>1.2129000000000001</v>
      </c>
      <c r="H286">
        <f t="shared" si="25"/>
        <v>1.2162999999999999</v>
      </c>
      <c r="I286">
        <f t="shared" si="25"/>
        <v>1.2063999999999999</v>
      </c>
      <c r="J286">
        <f t="shared" si="25"/>
        <v>1.2004999999999999</v>
      </c>
      <c r="L286">
        <f t="shared" si="24"/>
        <v>-3.3999999999998476E-3</v>
      </c>
      <c r="W286">
        <f t="shared" si="26"/>
        <v>1.6574585635359745E-3</v>
      </c>
      <c r="X286">
        <f t="shared" si="27"/>
        <v>-4.4004400440044366E-3</v>
      </c>
      <c r="Y286">
        <f t="shared" si="27"/>
        <v>-9.159186664224997E-4</v>
      </c>
      <c r="Z286">
        <f t="shared" si="27"/>
        <v>-1.371993048568476E-3</v>
      </c>
      <c r="AE286">
        <f>W286-mu-theta*AE285</f>
        <v>1.9405305164068242E-4</v>
      </c>
      <c r="AF286">
        <f t="shared" si="29"/>
        <v>-5.0058549214626264E-3</v>
      </c>
      <c r="AG286">
        <f t="shared" si="29"/>
        <v>-1.4520800179439052E-3</v>
      </c>
      <c r="AK286">
        <f t="shared" si="28"/>
        <v>3.7656586851061355E-8</v>
      </c>
    </row>
    <row r="287" spans="1:37" x14ac:dyDescent="0.3">
      <c r="A287" s="1">
        <v>44327</v>
      </c>
      <c r="B287">
        <v>1.2145999999999999</v>
      </c>
      <c r="C287">
        <v>1.4140999999999999</v>
      </c>
      <c r="D287">
        <v>108.61</v>
      </c>
      <c r="G287">
        <v>1.2145999999999999</v>
      </c>
      <c r="H287">
        <f t="shared" si="25"/>
        <v>1.2129000000000001</v>
      </c>
      <c r="I287">
        <f t="shared" si="25"/>
        <v>1.2162999999999999</v>
      </c>
      <c r="J287">
        <f t="shared" si="25"/>
        <v>1.2063999999999999</v>
      </c>
      <c r="L287">
        <f t="shared" si="24"/>
        <v>1.6999999999998128E-3</v>
      </c>
      <c r="W287">
        <f t="shared" si="26"/>
        <v>-1.5627872770730071E-3</v>
      </c>
      <c r="X287">
        <f t="shared" si="27"/>
        <v>1.6574585635359745E-3</v>
      </c>
      <c r="Y287">
        <f t="shared" si="27"/>
        <v>-4.4004400440044366E-3</v>
      </c>
      <c r="Z287">
        <f t="shared" si="27"/>
        <v>-9.159186664224997E-4</v>
      </c>
      <c r="AE287">
        <f>W287-mu-theta*AE286</f>
        <v>-1.7707749693309353E-3</v>
      </c>
      <c r="AF287">
        <f t="shared" si="29"/>
        <v>1.9405305164068242E-4</v>
      </c>
      <c r="AG287">
        <f t="shared" si="29"/>
        <v>-5.0058549214626264E-3</v>
      </c>
      <c r="AK287">
        <f t="shared" si="28"/>
        <v>3.1356439920089748E-6</v>
      </c>
    </row>
    <row r="288" spans="1:37" x14ac:dyDescent="0.3">
      <c r="A288" s="1">
        <v>44328</v>
      </c>
      <c r="B288">
        <v>1.2069000000000001</v>
      </c>
      <c r="C288">
        <v>1.4052</v>
      </c>
      <c r="D288">
        <v>109.65</v>
      </c>
      <c r="G288">
        <v>1.2069000000000001</v>
      </c>
      <c r="H288">
        <f t="shared" si="25"/>
        <v>1.2145999999999999</v>
      </c>
      <c r="I288">
        <f t="shared" si="25"/>
        <v>1.2129000000000001</v>
      </c>
      <c r="J288">
        <f t="shared" si="25"/>
        <v>1.2162999999999999</v>
      </c>
      <c r="L288">
        <f t="shared" si="24"/>
        <v>-7.6999999999998181E-3</v>
      </c>
      <c r="W288">
        <f t="shared" si="26"/>
        <v>9.5755455298776014E-3</v>
      </c>
      <c r="X288">
        <f t="shared" si="27"/>
        <v>-1.5627872770730071E-3</v>
      </c>
      <c r="Y288">
        <f t="shared" si="27"/>
        <v>1.6574585635359745E-3</v>
      </c>
      <c r="Z288">
        <f t="shared" si="27"/>
        <v>-4.4004400440044366E-3</v>
      </c>
      <c r="AE288">
        <f>W288-mu-theta*AE287</f>
        <v>8.8931878828417115E-3</v>
      </c>
      <c r="AF288">
        <f t="shared" si="29"/>
        <v>-1.7707749693309353E-3</v>
      </c>
      <c r="AG288">
        <f t="shared" si="29"/>
        <v>1.9405305164068242E-4</v>
      </c>
      <c r="AK288">
        <f t="shared" si="28"/>
        <v>7.908879071952264E-5</v>
      </c>
    </row>
    <row r="289" spans="1:37" x14ac:dyDescent="0.3">
      <c r="A289" s="1">
        <v>44329</v>
      </c>
      <c r="B289">
        <v>1.2078</v>
      </c>
      <c r="C289">
        <v>1.405</v>
      </c>
      <c r="D289">
        <v>109.45</v>
      </c>
      <c r="G289">
        <v>1.2078</v>
      </c>
      <c r="H289">
        <f t="shared" si="25"/>
        <v>1.2069000000000001</v>
      </c>
      <c r="I289">
        <f t="shared" si="25"/>
        <v>1.2145999999999999</v>
      </c>
      <c r="J289">
        <f t="shared" si="25"/>
        <v>1.2129000000000001</v>
      </c>
      <c r="L289">
        <f t="shared" si="24"/>
        <v>8.9999999999990088E-4</v>
      </c>
      <c r="W289">
        <f t="shared" si="26"/>
        <v>-1.8239854081167608E-3</v>
      </c>
      <c r="X289">
        <f t="shared" si="27"/>
        <v>9.5755455298776014E-3</v>
      </c>
      <c r="Y289">
        <f t="shared" si="27"/>
        <v>-1.5627872770730071E-3</v>
      </c>
      <c r="Z289">
        <f t="shared" si="27"/>
        <v>1.6574585635359745E-3</v>
      </c>
      <c r="AE289">
        <f>W289-mu-theta*AE288</f>
        <v>6.8265776737621783E-5</v>
      </c>
      <c r="AF289">
        <f t="shared" si="29"/>
        <v>8.8931878828417115E-3</v>
      </c>
      <c r="AG289">
        <f t="shared" si="29"/>
        <v>-1.7707749693309353E-3</v>
      </c>
      <c r="AK289">
        <f t="shared" si="28"/>
        <v>4.6602162735908233E-9</v>
      </c>
    </row>
    <row r="290" spans="1:37" x14ac:dyDescent="0.3">
      <c r="A290" s="1">
        <v>44330</v>
      </c>
      <c r="B290">
        <v>1.214</v>
      </c>
      <c r="C290">
        <v>1.4096</v>
      </c>
      <c r="D290">
        <v>109.34</v>
      </c>
      <c r="G290">
        <v>1.214</v>
      </c>
      <c r="H290">
        <f t="shared" si="25"/>
        <v>1.2078</v>
      </c>
      <c r="I290">
        <f t="shared" si="25"/>
        <v>1.2069000000000001</v>
      </c>
      <c r="J290">
        <f t="shared" si="25"/>
        <v>1.2145999999999999</v>
      </c>
      <c r="L290">
        <f t="shared" si="24"/>
        <v>6.1999999999999833E-3</v>
      </c>
      <c r="W290">
        <f t="shared" si="26"/>
        <v>-1.0050251256281354E-3</v>
      </c>
      <c r="X290">
        <f t="shared" si="27"/>
        <v>-1.8239854081167608E-3</v>
      </c>
      <c r="Y290">
        <f t="shared" si="27"/>
        <v>9.5755455298776014E-3</v>
      </c>
      <c r="Z290">
        <f t="shared" si="27"/>
        <v>-1.5627872770730071E-3</v>
      </c>
      <c r="AE290">
        <f>W290-mu-theta*AE289</f>
        <v>-1.2433817373388211E-3</v>
      </c>
      <c r="AF290">
        <f t="shared" si="29"/>
        <v>6.8265776737621783E-5</v>
      </c>
      <c r="AG290">
        <f t="shared" si="29"/>
        <v>8.8931878828417115E-3</v>
      </c>
      <c r="AK290">
        <f t="shared" si="28"/>
        <v>1.5459981447477051E-6</v>
      </c>
    </row>
    <row r="291" spans="1:37" x14ac:dyDescent="0.3">
      <c r="A291" s="1">
        <v>44333</v>
      </c>
      <c r="B291">
        <v>1.2151000000000001</v>
      </c>
      <c r="C291">
        <v>1.4134</v>
      </c>
      <c r="D291">
        <v>109.19</v>
      </c>
      <c r="G291">
        <v>1.2151000000000001</v>
      </c>
      <c r="H291">
        <f t="shared" si="25"/>
        <v>1.214</v>
      </c>
      <c r="I291">
        <f t="shared" si="25"/>
        <v>1.2078</v>
      </c>
      <c r="J291">
        <f t="shared" si="25"/>
        <v>1.2069000000000001</v>
      </c>
      <c r="L291">
        <f t="shared" si="24"/>
        <v>1.1000000000001009E-3</v>
      </c>
      <c r="W291">
        <f t="shared" si="26"/>
        <v>-1.3718675690507197E-3</v>
      </c>
      <c r="X291">
        <f t="shared" si="27"/>
        <v>-1.0050251256281354E-3</v>
      </c>
      <c r="Y291">
        <f t="shared" si="27"/>
        <v>-1.8239854081167608E-3</v>
      </c>
      <c r="Z291">
        <f t="shared" si="27"/>
        <v>9.5755455298776014E-3</v>
      </c>
      <c r="AE291">
        <f>W291-mu-theta*AE290</f>
        <v>-1.9268962585697142E-3</v>
      </c>
      <c r="AF291">
        <f t="shared" si="29"/>
        <v>-1.2433817373388211E-3</v>
      </c>
      <c r="AG291">
        <f t="shared" si="29"/>
        <v>6.8265776737621783E-5</v>
      </c>
      <c r="AK291">
        <f t="shared" si="28"/>
        <v>3.7129291912899628E-6</v>
      </c>
    </row>
    <row r="292" spans="1:37" x14ac:dyDescent="0.3">
      <c r="A292" s="1">
        <v>44334</v>
      </c>
      <c r="B292">
        <v>1.222</v>
      </c>
      <c r="C292">
        <v>1.4187000000000001</v>
      </c>
      <c r="D292">
        <v>108.88</v>
      </c>
      <c r="G292">
        <v>1.222</v>
      </c>
      <c r="H292">
        <f t="shared" si="25"/>
        <v>1.2151000000000001</v>
      </c>
      <c r="I292">
        <f t="shared" si="25"/>
        <v>1.214</v>
      </c>
      <c r="J292">
        <f t="shared" si="25"/>
        <v>1.2078</v>
      </c>
      <c r="L292">
        <f t="shared" si="24"/>
        <v>6.8999999999999062E-3</v>
      </c>
      <c r="W292">
        <f t="shared" si="26"/>
        <v>-2.8390878285557493E-3</v>
      </c>
      <c r="X292">
        <f t="shared" si="27"/>
        <v>-1.3718675690507197E-3</v>
      </c>
      <c r="Y292">
        <f t="shared" si="27"/>
        <v>-1.0050251256281354E-3</v>
      </c>
      <c r="Z292">
        <f t="shared" si="27"/>
        <v>-1.8239854081167608E-3</v>
      </c>
      <c r="AE292">
        <f>W292-mu-theta*AE291</f>
        <v>-3.5591379596796135E-3</v>
      </c>
      <c r="AF292">
        <f t="shared" si="29"/>
        <v>-1.9268962585697142E-3</v>
      </c>
      <c r="AG292">
        <f t="shared" si="29"/>
        <v>-1.2433817373388211E-3</v>
      </c>
      <c r="AK292">
        <f t="shared" si="28"/>
        <v>1.2667463016032363E-5</v>
      </c>
    </row>
    <row r="293" spans="1:37" x14ac:dyDescent="0.3">
      <c r="A293" s="1">
        <v>44335</v>
      </c>
      <c r="B293">
        <v>1.2172000000000001</v>
      </c>
      <c r="C293">
        <v>1.4113</v>
      </c>
      <c r="D293">
        <v>109.21</v>
      </c>
      <c r="G293">
        <v>1.2172000000000001</v>
      </c>
      <c r="H293">
        <f t="shared" si="25"/>
        <v>1.222</v>
      </c>
      <c r="I293">
        <f t="shared" si="25"/>
        <v>1.2151000000000001</v>
      </c>
      <c r="J293">
        <f t="shared" si="25"/>
        <v>1.214</v>
      </c>
      <c r="L293">
        <f t="shared" si="24"/>
        <v>-4.7999999999999154E-3</v>
      </c>
      <c r="W293">
        <f t="shared" si="26"/>
        <v>3.0308596620132102E-3</v>
      </c>
      <c r="X293">
        <f t="shared" si="27"/>
        <v>-2.8390878285557493E-3</v>
      </c>
      <c r="Y293">
        <f t="shared" si="27"/>
        <v>-1.3718675690507197E-3</v>
      </c>
      <c r="Z293">
        <f t="shared" si="27"/>
        <v>-1.0050251256281354E-3</v>
      </c>
      <c r="AE293">
        <f>W293-mu-theta*AE292</f>
        <v>1.916736149566476E-3</v>
      </c>
      <c r="AF293">
        <f t="shared" si="29"/>
        <v>-3.5591379596796135E-3</v>
      </c>
      <c r="AG293">
        <f t="shared" si="29"/>
        <v>-1.9268962585697142E-3</v>
      </c>
      <c r="AK293">
        <f t="shared" si="28"/>
        <v>3.6738774670549201E-6</v>
      </c>
    </row>
    <row r="294" spans="1:37" x14ac:dyDescent="0.3">
      <c r="A294" s="1">
        <v>44336</v>
      </c>
      <c r="B294">
        <v>1.2225999999999999</v>
      </c>
      <c r="C294">
        <v>1.4189000000000001</v>
      </c>
      <c r="D294">
        <v>108.75</v>
      </c>
      <c r="G294">
        <v>1.2225999999999999</v>
      </c>
      <c r="H294">
        <f t="shared" si="25"/>
        <v>1.2172000000000001</v>
      </c>
      <c r="I294">
        <f t="shared" si="25"/>
        <v>1.222</v>
      </c>
      <c r="J294">
        <f t="shared" si="25"/>
        <v>1.2151000000000001</v>
      </c>
      <c r="L294">
        <f t="shared" si="24"/>
        <v>5.3999999999998494E-3</v>
      </c>
      <c r="W294">
        <f t="shared" si="26"/>
        <v>-4.2120684918962896E-3</v>
      </c>
      <c r="X294">
        <f t="shared" si="27"/>
        <v>3.0308596620132102E-3</v>
      </c>
      <c r="Y294">
        <f t="shared" si="27"/>
        <v>-2.8390878285557493E-3</v>
      </c>
      <c r="Z294">
        <f t="shared" si="27"/>
        <v>-1.3718675690507197E-3</v>
      </c>
      <c r="AE294">
        <f>W294-mu-theta*AE293</f>
        <v>-4.0041474661709946E-3</v>
      </c>
      <c r="AF294">
        <f t="shared" si="29"/>
        <v>1.916736149566476E-3</v>
      </c>
      <c r="AG294">
        <f t="shared" si="29"/>
        <v>-3.5591379596796135E-3</v>
      </c>
      <c r="AK294">
        <f t="shared" si="28"/>
        <v>1.6033196930843598E-5</v>
      </c>
    </row>
    <row r="295" spans="1:37" x14ac:dyDescent="0.3">
      <c r="A295" s="1">
        <v>44337</v>
      </c>
      <c r="B295">
        <v>1.2179</v>
      </c>
      <c r="C295">
        <v>1.4147000000000001</v>
      </c>
      <c r="D295">
        <v>108.94</v>
      </c>
      <c r="G295">
        <v>1.2179</v>
      </c>
      <c r="H295">
        <f t="shared" si="25"/>
        <v>1.2225999999999999</v>
      </c>
      <c r="I295">
        <f t="shared" si="25"/>
        <v>1.2172000000000001</v>
      </c>
      <c r="J295">
        <f t="shared" si="25"/>
        <v>1.222</v>
      </c>
      <c r="L295">
        <f t="shared" si="24"/>
        <v>-4.6999999999999265E-3</v>
      </c>
      <c r="W295">
        <f t="shared" si="26"/>
        <v>1.7471264367815882E-3</v>
      </c>
      <c r="X295">
        <f t="shared" si="27"/>
        <v>-4.2120684918962896E-3</v>
      </c>
      <c r="Y295">
        <f t="shared" si="27"/>
        <v>3.0308596620132102E-3</v>
      </c>
      <c r="Z295">
        <f t="shared" si="27"/>
        <v>-2.8390878285557493E-3</v>
      </c>
      <c r="AE295">
        <f>W295-mu-theta*AE294</f>
        <v>5.2556393363596807E-4</v>
      </c>
      <c r="AF295">
        <f t="shared" si="29"/>
        <v>-4.0041474661709946E-3</v>
      </c>
      <c r="AG295">
        <f t="shared" si="29"/>
        <v>1.916736149566476E-3</v>
      </c>
      <c r="AK295">
        <f t="shared" si="28"/>
        <v>2.7621744833891226E-7</v>
      </c>
    </row>
    <row r="296" spans="1:37" x14ac:dyDescent="0.3">
      <c r="A296" s="1">
        <v>44340</v>
      </c>
      <c r="B296">
        <v>1.2215</v>
      </c>
      <c r="C296">
        <v>1.4155</v>
      </c>
      <c r="D296">
        <v>108.74</v>
      </c>
      <c r="G296">
        <v>1.2215</v>
      </c>
      <c r="H296">
        <f t="shared" si="25"/>
        <v>1.2179</v>
      </c>
      <c r="I296">
        <f t="shared" si="25"/>
        <v>1.2225999999999999</v>
      </c>
      <c r="J296">
        <f t="shared" si="25"/>
        <v>1.2172000000000001</v>
      </c>
      <c r="L296">
        <f t="shared" si="24"/>
        <v>3.6000000000000476E-3</v>
      </c>
      <c r="W296">
        <f t="shared" si="26"/>
        <v>-1.8358729575913607E-3</v>
      </c>
      <c r="X296">
        <f t="shared" si="27"/>
        <v>1.7471264367815882E-3</v>
      </c>
      <c r="Y296">
        <f t="shared" si="27"/>
        <v>-4.2120684918962896E-3</v>
      </c>
      <c r="Z296">
        <f t="shared" si="27"/>
        <v>3.0308596620132102E-3</v>
      </c>
      <c r="AE296">
        <f>W296-mu-theta*AE295</f>
        <v>-1.9638237201933585E-3</v>
      </c>
      <c r="AF296">
        <f t="shared" si="29"/>
        <v>5.2556393363596807E-4</v>
      </c>
      <c r="AG296">
        <f t="shared" si="29"/>
        <v>-4.0041474661709946E-3</v>
      </c>
      <c r="AK296">
        <f t="shared" si="28"/>
        <v>3.8566036039940822E-6</v>
      </c>
    </row>
    <row r="297" spans="1:37" x14ac:dyDescent="0.3">
      <c r="A297" s="1">
        <v>44341</v>
      </c>
      <c r="B297">
        <v>1.2250000000000001</v>
      </c>
      <c r="C297">
        <v>1.4151</v>
      </c>
      <c r="D297">
        <v>108.76</v>
      </c>
      <c r="G297">
        <v>1.2250000000000001</v>
      </c>
      <c r="H297">
        <f t="shared" si="25"/>
        <v>1.2215</v>
      </c>
      <c r="I297">
        <f t="shared" si="25"/>
        <v>1.2179</v>
      </c>
      <c r="J297">
        <f t="shared" si="25"/>
        <v>1.2225999999999999</v>
      </c>
      <c r="L297">
        <f t="shared" si="24"/>
        <v>3.5000000000000586E-3</v>
      </c>
      <c r="W297">
        <f t="shared" si="26"/>
        <v>1.8392495861697841E-4</v>
      </c>
      <c r="X297">
        <f t="shared" si="27"/>
        <v>-1.8358729575913607E-3</v>
      </c>
      <c r="Y297">
        <f t="shared" si="27"/>
        <v>1.7471264367815882E-3</v>
      </c>
      <c r="Z297">
        <f t="shared" si="27"/>
        <v>-4.2120684918962896E-3</v>
      </c>
      <c r="AE297">
        <f>W297-mu-theta*AE296</f>
        <v>-5.4504059824058999E-4</v>
      </c>
      <c r="AF297">
        <f t="shared" si="29"/>
        <v>-1.9638237201933585E-3</v>
      </c>
      <c r="AG297">
        <f t="shared" si="29"/>
        <v>5.2556393363596807E-4</v>
      </c>
      <c r="AK297">
        <f t="shared" si="28"/>
        <v>2.9706925373046024E-7</v>
      </c>
    </row>
    <row r="298" spans="1:37" x14ac:dyDescent="0.3">
      <c r="A298" s="1">
        <v>44342</v>
      </c>
      <c r="B298">
        <v>1.2190000000000001</v>
      </c>
      <c r="C298">
        <v>1.4117999999999999</v>
      </c>
      <c r="D298">
        <v>109.14</v>
      </c>
      <c r="G298">
        <v>1.2190000000000001</v>
      </c>
      <c r="H298">
        <f t="shared" si="25"/>
        <v>1.2250000000000001</v>
      </c>
      <c r="I298">
        <f t="shared" si="25"/>
        <v>1.2215</v>
      </c>
      <c r="J298">
        <f t="shared" si="25"/>
        <v>1.2179</v>
      </c>
      <c r="L298">
        <f t="shared" si="24"/>
        <v>-6.0000000000000053E-3</v>
      </c>
      <c r="W298">
        <f t="shared" si="26"/>
        <v>3.4939315924971998E-3</v>
      </c>
      <c r="X298">
        <f t="shared" si="27"/>
        <v>1.8392495861697841E-4</v>
      </c>
      <c r="Y298">
        <f t="shared" si="27"/>
        <v>-1.8358729575913607E-3</v>
      </c>
      <c r="Z298">
        <f t="shared" si="27"/>
        <v>1.7471264367815882E-3</v>
      </c>
      <c r="AE298">
        <f>W298-mu-theta*AE297</f>
        <v>3.1075039464475481E-3</v>
      </c>
      <c r="AF298">
        <f t="shared" si="29"/>
        <v>-5.4504059824058999E-4</v>
      </c>
      <c r="AG298">
        <f t="shared" si="29"/>
        <v>-1.9638237201933585E-3</v>
      </c>
      <c r="AK298">
        <f t="shared" si="28"/>
        <v>9.6565807771870868E-6</v>
      </c>
    </row>
    <row r="299" spans="1:37" x14ac:dyDescent="0.3">
      <c r="A299" s="1">
        <v>44343</v>
      </c>
      <c r="B299">
        <v>1.2192000000000001</v>
      </c>
      <c r="C299">
        <v>1.4205000000000001</v>
      </c>
      <c r="D299">
        <v>109.8</v>
      </c>
      <c r="G299">
        <v>1.2192000000000001</v>
      </c>
      <c r="H299">
        <f t="shared" si="25"/>
        <v>1.2190000000000001</v>
      </c>
      <c r="I299">
        <f t="shared" si="25"/>
        <v>1.2250000000000001</v>
      </c>
      <c r="J299">
        <f t="shared" si="25"/>
        <v>1.2215</v>
      </c>
      <c r="L299">
        <f t="shared" si="24"/>
        <v>1.9999999999997797E-4</v>
      </c>
      <c r="W299">
        <f t="shared" si="26"/>
        <v>6.0472787245739101E-3</v>
      </c>
      <c r="X299">
        <f t="shared" si="27"/>
        <v>3.4939315924971998E-3</v>
      </c>
      <c r="Y299">
        <f t="shared" si="27"/>
        <v>1.8392495861697841E-4</v>
      </c>
      <c r="Z299">
        <f t="shared" si="27"/>
        <v>-1.8358729575913607E-3</v>
      </c>
      <c r="AE299">
        <f>W299-mu-theta*AE298</f>
        <v>6.5426877441228078E-3</v>
      </c>
      <c r="AF299">
        <f t="shared" si="29"/>
        <v>3.1075039464475481E-3</v>
      </c>
      <c r="AG299">
        <f t="shared" si="29"/>
        <v>-5.4504059824058999E-4</v>
      </c>
      <c r="AK299">
        <f t="shared" si="28"/>
        <v>4.2806762917094797E-5</v>
      </c>
    </row>
    <row r="300" spans="1:37" x14ac:dyDescent="0.3">
      <c r="A300" s="1">
        <v>44344</v>
      </c>
      <c r="B300">
        <v>1.2189000000000001</v>
      </c>
      <c r="C300">
        <v>1.4187000000000001</v>
      </c>
      <c r="D300">
        <v>109.81</v>
      </c>
      <c r="G300">
        <v>1.2189000000000001</v>
      </c>
      <c r="H300">
        <f t="shared" si="25"/>
        <v>1.2192000000000001</v>
      </c>
      <c r="I300">
        <f t="shared" si="25"/>
        <v>1.2190000000000001</v>
      </c>
      <c r="J300">
        <f t="shared" si="25"/>
        <v>1.2250000000000001</v>
      </c>
      <c r="L300">
        <f t="shared" si="24"/>
        <v>-2.9999999999996696E-4</v>
      </c>
      <c r="W300">
        <f t="shared" si="26"/>
        <v>9.1074681238662258E-5</v>
      </c>
      <c r="X300">
        <f t="shared" si="27"/>
        <v>6.0472787245739101E-3</v>
      </c>
      <c r="Y300">
        <f t="shared" si="27"/>
        <v>3.4939315924971998E-3</v>
      </c>
      <c r="Z300">
        <f t="shared" si="27"/>
        <v>1.8392495861697841E-4</v>
      </c>
      <c r="AE300">
        <f>W300-mu-theta*AE299</f>
        <v>1.4158427924557372E-3</v>
      </c>
      <c r="AF300">
        <f t="shared" si="29"/>
        <v>6.5426877441228078E-3</v>
      </c>
      <c r="AG300">
        <f t="shared" si="29"/>
        <v>3.1075039464475481E-3</v>
      </c>
      <c r="AK300">
        <f t="shared" si="28"/>
        <v>2.0046108129488595E-6</v>
      </c>
    </row>
    <row r="301" spans="1:37" x14ac:dyDescent="0.3">
      <c r="A301" s="1">
        <v>44347</v>
      </c>
      <c r="B301">
        <v>1.2224999999999999</v>
      </c>
      <c r="C301">
        <v>1.4209000000000001</v>
      </c>
      <c r="D301">
        <v>109.54</v>
      </c>
      <c r="G301">
        <v>1.2224999999999999</v>
      </c>
      <c r="H301">
        <f t="shared" si="25"/>
        <v>1.2189000000000001</v>
      </c>
      <c r="I301">
        <f t="shared" si="25"/>
        <v>1.2192000000000001</v>
      </c>
      <c r="J301">
        <f t="shared" si="25"/>
        <v>1.2190000000000001</v>
      </c>
      <c r="L301">
        <f t="shared" si="24"/>
        <v>3.5999999999998256E-3</v>
      </c>
      <c r="W301">
        <f t="shared" si="26"/>
        <v>-2.4587924597030872E-3</v>
      </c>
      <c r="X301">
        <f t="shared" si="27"/>
        <v>9.1074681238662258E-5</v>
      </c>
      <c r="Y301">
        <f t="shared" si="27"/>
        <v>6.0472787245739101E-3</v>
      </c>
      <c r="Z301">
        <f t="shared" si="27"/>
        <v>3.4939315924971998E-3</v>
      </c>
      <c r="AE301">
        <f>W301-mu-theta*AE300</f>
        <v>-2.3718025061251163E-3</v>
      </c>
      <c r="AF301">
        <f t="shared" si="29"/>
        <v>1.4158427924557372E-3</v>
      </c>
      <c r="AG301">
        <f t="shared" si="29"/>
        <v>6.5426877441228078E-3</v>
      </c>
      <c r="AK301">
        <f t="shared" si="28"/>
        <v>5.6254471280613822E-6</v>
      </c>
    </row>
    <row r="302" spans="1:37" x14ac:dyDescent="0.3">
      <c r="A302" s="1">
        <v>44348</v>
      </c>
      <c r="B302">
        <v>1.2211000000000001</v>
      </c>
      <c r="C302">
        <v>1.4146000000000001</v>
      </c>
      <c r="D302">
        <v>109.45</v>
      </c>
      <c r="G302">
        <v>1.2211000000000001</v>
      </c>
      <c r="H302">
        <f t="shared" si="25"/>
        <v>1.2224999999999999</v>
      </c>
      <c r="I302">
        <f t="shared" si="25"/>
        <v>1.2189000000000001</v>
      </c>
      <c r="J302">
        <f t="shared" si="25"/>
        <v>1.2192000000000001</v>
      </c>
      <c r="L302">
        <f t="shared" si="24"/>
        <v>-1.3999999999998458E-3</v>
      </c>
      <c r="W302">
        <f t="shared" si="26"/>
        <v>-8.2161767390910535E-4</v>
      </c>
      <c r="X302">
        <f t="shared" si="27"/>
        <v>-2.4587924597030872E-3</v>
      </c>
      <c r="Y302">
        <f t="shared" si="27"/>
        <v>9.1074681238662258E-5</v>
      </c>
      <c r="Z302">
        <f t="shared" si="27"/>
        <v>6.0472787245739101E-3</v>
      </c>
      <c r="AE302">
        <f>W302-mu-theta*AE301</f>
        <v>-1.6490818658467625E-3</v>
      </c>
      <c r="AF302">
        <f t="shared" si="29"/>
        <v>-2.3718025061251163E-3</v>
      </c>
      <c r="AG302">
        <f t="shared" si="29"/>
        <v>1.4158427924557372E-3</v>
      </c>
      <c r="AK302">
        <f t="shared" si="28"/>
        <v>2.7194710002646396E-6</v>
      </c>
    </row>
    <row r="303" spans="1:37" x14ac:dyDescent="0.3">
      <c r="A303" s="1">
        <v>44349</v>
      </c>
      <c r="B303">
        <v>1.2209000000000001</v>
      </c>
      <c r="C303">
        <v>1.4168000000000001</v>
      </c>
      <c r="D303">
        <v>109.54</v>
      </c>
      <c r="G303">
        <v>1.2209000000000001</v>
      </c>
      <c r="H303">
        <f t="shared" si="25"/>
        <v>1.2211000000000001</v>
      </c>
      <c r="I303">
        <f t="shared" si="25"/>
        <v>1.2224999999999999</v>
      </c>
      <c r="J303">
        <f t="shared" si="25"/>
        <v>1.2189000000000001</v>
      </c>
      <c r="L303">
        <f t="shared" si="24"/>
        <v>-1.9999999999997797E-4</v>
      </c>
      <c r="W303">
        <f t="shared" si="26"/>
        <v>8.222932846048735E-4</v>
      </c>
      <c r="X303">
        <f t="shared" si="27"/>
        <v>-8.2161767390910535E-4</v>
      </c>
      <c r="Y303">
        <f t="shared" si="27"/>
        <v>-2.4587924597030872E-3</v>
      </c>
      <c r="Z303">
        <f t="shared" si="27"/>
        <v>9.1074681238662258E-5</v>
      </c>
      <c r="AE303">
        <f>W303-mu-theta*AE302</f>
        <v>1.6931609803698329E-4</v>
      </c>
      <c r="AF303">
        <f t="shared" si="29"/>
        <v>-1.6490818658467625E-3</v>
      </c>
      <c r="AG303">
        <f t="shared" si="29"/>
        <v>-2.3718025061251163E-3</v>
      </c>
      <c r="AK303">
        <f t="shared" si="28"/>
        <v>2.8667941054469337E-8</v>
      </c>
    </row>
    <row r="304" spans="1:37" x14ac:dyDescent="0.3">
      <c r="A304" s="1">
        <v>44350</v>
      </c>
      <c r="B304">
        <v>1.2123999999999999</v>
      </c>
      <c r="C304">
        <v>1.4103000000000001</v>
      </c>
      <c r="D304">
        <v>110.28</v>
      </c>
      <c r="G304">
        <v>1.2123999999999999</v>
      </c>
      <c r="H304">
        <f t="shared" si="25"/>
        <v>1.2209000000000001</v>
      </c>
      <c r="I304">
        <f t="shared" si="25"/>
        <v>1.2211000000000001</v>
      </c>
      <c r="J304">
        <f t="shared" si="25"/>
        <v>1.2224999999999999</v>
      </c>
      <c r="L304">
        <f t="shared" si="24"/>
        <v>-8.5000000000001741E-3</v>
      </c>
      <c r="W304">
        <f t="shared" si="26"/>
        <v>6.7555230965856746E-3</v>
      </c>
      <c r="X304">
        <f t="shared" si="27"/>
        <v>8.222932846048735E-4</v>
      </c>
      <c r="Y304">
        <f t="shared" si="27"/>
        <v>-8.2161767390910535E-4</v>
      </c>
      <c r="Z304">
        <f t="shared" si="27"/>
        <v>-2.4587924597030872E-3</v>
      </c>
      <c r="AE304">
        <f>W304-mu-theta*AE303</f>
        <v>6.5415631424111395E-3</v>
      </c>
      <c r="AF304">
        <f t="shared" si="29"/>
        <v>1.6931609803698329E-4</v>
      </c>
      <c r="AG304">
        <f t="shared" si="29"/>
        <v>-1.6490818658467625E-3</v>
      </c>
      <c r="AK304">
        <f t="shared" si="28"/>
        <v>4.2792048346151904E-5</v>
      </c>
    </row>
    <row r="305" spans="1:37" x14ac:dyDescent="0.3">
      <c r="A305" s="1">
        <v>44351</v>
      </c>
      <c r="B305">
        <v>1.2164999999999999</v>
      </c>
      <c r="C305">
        <v>1.4154</v>
      </c>
      <c r="D305">
        <v>109.49</v>
      </c>
      <c r="G305">
        <v>1.2164999999999999</v>
      </c>
      <c r="H305">
        <f t="shared" si="25"/>
        <v>1.2123999999999999</v>
      </c>
      <c r="I305">
        <f t="shared" si="25"/>
        <v>1.2209000000000001</v>
      </c>
      <c r="J305">
        <f t="shared" si="25"/>
        <v>1.2211000000000001</v>
      </c>
      <c r="L305">
        <f t="shared" si="24"/>
        <v>4.0999999999999925E-3</v>
      </c>
      <c r="W305">
        <f t="shared" si="26"/>
        <v>-7.1635836053682107E-3</v>
      </c>
      <c r="X305">
        <f t="shared" si="27"/>
        <v>6.7555230965856746E-3</v>
      </c>
      <c r="Y305">
        <f t="shared" si="27"/>
        <v>8.222932846048735E-4</v>
      </c>
      <c r="Z305">
        <f t="shared" si="27"/>
        <v>-8.2161767390910535E-4</v>
      </c>
      <c r="AE305">
        <f>W305-mu-theta*AE304</f>
        <v>-5.8390870076156292E-3</v>
      </c>
      <c r="AF305">
        <f t="shared" si="29"/>
        <v>6.5415631424111395E-3</v>
      </c>
      <c r="AG305">
        <f t="shared" si="29"/>
        <v>1.6931609803698329E-4</v>
      </c>
      <c r="AK305">
        <f t="shared" si="28"/>
        <v>3.4094937082505643E-5</v>
      </c>
    </row>
    <row r="306" spans="1:37" x14ac:dyDescent="0.3">
      <c r="A306" s="1">
        <v>44354</v>
      </c>
      <c r="B306">
        <v>1.2189000000000001</v>
      </c>
      <c r="C306">
        <v>1.4177999999999999</v>
      </c>
      <c r="D306">
        <v>109.24</v>
      </c>
      <c r="G306">
        <v>1.2189000000000001</v>
      </c>
      <c r="H306">
        <f t="shared" si="25"/>
        <v>1.2164999999999999</v>
      </c>
      <c r="I306">
        <f t="shared" si="25"/>
        <v>1.2123999999999999</v>
      </c>
      <c r="J306">
        <f t="shared" si="25"/>
        <v>1.2209000000000001</v>
      </c>
      <c r="L306">
        <f t="shared" si="24"/>
        <v>2.4000000000001798E-3</v>
      </c>
      <c r="W306">
        <f t="shared" si="26"/>
        <v>-2.2833135446159469E-3</v>
      </c>
      <c r="X306">
        <f t="shared" si="27"/>
        <v>-7.1635836053682107E-3</v>
      </c>
      <c r="Y306">
        <f t="shared" si="27"/>
        <v>6.7555230965856746E-3</v>
      </c>
      <c r="Z306">
        <f t="shared" si="27"/>
        <v>8.222932846048735E-4</v>
      </c>
      <c r="AE306">
        <f>W306-mu-theta*AE305</f>
        <v>-3.9478869260698626E-3</v>
      </c>
      <c r="AF306">
        <f t="shared" si="29"/>
        <v>-5.8390870076156292E-3</v>
      </c>
      <c r="AG306">
        <f t="shared" si="29"/>
        <v>6.5415631424111395E-3</v>
      </c>
      <c r="AK306">
        <f t="shared" si="28"/>
        <v>1.5585811181033349E-5</v>
      </c>
    </row>
    <row r="307" spans="1:37" x14ac:dyDescent="0.3">
      <c r="A307" s="1">
        <v>44355</v>
      </c>
      <c r="B307">
        <v>1.2171000000000001</v>
      </c>
      <c r="C307">
        <v>1.4155</v>
      </c>
      <c r="D307">
        <v>109.49</v>
      </c>
      <c r="G307">
        <v>1.2171000000000001</v>
      </c>
      <c r="H307">
        <f t="shared" si="25"/>
        <v>1.2189000000000001</v>
      </c>
      <c r="I307">
        <f t="shared" si="25"/>
        <v>1.2164999999999999</v>
      </c>
      <c r="J307">
        <f t="shared" si="25"/>
        <v>1.2123999999999999</v>
      </c>
      <c r="L307">
        <f t="shared" si="24"/>
        <v>-1.8000000000000238E-3</v>
      </c>
      <c r="W307">
        <f t="shared" si="26"/>
        <v>2.2885389967045038E-3</v>
      </c>
      <c r="X307">
        <f t="shared" si="27"/>
        <v>-2.2833135446159469E-3</v>
      </c>
      <c r="Y307">
        <f t="shared" si="27"/>
        <v>-7.1635836053682107E-3</v>
      </c>
      <c r="Z307">
        <f t="shared" si="27"/>
        <v>6.7555230965856746E-3</v>
      </c>
      <c r="AE307">
        <f>W307-mu-theta*AE306</f>
        <v>1.0805595194414036E-3</v>
      </c>
      <c r="AF307">
        <f t="shared" si="29"/>
        <v>-3.9478869260698626E-3</v>
      </c>
      <c r="AG307">
        <f t="shared" si="29"/>
        <v>-5.8390870076156292E-3</v>
      </c>
      <c r="AK307">
        <f t="shared" si="28"/>
        <v>1.167608875055437E-6</v>
      </c>
    </row>
    <row r="308" spans="1:37" x14ac:dyDescent="0.3">
      <c r="A308" s="1">
        <v>44356</v>
      </c>
      <c r="B308">
        <v>1.2178</v>
      </c>
      <c r="C308">
        <v>1.4117999999999999</v>
      </c>
      <c r="D308">
        <v>109.61</v>
      </c>
      <c r="G308">
        <v>1.2178</v>
      </c>
      <c r="H308">
        <f t="shared" si="25"/>
        <v>1.2171000000000001</v>
      </c>
      <c r="I308">
        <f t="shared" si="25"/>
        <v>1.2189000000000001</v>
      </c>
      <c r="J308">
        <f t="shared" si="25"/>
        <v>1.2164999999999999</v>
      </c>
      <c r="L308">
        <f t="shared" si="24"/>
        <v>6.9999999999992291E-4</v>
      </c>
      <c r="W308">
        <f t="shared" si="26"/>
        <v>1.0959905014156959E-3</v>
      </c>
      <c r="X308">
        <f t="shared" si="27"/>
        <v>2.2885389967045038E-3</v>
      </c>
      <c r="Y308">
        <f t="shared" si="27"/>
        <v>-2.2833135446159469E-3</v>
      </c>
      <c r="Z308">
        <f t="shared" si="27"/>
        <v>-7.1635836053682107E-3</v>
      </c>
      <c r="AE308">
        <f>W308-mu-theta*AE307</f>
        <v>1.1020327540447734E-3</v>
      </c>
      <c r="AF308">
        <f t="shared" si="29"/>
        <v>1.0805595194414036E-3</v>
      </c>
      <c r="AG308">
        <f t="shared" si="29"/>
        <v>-3.9478869260698626E-3</v>
      </c>
      <c r="AK308">
        <f t="shared" si="28"/>
        <v>1.2144761909875081E-6</v>
      </c>
    </row>
    <row r="309" spans="1:37" x14ac:dyDescent="0.3">
      <c r="A309" s="1">
        <v>44357</v>
      </c>
      <c r="B309">
        <v>1.2169000000000001</v>
      </c>
      <c r="C309">
        <v>1.4173</v>
      </c>
      <c r="D309">
        <v>109.31</v>
      </c>
      <c r="G309">
        <v>1.2169000000000001</v>
      </c>
      <c r="H309">
        <f t="shared" si="25"/>
        <v>1.2178</v>
      </c>
      <c r="I309">
        <f t="shared" si="25"/>
        <v>1.2171000000000001</v>
      </c>
      <c r="J309">
        <f t="shared" si="25"/>
        <v>1.2189000000000001</v>
      </c>
      <c r="L309">
        <f t="shared" si="24"/>
        <v>-8.9999999999990088E-4</v>
      </c>
      <c r="W309">
        <f t="shared" si="26"/>
        <v>-2.736976553234168E-3</v>
      </c>
      <c r="X309">
        <f t="shared" si="27"/>
        <v>1.0959905014156959E-3</v>
      </c>
      <c r="Y309">
        <f t="shared" si="27"/>
        <v>2.2885389967045038E-3</v>
      </c>
      <c r="Z309">
        <f t="shared" si="27"/>
        <v>-2.2833135446159469E-3</v>
      </c>
      <c r="AE309">
        <f>W309-mu-theta*AE308</f>
        <v>-2.7257500009009871E-3</v>
      </c>
      <c r="AF309">
        <f t="shared" si="29"/>
        <v>1.1020327540447734E-3</v>
      </c>
      <c r="AG309">
        <f t="shared" si="29"/>
        <v>1.0805595194414036E-3</v>
      </c>
      <c r="AK309">
        <f t="shared" si="28"/>
        <v>7.4297130674117311E-6</v>
      </c>
    </row>
    <row r="310" spans="1:37" x14ac:dyDescent="0.3">
      <c r="A310" s="1">
        <v>44358</v>
      </c>
      <c r="B310">
        <v>1.2105999999999999</v>
      </c>
      <c r="C310">
        <v>1.4106000000000001</v>
      </c>
      <c r="D310">
        <v>109.65</v>
      </c>
      <c r="G310">
        <v>1.2105999999999999</v>
      </c>
      <c r="H310">
        <f t="shared" si="25"/>
        <v>1.2169000000000001</v>
      </c>
      <c r="I310">
        <f t="shared" si="25"/>
        <v>1.2178</v>
      </c>
      <c r="J310">
        <f t="shared" si="25"/>
        <v>1.2171000000000001</v>
      </c>
      <c r="L310">
        <f t="shared" si="24"/>
        <v>-6.3000000000001943E-3</v>
      </c>
      <c r="W310">
        <f t="shared" si="26"/>
        <v>3.110419906687434E-3</v>
      </c>
      <c r="X310">
        <f t="shared" si="27"/>
        <v>-2.736976553234168E-3</v>
      </c>
      <c r="Y310">
        <f t="shared" si="27"/>
        <v>1.0959905014156959E-3</v>
      </c>
      <c r="Z310">
        <f t="shared" si="27"/>
        <v>2.2885389967045038E-3</v>
      </c>
      <c r="AE310">
        <f>W310-mu-theta*AE309</f>
        <v>2.1975018962483621E-3</v>
      </c>
      <c r="AF310">
        <f t="shared" si="29"/>
        <v>-2.7257500009009871E-3</v>
      </c>
      <c r="AG310">
        <f t="shared" si="29"/>
        <v>1.1020327540447734E-3</v>
      </c>
      <c r="AK310">
        <f t="shared" si="28"/>
        <v>4.8290145840151477E-6</v>
      </c>
    </row>
    <row r="311" spans="1:37" x14ac:dyDescent="0.3">
      <c r="A311" s="1">
        <v>44361</v>
      </c>
      <c r="B311">
        <v>1.2118</v>
      </c>
      <c r="C311">
        <v>1.4112</v>
      </c>
      <c r="D311">
        <v>110.06</v>
      </c>
      <c r="G311">
        <v>1.2118</v>
      </c>
      <c r="H311">
        <f t="shared" si="25"/>
        <v>1.2105999999999999</v>
      </c>
      <c r="I311">
        <f t="shared" si="25"/>
        <v>1.2169000000000001</v>
      </c>
      <c r="J311">
        <f t="shared" si="25"/>
        <v>1.2178</v>
      </c>
      <c r="L311">
        <f t="shared" si="24"/>
        <v>1.2000000000000899E-3</v>
      </c>
      <c r="W311">
        <f t="shared" si="26"/>
        <v>3.7391700866392756E-3</v>
      </c>
      <c r="X311">
        <f t="shared" si="27"/>
        <v>3.110419906687434E-3</v>
      </c>
      <c r="Y311">
        <f t="shared" si="27"/>
        <v>-2.736976553234168E-3</v>
      </c>
      <c r="Z311">
        <f t="shared" si="27"/>
        <v>1.0959905014156959E-3</v>
      </c>
      <c r="AE311">
        <f>W311-mu-theta*AE310</f>
        <v>4.0148766045985558E-3</v>
      </c>
      <c r="AF311">
        <f t="shared" si="29"/>
        <v>2.1975018962483621E-3</v>
      </c>
      <c r="AG311">
        <f t="shared" si="29"/>
        <v>-2.7257500009009871E-3</v>
      </c>
      <c r="AK311">
        <f t="shared" si="28"/>
        <v>1.6119234150152829E-5</v>
      </c>
    </row>
    <row r="312" spans="1:37" x14ac:dyDescent="0.3">
      <c r="A312" s="1">
        <v>44362</v>
      </c>
      <c r="B312">
        <v>1.2123999999999999</v>
      </c>
      <c r="C312">
        <v>1.4079999999999999</v>
      </c>
      <c r="D312">
        <v>110.07</v>
      </c>
      <c r="G312">
        <v>1.2123999999999999</v>
      </c>
      <c r="H312">
        <f t="shared" si="25"/>
        <v>1.2118</v>
      </c>
      <c r="I312">
        <f t="shared" si="25"/>
        <v>1.2105999999999999</v>
      </c>
      <c r="J312">
        <f t="shared" si="25"/>
        <v>1.2169000000000001</v>
      </c>
      <c r="L312">
        <f t="shared" si="24"/>
        <v>5.9999999999993392E-4</v>
      </c>
      <c r="W312">
        <f t="shared" si="26"/>
        <v>9.0859531164736549E-5</v>
      </c>
      <c r="X312">
        <f t="shared" si="27"/>
        <v>3.7391700866392756E-3</v>
      </c>
      <c r="Y312">
        <f t="shared" si="27"/>
        <v>3.110419906687434E-3</v>
      </c>
      <c r="Z312">
        <f t="shared" si="27"/>
        <v>-2.736976553234168E-3</v>
      </c>
      <c r="AE312">
        <f>W312-mu-theta*AE311</f>
        <v>8.0533623613935549E-4</v>
      </c>
      <c r="AF312">
        <f t="shared" si="29"/>
        <v>4.0148766045985558E-3</v>
      </c>
      <c r="AG312">
        <f t="shared" si="29"/>
        <v>2.1975018962483621E-3</v>
      </c>
      <c r="AK312">
        <f t="shared" si="28"/>
        <v>6.4856645323910373E-7</v>
      </c>
    </row>
    <row r="313" spans="1:37" x14ac:dyDescent="0.3">
      <c r="A313" s="1">
        <v>44363</v>
      </c>
      <c r="B313">
        <v>1.1994</v>
      </c>
      <c r="C313">
        <v>1.3987000000000001</v>
      </c>
      <c r="D313">
        <v>110.69</v>
      </c>
      <c r="G313">
        <v>1.1994</v>
      </c>
      <c r="H313">
        <f t="shared" si="25"/>
        <v>1.2123999999999999</v>
      </c>
      <c r="I313">
        <f t="shared" si="25"/>
        <v>1.2118</v>
      </c>
      <c r="J313">
        <f t="shared" si="25"/>
        <v>1.2105999999999999</v>
      </c>
      <c r="L313">
        <f t="shared" si="24"/>
        <v>-1.2999999999999901E-2</v>
      </c>
      <c r="W313">
        <f t="shared" si="26"/>
        <v>5.6327791405469665E-3</v>
      </c>
      <c r="X313">
        <f t="shared" si="27"/>
        <v>9.0859531164736549E-5</v>
      </c>
      <c r="Y313">
        <f t="shared" si="27"/>
        <v>3.7391700866392756E-3</v>
      </c>
      <c r="Z313">
        <f t="shared" si="27"/>
        <v>3.110419906687434E-3</v>
      </c>
      <c r="AE313">
        <f>W313-mu-theta*AE312</f>
        <v>5.5723740221795366E-3</v>
      </c>
      <c r="AF313">
        <f t="shared" si="29"/>
        <v>8.0533623613935549E-4</v>
      </c>
      <c r="AG313">
        <f t="shared" si="29"/>
        <v>4.0148766045985558E-3</v>
      </c>
      <c r="AK313">
        <f t="shared" si="28"/>
        <v>3.1051352243061343E-5</v>
      </c>
    </row>
    <row r="314" spans="1:37" x14ac:dyDescent="0.3">
      <c r="A314" s="1">
        <v>44364</v>
      </c>
      <c r="B314">
        <v>1.1906000000000001</v>
      </c>
      <c r="C314">
        <v>1.3918999999999999</v>
      </c>
      <c r="D314">
        <v>110.2</v>
      </c>
      <c r="G314">
        <v>1.1906000000000001</v>
      </c>
      <c r="H314">
        <f t="shared" si="25"/>
        <v>1.1994</v>
      </c>
      <c r="I314">
        <f t="shared" si="25"/>
        <v>1.2123999999999999</v>
      </c>
      <c r="J314">
        <f t="shared" si="25"/>
        <v>1.2118</v>
      </c>
      <c r="L314">
        <f t="shared" si="24"/>
        <v>-8.799999999999919E-3</v>
      </c>
      <c r="W314">
        <f t="shared" si="26"/>
        <v>-4.4267774866744505E-3</v>
      </c>
      <c r="X314">
        <f t="shared" si="27"/>
        <v>5.6327791405469665E-3</v>
      </c>
      <c r="Y314">
        <f t="shared" si="27"/>
        <v>9.0859531164736549E-5</v>
      </c>
      <c r="Z314">
        <f t="shared" si="27"/>
        <v>3.7391700866392756E-3</v>
      </c>
      <c r="AE314">
        <f>W314-mu-theta*AE313</f>
        <v>-3.3362729707877457E-3</v>
      </c>
      <c r="AF314">
        <f t="shared" si="29"/>
        <v>5.5723740221795366E-3</v>
      </c>
      <c r="AG314">
        <f t="shared" si="29"/>
        <v>8.0533623613935549E-4</v>
      </c>
      <c r="AK314">
        <f t="shared" si="28"/>
        <v>1.113071733560889E-5</v>
      </c>
    </row>
    <row r="315" spans="1:37" x14ac:dyDescent="0.3">
      <c r="A315" s="1">
        <v>44365</v>
      </c>
      <c r="B315">
        <v>1.1859999999999999</v>
      </c>
      <c r="C315">
        <v>1.3809</v>
      </c>
      <c r="D315">
        <v>110.19</v>
      </c>
      <c r="G315">
        <v>1.1859999999999999</v>
      </c>
      <c r="H315">
        <f t="shared" si="25"/>
        <v>1.1906000000000001</v>
      </c>
      <c r="I315">
        <f t="shared" si="25"/>
        <v>1.1994</v>
      </c>
      <c r="J315">
        <f t="shared" si="25"/>
        <v>1.2123999999999999</v>
      </c>
      <c r="L315">
        <f t="shared" si="24"/>
        <v>-4.6000000000001595E-3</v>
      </c>
      <c r="W315">
        <f t="shared" si="26"/>
        <v>-9.0744101633440254E-5</v>
      </c>
      <c r="X315">
        <f t="shared" si="27"/>
        <v>-4.4267774866744505E-3</v>
      </c>
      <c r="Y315">
        <f t="shared" si="27"/>
        <v>5.6327791405469665E-3</v>
      </c>
      <c r="Z315">
        <f t="shared" si="27"/>
        <v>9.0859531164736549E-5</v>
      </c>
      <c r="AE315">
        <f>W315-mu-theta*AE314</f>
        <v>-1.1510611467589545E-3</v>
      </c>
      <c r="AF315">
        <f t="shared" si="29"/>
        <v>-3.3362729707877457E-3</v>
      </c>
      <c r="AG315">
        <f t="shared" si="29"/>
        <v>5.5723740221795366E-3</v>
      </c>
      <c r="AK315">
        <f t="shared" si="28"/>
        <v>1.3249417635780394E-6</v>
      </c>
    </row>
    <row r="316" spans="1:37" x14ac:dyDescent="0.3">
      <c r="A316" s="1">
        <v>44368</v>
      </c>
      <c r="B316">
        <v>1.1915</v>
      </c>
      <c r="C316">
        <v>1.3929</v>
      </c>
      <c r="D316">
        <v>110.3</v>
      </c>
      <c r="G316">
        <v>1.1915</v>
      </c>
      <c r="H316">
        <f t="shared" si="25"/>
        <v>1.1859999999999999</v>
      </c>
      <c r="I316">
        <f t="shared" si="25"/>
        <v>1.1906000000000001</v>
      </c>
      <c r="J316">
        <f t="shared" si="25"/>
        <v>1.1994</v>
      </c>
      <c r="L316">
        <f t="shared" si="24"/>
        <v>5.5000000000000604E-3</v>
      </c>
      <c r="W316">
        <f t="shared" si="26"/>
        <v>9.9827570559941404E-4</v>
      </c>
      <c r="X316">
        <f t="shared" si="27"/>
        <v>-9.0744101633440254E-5</v>
      </c>
      <c r="Y316">
        <f t="shared" si="27"/>
        <v>-4.4267774866744505E-3</v>
      </c>
      <c r="Z316">
        <f t="shared" si="27"/>
        <v>5.6327791405469665E-3</v>
      </c>
      <c r="AE316">
        <f>W316-mu-theta*AE315</f>
        <v>4.6553604795038927E-4</v>
      </c>
      <c r="AF316">
        <f t="shared" si="29"/>
        <v>-1.1510611467589545E-3</v>
      </c>
      <c r="AG316">
        <f t="shared" si="29"/>
        <v>-3.3362729707877457E-3</v>
      </c>
      <c r="AK316">
        <f t="shared" si="28"/>
        <v>2.1672381194126714E-7</v>
      </c>
    </row>
    <row r="317" spans="1:37" x14ac:dyDescent="0.3">
      <c r="A317" s="1">
        <v>44369</v>
      </c>
      <c r="B317">
        <v>1.1938</v>
      </c>
      <c r="C317">
        <v>1.3947000000000001</v>
      </c>
      <c r="D317">
        <v>110.64</v>
      </c>
      <c r="G317">
        <v>1.1938</v>
      </c>
      <c r="H317">
        <f t="shared" si="25"/>
        <v>1.1915</v>
      </c>
      <c r="I317">
        <f t="shared" si="25"/>
        <v>1.1859999999999999</v>
      </c>
      <c r="J317">
        <f t="shared" si="25"/>
        <v>1.1906000000000001</v>
      </c>
      <c r="L317">
        <f t="shared" si="24"/>
        <v>2.2999999999999687E-3</v>
      </c>
      <c r="W317">
        <f t="shared" si="26"/>
        <v>3.0825022665458154E-3</v>
      </c>
      <c r="X317">
        <f t="shared" si="27"/>
        <v>9.9827570559941404E-4</v>
      </c>
      <c r="Y317">
        <f t="shared" si="27"/>
        <v>-9.0744101633440254E-5</v>
      </c>
      <c r="Z317">
        <f t="shared" si="27"/>
        <v>-4.4267774866744505E-3</v>
      </c>
      <c r="AE317">
        <f>W317-mu-theta*AE316</f>
        <v>2.9400589248915281E-3</v>
      </c>
      <c r="AF317">
        <f t="shared" si="29"/>
        <v>4.6553604795038927E-4</v>
      </c>
      <c r="AG317">
        <f t="shared" si="29"/>
        <v>-1.1510611467589545E-3</v>
      </c>
      <c r="AK317">
        <f t="shared" si="28"/>
        <v>8.6439464818343273E-6</v>
      </c>
    </row>
    <row r="318" spans="1:37" x14ac:dyDescent="0.3">
      <c r="A318" s="1">
        <v>44370</v>
      </c>
      <c r="B318">
        <v>1.1924999999999999</v>
      </c>
      <c r="C318">
        <v>1.3958999999999999</v>
      </c>
      <c r="D318">
        <v>110.94</v>
      </c>
      <c r="G318">
        <v>1.1924999999999999</v>
      </c>
      <c r="H318">
        <f t="shared" si="25"/>
        <v>1.1938</v>
      </c>
      <c r="I318">
        <f t="shared" si="25"/>
        <v>1.1915</v>
      </c>
      <c r="J318">
        <f t="shared" si="25"/>
        <v>1.1859999999999999</v>
      </c>
      <c r="L318">
        <f t="shared" si="24"/>
        <v>-1.3000000000000789E-3</v>
      </c>
      <c r="W318">
        <f t="shared" si="26"/>
        <v>2.7114967462038789E-3</v>
      </c>
      <c r="X318">
        <f t="shared" si="27"/>
        <v>3.0825022665458154E-3</v>
      </c>
      <c r="Y318">
        <f t="shared" si="27"/>
        <v>9.9827570559941404E-4</v>
      </c>
      <c r="Z318">
        <f t="shared" si="27"/>
        <v>-9.0744101633440254E-5</v>
      </c>
      <c r="AE318">
        <f>W318-mu-theta*AE317</f>
        <v>3.1664793841786549E-3</v>
      </c>
      <c r="AF318">
        <f t="shared" si="29"/>
        <v>2.9400589248915281E-3</v>
      </c>
      <c r="AG318">
        <f t="shared" si="29"/>
        <v>4.6553604795038927E-4</v>
      </c>
      <c r="AK318">
        <f t="shared" si="28"/>
        <v>1.0026591690428433E-5</v>
      </c>
    </row>
    <row r="319" spans="1:37" x14ac:dyDescent="0.3">
      <c r="A319" s="1">
        <v>44371</v>
      </c>
      <c r="B319">
        <v>1.1930000000000001</v>
      </c>
      <c r="C319">
        <v>1.3922000000000001</v>
      </c>
      <c r="D319">
        <v>110.86</v>
      </c>
      <c r="G319">
        <v>1.1930000000000001</v>
      </c>
      <c r="H319">
        <f t="shared" si="25"/>
        <v>1.1924999999999999</v>
      </c>
      <c r="I319">
        <f t="shared" si="25"/>
        <v>1.1938</v>
      </c>
      <c r="J319">
        <f t="shared" si="25"/>
        <v>1.1915</v>
      </c>
      <c r="L319">
        <f t="shared" si="24"/>
        <v>5.0000000000016698E-4</v>
      </c>
      <c r="W319">
        <f t="shared" si="26"/>
        <v>-7.2111051018567058E-4</v>
      </c>
      <c r="X319">
        <f t="shared" si="27"/>
        <v>2.7114967462038789E-3</v>
      </c>
      <c r="Y319">
        <f t="shared" si="27"/>
        <v>3.0825022665458154E-3</v>
      </c>
      <c r="Z319">
        <f t="shared" si="27"/>
        <v>9.9827570559941404E-4</v>
      </c>
      <c r="AE319">
        <f>W319-mu-theta*AE318</f>
        <v>-2.1146300491135003E-4</v>
      </c>
      <c r="AF319">
        <f t="shared" si="29"/>
        <v>3.1664793841786549E-3</v>
      </c>
      <c r="AG319">
        <f t="shared" si="29"/>
        <v>2.9400589248915281E-3</v>
      </c>
      <c r="AK319">
        <f t="shared" si="28"/>
        <v>4.4716602446137648E-8</v>
      </c>
    </row>
    <row r="320" spans="1:37" x14ac:dyDescent="0.3">
      <c r="A320" s="1">
        <v>44372</v>
      </c>
      <c r="B320">
        <v>1.1933</v>
      </c>
      <c r="C320">
        <v>1.3876999999999999</v>
      </c>
      <c r="D320">
        <v>110.77</v>
      </c>
      <c r="G320">
        <v>1.1933</v>
      </c>
      <c r="H320">
        <f t="shared" si="25"/>
        <v>1.1930000000000001</v>
      </c>
      <c r="I320">
        <f t="shared" si="25"/>
        <v>1.1924999999999999</v>
      </c>
      <c r="J320">
        <f t="shared" si="25"/>
        <v>1.1938</v>
      </c>
      <c r="L320">
        <f t="shared" si="24"/>
        <v>2.9999999999996696E-4</v>
      </c>
      <c r="W320">
        <f t="shared" si="26"/>
        <v>-8.1183474652718208E-4</v>
      </c>
      <c r="X320">
        <f t="shared" si="27"/>
        <v>-7.2111051018567058E-4</v>
      </c>
      <c r="Y320">
        <f t="shared" si="27"/>
        <v>2.7114967462038789E-3</v>
      </c>
      <c r="Z320">
        <f t="shared" si="27"/>
        <v>3.0825022665458154E-3</v>
      </c>
      <c r="AE320">
        <f>W320-mu-theta*AE319</f>
        <v>-1.1177264951987603E-3</v>
      </c>
      <c r="AF320">
        <f t="shared" si="29"/>
        <v>-2.1146300491135003E-4</v>
      </c>
      <c r="AG320">
        <f t="shared" si="29"/>
        <v>3.1664793841786549E-3</v>
      </c>
      <c r="AK320">
        <f t="shared" si="28"/>
        <v>1.2493125180693044E-6</v>
      </c>
    </row>
    <row r="321" spans="1:37" x14ac:dyDescent="0.3">
      <c r="A321" s="1">
        <v>44375</v>
      </c>
      <c r="B321">
        <v>1.1923999999999999</v>
      </c>
      <c r="C321">
        <v>1.3883000000000001</v>
      </c>
      <c r="D321">
        <v>110.62</v>
      </c>
      <c r="G321">
        <v>1.1923999999999999</v>
      </c>
      <c r="H321">
        <f t="shared" si="25"/>
        <v>1.1933</v>
      </c>
      <c r="I321">
        <f t="shared" si="25"/>
        <v>1.1930000000000001</v>
      </c>
      <c r="J321">
        <f t="shared" si="25"/>
        <v>1.1924999999999999</v>
      </c>
      <c r="L321">
        <f t="shared" si="24"/>
        <v>-9.0000000000012292E-4</v>
      </c>
      <c r="W321">
        <f t="shared" si="26"/>
        <v>-1.3541572627967092E-3</v>
      </c>
      <c r="X321">
        <f t="shared" si="27"/>
        <v>-8.1183474652718208E-4</v>
      </c>
      <c r="Y321">
        <f t="shared" si="27"/>
        <v>-7.2111051018567058E-4</v>
      </c>
      <c r="Z321">
        <f t="shared" si="27"/>
        <v>2.7114967462038789E-3</v>
      </c>
      <c r="AE321">
        <f>W321-mu-theta*AE320</f>
        <v>-1.8788489096354399E-3</v>
      </c>
      <c r="AF321">
        <f t="shared" si="29"/>
        <v>-1.1177264951987603E-3</v>
      </c>
      <c r="AG321">
        <f t="shared" si="29"/>
        <v>-2.1146300491135003E-4</v>
      </c>
      <c r="AK321">
        <f t="shared" si="28"/>
        <v>3.5300732252382814E-6</v>
      </c>
    </row>
    <row r="322" spans="1:37" x14ac:dyDescent="0.3">
      <c r="A322" s="1">
        <v>44376</v>
      </c>
      <c r="B322">
        <v>1.1895</v>
      </c>
      <c r="C322">
        <v>1.3835</v>
      </c>
      <c r="D322">
        <v>110.5</v>
      </c>
      <c r="G322">
        <v>1.1895</v>
      </c>
      <c r="H322">
        <f t="shared" si="25"/>
        <v>1.1923999999999999</v>
      </c>
      <c r="I322">
        <f t="shared" si="25"/>
        <v>1.1933</v>
      </c>
      <c r="J322">
        <f t="shared" si="25"/>
        <v>1.1930000000000001</v>
      </c>
      <c r="L322">
        <f t="shared" si="24"/>
        <v>-2.8999999999999027E-3</v>
      </c>
      <c r="W322">
        <f t="shared" si="26"/>
        <v>-1.0847947929850347E-3</v>
      </c>
      <c r="X322">
        <f t="shared" si="27"/>
        <v>-1.3541572627967092E-3</v>
      </c>
      <c r="Y322">
        <f t="shared" si="27"/>
        <v>-8.1183474652718208E-4</v>
      </c>
      <c r="Z322">
        <f t="shared" si="27"/>
        <v>-7.2111051018567058E-4</v>
      </c>
      <c r="AE322">
        <f>W322-mu-theta*AE321</f>
        <v>-1.7932448153472774E-3</v>
      </c>
      <c r="AF322">
        <f t="shared" si="29"/>
        <v>-1.8788489096354399E-3</v>
      </c>
      <c r="AG322">
        <f t="shared" si="29"/>
        <v>-1.1177264951987603E-3</v>
      </c>
      <c r="AK322">
        <f t="shared" si="28"/>
        <v>3.2157269677698908E-6</v>
      </c>
    </row>
    <row r="323" spans="1:37" x14ac:dyDescent="0.3">
      <c r="A323" s="1">
        <v>44377</v>
      </c>
      <c r="B323">
        <v>1.1855</v>
      </c>
      <c r="C323">
        <v>1.3827</v>
      </c>
      <c r="D323">
        <v>111.1</v>
      </c>
      <c r="G323">
        <v>1.1855</v>
      </c>
      <c r="H323">
        <f t="shared" si="25"/>
        <v>1.1895</v>
      </c>
      <c r="I323">
        <f t="shared" si="25"/>
        <v>1.1923999999999999</v>
      </c>
      <c r="J323">
        <f t="shared" si="25"/>
        <v>1.1933</v>
      </c>
      <c r="L323">
        <f t="shared" si="24"/>
        <v>-4.0000000000000036E-3</v>
      </c>
      <c r="W323">
        <f t="shared" si="26"/>
        <v>5.4298642533936138E-3</v>
      </c>
      <c r="X323">
        <f t="shared" si="27"/>
        <v>-1.0847947929850347E-3</v>
      </c>
      <c r="Y323">
        <f t="shared" si="27"/>
        <v>-1.3541572627967092E-3</v>
      </c>
      <c r="Z323">
        <f t="shared" si="27"/>
        <v>-8.1183474652718208E-4</v>
      </c>
      <c r="AE323">
        <f>W323-mu-theta*AE322</f>
        <v>4.7420816939863237E-3</v>
      </c>
      <c r="AF323">
        <f t="shared" si="29"/>
        <v>-1.7932448153472774E-3</v>
      </c>
      <c r="AG323">
        <f t="shared" si="29"/>
        <v>-1.8788489096354399E-3</v>
      </c>
      <c r="AK323">
        <f t="shared" si="28"/>
        <v>2.2487338792440201E-5</v>
      </c>
    </row>
    <row r="324" spans="1:37" x14ac:dyDescent="0.3">
      <c r="A324" s="1">
        <v>44378</v>
      </c>
      <c r="B324">
        <v>1.1848000000000001</v>
      </c>
      <c r="C324">
        <v>1.3767</v>
      </c>
      <c r="D324">
        <v>111.5</v>
      </c>
      <c r="G324">
        <v>1.1848000000000001</v>
      </c>
      <c r="H324">
        <f t="shared" si="25"/>
        <v>1.1855</v>
      </c>
      <c r="I324">
        <f t="shared" si="25"/>
        <v>1.1895</v>
      </c>
      <c r="J324">
        <f t="shared" si="25"/>
        <v>1.1923999999999999</v>
      </c>
      <c r="L324">
        <f t="shared" si="24"/>
        <v>-6.9999999999992291E-4</v>
      </c>
      <c r="W324">
        <f t="shared" si="26"/>
        <v>3.6003600360036518E-3</v>
      </c>
      <c r="X324">
        <f t="shared" si="27"/>
        <v>5.4298642533936138E-3</v>
      </c>
      <c r="Y324">
        <f t="shared" si="27"/>
        <v>-1.0847947929850347E-3</v>
      </c>
      <c r="Z324">
        <f t="shared" si="27"/>
        <v>-1.3541572627967092E-3</v>
      </c>
      <c r="AE324">
        <f>W324-mu-theta*AE323</f>
        <v>4.4904064303786656E-3</v>
      </c>
      <c r="AF324">
        <f t="shared" si="29"/>
        <v>4.7420816939863237E-3</v>
      </c>
      <c r="AG324">
        <f t="shared" si="29"/>
        <v>-1.7932448153472774E-3</v>
      </c>
      <c r="AK324">
        <f t="shared" si="28"/>
        <v>2.0163749909986071E-5</v>
      </c>
    </row>
    <row r="325" spans="1:37" x14ac:dyDescent="0.3">
      <c r="A325" s="1">
        <v>44379</v>
      </c>
      <c r="B325">
        <v>1.1863999999999999</v>
      </c>
      <c r="C325">
        <v>1.3821000000000001</v>
      </c>
      <c r="D325">
        <v>111.04</v>
      </c>
      <c r="G325">
        <v>1.1863999999999999</v>
      </c>
      <c r="H325">
        <f t="shared" si="25"/>
        <v>1.1848000000000001</v>
      </c>
      <c r="I325">
        <f t="shared" si="25"/>
        <v>1.1855</v>
      </c>
      <c r="J325">
        <f t="shared" si="25"/>
        <v>1.1895</v>
      </c>
      <c r="L325">
        <f t="shared" si="24"/>
        <v>1.5999999999998238E-3</v>
      </c>
      <c r="W325">
        <f t="shared" si="26"/>
        <v>-4.125560538116536E-3</v>
      </c>
      <c r="X325">
        <f t="shared" si="27"/>
        <v>3.6003600360036518E-3</v>
      </c>
      <c r="Y325">
        <f t="shared" si="27"/>
        <v>5.4298642533936138E-3</v>
      </c>
      <c r="Z325">
        <f t="shared" si="27"/>
        <v>-1.0847947929850347E-3</v>
      </c>
      <c r="AE325">
        <f>W325-mu-theta*AE324</f>
        <v>-3.2962762980583457E-3</v>
      </c>
      <c r="AF325">
        <f t="shared" si="29"/>
        <v>4.4904064303786656E-3</v>
      </c>
      <c r="AG325">
        <f t="shared" si="29"/>
        <v>4.7420816939863237E-3</v>
      </c>
      <c r="AK325">
        <f t="shared" si="28"/>
        <v>1.0865437433141232E-5</v>
      </c>
    </row>
    <row r="326" spans="1:37" x14ac:dyDescent="0.3">
      <c r="A326" s="1">
        <v>44382</v>
      </c>
      <c r="B326">
        <v>1.1860999999999999</v>
      </c>
      <c r="C326">
        <v>1.3845000000000001</v>
      </c>
      <c r="D326">
        <v>110.96</v>
      </c>
      <c r="G326">
        <v>1.1860999999999999</v>
      </c>
      <c r="H326">
        <f t="shared" si="25"/>
        <v>1.1863999999999999</v>
      </c>
      <c r="I326">
        <f t="shared" si="25"/>
        <v>1.1848000000000001</v>
      </c>
      <c r="J326">
        <f t="shared" si="25"/>
        <v>1.1855</v>
      </c>
      <c r="L326">
        <f t="shared" ref="L326:L389" si="30">G326-H326</f>
        <v>-2.9999999999996696E-4</v>
      </c>
      <c r="W326">
        <f t="shared" si="26"/>
        <v>-7.2046109510097715E-4</v>
      </c>
      <c r="X326">
        <f t="shared" si="27"/>
        <v>-4.125560538116536E-3</v>
      </c>
      <c r="Y326">
        <f t="shared" si="27"/>
        <v>3.6003600360036518E-3</v>
      </c>
      <c r="Z326">
        <f t="shared" si="27"/>
        <v>5.4298642533936138E-3</v>
      </c>
      <c r="AE326">
        <f>W326-mu-theta*AE325</f>
        <v>-1.7711217124723047E-3</v>
      </c>
      <c r="AF326">
        <f t="shared" si="29"/>
        <v>-3.2962762980583457E-3</v>
      </c>
      <c r="AG326">
        <f t="shared" si="29"/>
        <v>4.4904064303786656E-3</v>
      </c>
      <c r="AK326">
        <f t="shared" si="28"/>
        <v>3.1368721203908291E-6</v>
      </c>
    </row>
    <row r="327" spans="1:37" x14ac:dyDescent="0.3">
      <c r="A327" s="1">
        <v>44383</v>
      </c>
      <c r="B327">
        <v>1.1821999999999999</v>
      </c>
      <c r="C327">
        <v>1.3798999999999999</v>
      </c>
      <c r="D327">
        <v>110.6</v>
      </c>
      <c r="G327">
        <v>1.1821999999999999</v>
      </c>
      <c r="H327">
        <f t="shared" ref="H327:J390" si="31">G326</f>
        <v>1.1860999999999999</v>
      </c>
      <c r="I327">
        <f t="shared" si="31"/>
        <v>1.1863999999999999</v>
      </c>
      <c r="J327">
        <f t="shared" si="31"/>
        <v>1.1848000000000001</v>
      </c>
      <c r="L327">
        <f t="shared" si="30"/>
        <v>-3.9000000000000146E-3</v>
      </c>
      <c r="W327">
        <f t="shared" ref="W327:W390" si="32">(D327-D326)/D326</f>
        <v>-3.2444124008651717E-3</v>
      </c>
      <c r="X327">
        <f t="shared" si="27"/>
        <v>-7.2046109510097715E-4</v>
      </c>
      <c r="Y327">
        <f t="shared" si="27"/>
        <v>-4.125560538116536E-3</v>
      </c>
      <c r="Z327">
        <f t="shared" si="27"/>
        <v>3.6003600360036518E-3</v>
      </c>
      <c r="AE327">
        <f>W327-mu-theta*AE326</f>
        <v>-3.9268537623669275E-3</v>
      </c>
      <c r="AF327">
        <f t="shared" si="29"/>
        <v>-1.7711217124723047E-3</v>
      </c>
      <c r="AG327">
        <f t="shared" si="29"/>
        <v>-3.2962762980583457E-3</v>
      </c>
      <c r="AK327">
        <f t="shared" si="28"/>
        <v>1.5420180471015293E-5</v>
      </c>
    </row>
    <row r="328" spans="1:37" x14ac:dyDescent="0.3">
      <c r="A328" s="1">
        <v>44384</v>
      </c>
      <c r="B328">
        <v>1.1789000000000001</v>
      </c>
      <c r="C328">
        <v>1.38</v>
      </c>
      <c r="D328">
        <v>110.65</v>
      </c>
      <c r="G328">
        <v>1.1789000000000001</v>
      </c>
      <c r="H328">
        <f t="shared" si="31"/>
        <v>1.1821999999999999</v>
      </c>
      <c r="I328">
        <f t="shared" si="31"/>
        <v>1.1860999999999999</v>
      </c>
      <c r="J328">
        <f t="shared" si="31"/>
        <v>1.1863999999999999</v>
      </c>
      <c r="L328">
        <f t="shared" si="30"/>
        <v>-3.2999999999998586E-3</v>
      </c>
      <c r="W328">
        <f t="shared" si="32"/>
        <v>4.5207956600371946E-4</v>
      </c>
      <c r="X328">
        <f t="shared" ref="X328:Z391" si="33">W327</f>
        <v>-3.2444124008651717E-3</v>
      </c>
      <c r="Y328">
        <f t="shared" si="33"/>
        <v>-7.2046109510097715E-4</v>
      </c>
      <c r="Z328">
        <f t="shared" si="33"/>
        <v>-4.125560538116536E-3</v>
      </c>
      <c r="AE328">
        <f>W328-mu-theta*AE327</f>
        <v>-7.5082185821448129E-4</v>
      </c>
      <c r="AF328">
        <f t="shared" si="29"/>
        <v>-3.9268537623669275E-3</v>
      </c>
      <c r="AG328">
        <f t="shared" si="29"/>
        <v>-1.7711217124723047E-3</v>
      </c>
      <c r="AK328">
        <f t="shared" ref="AK328:AK391" si="34">POWER(AE328,2)</f>
        <v>5.6373346277264666E-7</v>
      </c>
    </row>
    <row r="329" spans="1:37" x14ac:dyDescent="0.3">
      <c r="A329" s="1">
        <v>44385</v>
      </c>
      <c r="B329">
        <v>1.1841999999999999</v>
      </c>
      <c r="C329">
        <v>1.3785000000000001</v>
      </c>
      <c r="D329">
        <v>109.79</v>
      </c>
      <c r="G329">
        <v>1.1841999999999999</v>
      </c>
      <c r="H329">
        <f t="shared" si="31"/>
        <v>1.1789000000000001</v>
      </c>
      <c r="I329">
        <f t="shared" si="31"/>
        <v>1.1821999999999999</v>
      </c>
      <c r="J329">
        <f t="shared" si="31"/>
        <v>1.1860999999999999</v>
      </c>
      <c r="L329">
        <f t="shared" si="30"/>
        <v>5.2999999999998604E-3</v>
      </c>
      <c r="W329">
        <f t="shared" si="32"/>
        <v>-7.7722548576592805E-3</v>
      </c>
      <c r="X329">
        <f t="shared" si="33"/>
        <v>4.5207956600371946E-4</v>
      </c>
      <c r="Y329">
        <f t="shared" si="33"/>
        <v>-3.2444124008651717E-3</v>
      </c>
      <c r="Z329">
        <f t="shared" si="33"/>
        <v>-7.2046109510097715E-4</v>
      </c>
      <c r="AE329">
        <f>W329-mu-theta*AE328</f>
        <v>-8.2083644330920927E-3</v>
      </c>
      <c r="AF329">
        <f t="shared" ref="AF329:AG392" si="35">AE328</f>
        <v>-7.5082185821448129E-4</v>
      </c>
      <c r="AG329">
        <f t="shared" si="35"/>
        <v>-3.9268537623669275E-3</v>
      </c>
      <c r="AK329">
        <f t="shared" si="34"/>
        <v>6.7377246666451278E-5</v>
      </c>
    </row>
    <row r="330" spans="1:37" x14ac:dyDescent="0.3">
      <c r="A330" s="1">
        <v>44386</v>
      </c>
      <c r="B330">
        <v>1.1873</v>
      </c>
      <c r="C330">
        <v>1.3898999999999999</v>
      </c>
      <c r="D330">
        <v>110.14</v>
      </c>
      <c r="G330">
        <v>1.1873</v>
      </c>
      <c r="H330">
        <f t="shared" si="31"/>
        <v>1.1841999999999999</v>
      </c>
      <c r="I330">
        <f t="shared" si="31"/>
        <v>1.1789000000000001</v>
      </c>
      <c r="J330">
        <f t="shared" si="31"/>
        <v>1.1821999999999999</v>
      </c>
      <c r="L330">
        <f t="shared" si="30"/>
        <v>3.1000000000001027E-3</v>
      </c>
      <c r="W330">
        <f t="shared" si="32"/>
        <v>3.1879041807085736E-3</v>
      </c>
      <c r="X330">
        <f t="shared" si="33"/>
        <v>-7.7722548576592805E-3</v>
      </c>
      <c r="Y330">
        <f t="shared" si="33"/>
        <v>4.5207956600371946E-4</v>
      </c>
      <c r="Z330">
        <f t="shared" si="33"/>
        <v>-3.2444124008651717E-3</v>
      </c>
      <c r="AE330">
        <f>W330-mu-theta*AE329</f>
        <v>9.5131431069504476E-4</v>
      </c>
      <c r="AF330">
        <f t="shared" si="35"/>
        <v>-8.2083644330920927E-3</v>
      </c>
      <c r="AG330">
        <f t="shared" si="35"/>
        <v>-7.5082185821448129E-4</v>
      </c>
      <c r="AK330">
        <f t="shared" si="34"/>
        <v>9.0499891773318813E-7</v>
      </c>
    </row>
    <row r="331" spans="1:37" x14ac:dyDescent="0.3">
      <c r="A331" s="1">
        <v>44389</v>
      </c>
      <c r="B331">
        <v>1.1859</v>
      </c>
      <c r="C331">
        <v>1.3879999999999999</v>
      </c>
      <c r="D331">
        <v>110.35</v>
      </c>
      <c r="G331">
        <v>1.1859</v>
      </c>
      <c r="H331">
        <f t="shared" si="31"/>
        <v>1.1873</v>
      </c>
      <c r="I331">
        <f t="shared" si="31"/>
        <v>1.1841999999999999</v>
      </c>
      <c r="J331">
        <f t="shared" si="31"/>
        <v>1.1789000000000001</v>
      </c>
      <c r="L331">
        <f t="shared" si="30"/>
        <v>-1.4000000000000679E-3</v>
      </c>
      <c r="W331">
        <f t="shared" si="32"/>
        <v>1.9066642455056633E-3</v>
      </c>
      <c r="X331">
        <f t="shared" si="33"/>
        <v>3.1879041807085736E-3</v>
      </c>
      <c r="Y331">
        <f t="shared" si="33"/>
        <v>-7.7722548576592805E-3</v>
      </c>
      <c r="Z331">
        <f t="shared" si="33"/>
        <v>4.5207956600371946E-4</v>
      </c>
      <c r="AE331">
        <f>W331-mu-theta*AE330</f>
        <v>1.881502727029135E-3</v>
      </c>
      <c r="AF331">
        <f t="shared" si="35"/>
        <v>9.5131431069504476E-4</v>
      </c>
      <c r="AG331">
        <f t="shared" si="35"/>
        <v>-8.2083644330920927E-3</v>
      </c>
      <c r="AK331">
        <f t="shared" si="34"/>
        <v>3.5400525118180716E-6</v>
      </c>
    </row>
    <row r="332" spans="1:37" x14ac:dyDescent="0.3">
      <c r="A332" s="1">
        <v>44390</v>
      </c>
      <c r="B332">
        <v>1.1774</v>
      </c>
      <c r="C332">
        <v>1.3808</v>
      </c>
      <c r="D332">
        <v>110.61</v>
      </c>
      <c r="G332">
        <v>1.1774</v>
      </c>
      <c r="H332">
        <f t="shared" si="31"/>
        <v>1.1859</v>
      </c>
      <c r="I332">
        <f t="shared" si="31"/>
        <v>1.1873</v>
      </c>
      <c r="J332">
        <f t="shared" si="31"/>
        <v>1.1841999999999999</v>
      </c>
      <c r="L332">
        <f t="shared" si="30"/>
        <v>-8.499999999999952E-3</v>
      </c>
      <c r="W332">
        <f t="shared" si="32"/>
        <v>2.3561395559583611E-3</v>
      </c>
      <c r="X332">
        <f t="shared" si="33"/>
        <v>1.9066642455056633E-3</v>
      </c>
      <c r="Y332">
        <f t="shared" si="33"/>
        <v>3.1879041807085736E-3</v>
      </c>
      <c r="Z332">
        <f t="shared" si="33"/>
        <v>-7.7722548576592805E-3</v>
      </c>
      <c r="AE332">
        <f>W332-mu-theta*AE331</f>
        <v>2.5555541491219676E-3</v>
      </c>
      <c r="AF332">
        <f t="shared" si="35"/>
        <v>1.881502727029135E-3</v>
      </c>
      <c r="AG332">
        <f t="shared" si="35"/>
        <v>9.5131431069504476E-4</v>
      </c>
      <c r="AK332">
        <f t="shared" si="34"/>
        <v>6.5308570090945041E-6</v>
      </c>
    </row>
    <row r="333" spans="1:37" x14ac:dyDescent="0.3">
      <c r="A333" s="1">
        <v>44391</v>
      </c>
      <c r="B333">
        <v>1.1835</v>
      </c>
      <c r="C333">
        <v>1.3855999999999999</v>
      </c>
      <c r="D333">
        <v>109.99</v>
      </c>
      <c r="G333">
        <v>1.1835</v>
      </c>
      <c r="H333">
        <f t="shared" si="31"/>
        <v>1.1774</v>
      </c>
      <c r="I333">
        <f t="shared" si="31"/>
        <v>1.1859</v>
      </c>
      <c r="J333">
        <f t="shared" si="31"/>
        <v>1.1873</v>
      </c>
      <c r="L333">
        <f t="shared" si="30"/>
        <v>6.0999999999999943E-3</v>
      </c>
      <c r="W333">
        <f t="shared" si="32"/>
        <v>-5.6052798119519444E-3</v>
      </c>
      <c r="X333">
        <f t="shared" si="33"/>
        <v>2.3561395559583611E-3</v>
      </c>
      <c r="Y333">
        <f t="shared" si="33"/>
        <v>1.9066642455056633E-3</v>
      </c>
      <c r="Z333">
        <f t="shared" si="33"/>
        <v>3.1879041807085736E-3</v>
      </c>
      <c r="AE333">
        <f>W333-mu-theta*AE332</f>
        <v>-5.2431284605563983E-3</v>
      </c>
      <c r="AF333">
        <f t="shared" si="35"/>
        <v>2.5555541491219676E-3</v>
      </c>
      <c r="AG333">
        <f t="shared" si="35"/>
        <v>1.881502727029135E-3</v>
      </c>
      <c r="AK333">
        <f t="shared" si="34"/>
        <v>2.7490396053896506E-5</v>
      </c>
    </row>
    <row r="334" spans="1:37" x14ac:dyDescent="0.3">
      <c r="A334" s="1">
        <v>44392</v>
      </c>
      <c r="B334">
        <v>1.1812</v>
      </c>
      <c r="C334">
        <v>1.3828</v>
      </c>
      <c r="D334">
        <v>109.86</v>
      </c>
      <c r="G334">
        <v>1.1812</v>
      </c>
      <c r="H334">
        <f t="shared" si="31"/>
        <v>1.1835</v>
      </c>
      <c r="I334">
        <f t="shared" si="31"/>
        <v>1.1774</v>
      </c>
      <c r="J334">
        <f t="shared" si="31"/>
        <v>1.1859</v>
      </c>
      <c r="L334">
        <f t="shared" si="30"/>
        <v>-2.2999999999999687E-3</v>
      </c>
      <c r="W334">
        <f t="shared" si="32"/>
        <v>-1.1819256296026499E-3</v>
      </c>
      <c r="X334">
        <f t="shared" si="33"/>
        <v>-5.6052798119519444E-3</v>
      </c>
      <c r="Y334">
        <f t="shared" si="33"/>
        <v>2.3561395559583611E-3</v>
      </c>
      <c r="Z334">
        <f t="shared" si="33"/>
        <v>1.9066642455056633E-3</v>
      </c>
      <c r="AE334">
        <f>W334-mu-theta*AE333</f>
        <v>-2.702616276282543E-3</v>
      </c>
      <c r="AF334">
        <f t="shared" si="35"/>
        <v>-5.2431284605563983E-3</v>
      </c>
      <c r="AG334">
        <f t="shared" si="35"/>
        <v>2.5555541491219676E-3</v>
      </c>
      <c r="AK334">
        <f t="shared" si="34"/>
        <v>7.304134736827319E-6</v>
      </c>
    </row>
    <row r="335" spans="1:37" x14ac:dyDescent="0.3">
      <c r="A335" s="1">
        <v>44393</v>
      </c>
      <c r="B335">
        <v>1.1805000000000001</v>
      </c>
      <c r="C335">
        <v>1.3772</v>
      </c>
      <c r="D335">
        <v>110.08</v>
      </c>
      <c r="G335">
        <v>1.1805000000000001</v>
      </c>
      <c r="H335">
        <f t="shared" si="31"/>
        <v>1.1812</v>
      </c>
      <c r="I335">
        <f t="shared" si="31"/>
        <v>1.1835</v>
      </c>
      <c r="J335">
        <f t="shared" si="31"/>
        <v>1.1774</v>
      </c>
      <c r="L335">
        <f t="shared" si="30"/>
        <v>-6.9999999999992291E-4</v>
      </c>
      <c r="W335">
        <f t="shared" si="32"/>
        <v>2.0025486983433357E-3</v>
      </c>
      <c r="X335">
        <f t="shared" si="33"/>
        <v>-1.1819256296026499E-3</v>
      </c>
      <c r="Y335">
        <f t="shared" si="33"/>
        <v>-5.6052798119519444E-3</v>
      </c>
      <c r="Z335">
        <f t="shared" si="33"/>
        <v>2.3561395559583611E-3</v>
      </c>
      <c r="AE335">
        <f>W335-mu-theta*AE334</f>
        <v>1.0952158810020648E-3</v>
      </c>
      <c r="AF335">
        <f t="shared" si="35"/>
        <v>-2.702616276282543E-3</v>
      </c>
      <c r="AG335">
        <f t="shared" si="35"/>
        <v>-5.2431284605563983E-3</v>
      </c>
      <c r="AK335">
        <f t="shared" si="34"/>
        <v>1.1994978259991289E-6</v>
      </c>
    </row>
    <row r="336" spans="1:37" x14ac:dyDescent="0.3">
      <c r="A336" s="1">
        <v>44396</v>
      </c>
      <c r="B336">
        <v>1.1798</v>
      </c>
      <c r="C336">
        <v>1.3672</v>
      </c>
      <c r="D336">
        <v>109.44</v>
      </c>
      <c r="G336">
        <v>1.1798</v>
      </c>
      <c r="H336">
        <f t="shared" si="31"/>
        <v>1.1805000000000001</v>
      </c>
      <c r="I336">
        <f t="shared" si="31"/>
        <v>1.1812</v>
      </c>
      <c r="J336">
        <f t="shared" si="31"/>
        <v>1.1835</v>
      </c>
      <c r="L336">
        <f t="shared" si="30"/>
        <v>-7.0000000000014495E-4</v>
      </c>
      <c r="W336">
        <f t="shared" si="32"/>
        <v>-5.8139534883720981E-3</v>
      </c>
      <c r="X336">
        <f t="shared" si="33"/>
        <v>2.0025486983433357E-3</v>
      </c>
      <c r="Y336">
        <f t="shared" si="33"/>
        <v>-1.1819256296026499E-3</v>
      </c>
      <c r="Z336">
        <f t="shared" si="33"/>
        <v>-5.6052798119519444E-3</v>
      </c>
      <c r="AE336">
        <f>W336-mu-theta*AE335</f>
        <v>-5.8043727389908715E-3</v>
      </c>
      <c r="AF336">
        <f t="shared" si="35"/>
        <v>1.0952158810020648E-3</v>
      </c>
      <c r="AG336">
        <f t="shared" si="35"/>
        <v>-2.702616276282543E-3</v>
      </c>
      <c r="AK336">
        <f t="shared" si="34"/>
        <v>3.3690742893140394E-5</v>
      </c>
    </row>
    <row r="337" spans="1:37" x14ac:dyDescent="0.3">
      <c r="A337" s="1">
        <v>44397</v>
      </c>
      <c r="B337">
        <v>1.1778999999999999</v>
      </c>
      <c r="C337">
        <v>1.3626</v>
      </c>
      <c r="D337">
        <v>109.84</v>
      </c>
      <c r="G337">
        <v>1.1778999999999999</v>
      </c>
      <c r="H337">
        <f t="shared" si="31"/>
        <v>1.1798</v>
      </c>
      <c r="I337">
        <f t="shared" si="31"/>
        <v>1.1805000000000001</v>
      </c>
      <c r="J337">
        <f t="shared" si="31"/>
        <v>1.1812</v>
      </c>
      <c r="L337">
        <f t="shared" si="30"/>
        <v>-1.9000000000000128E-3</v>
      </c>
      <c r="W337">
        <f t="shared" si="32"/>
        <v>3.65497076023397E-3</v>
      </c>
      <c r="X337">
        <f t="shared" si="33"/>
        <v>-5.8139534883720981E-3</v>
      </c>
      <c r="Y337">
        <f t="shared" si="33"/>
        <v>2.0025486983433357E-3</v>
      </c>
      <c r="Z337">
        <f t="shared" si="33"/>
        <v>-1.1819256296026499E-3</v>
      </c>
      <c r="AE337">
        <f>W337-mu-theta*AE336</f>
        <v>1.9987784716095081E-3</v>
      </c>
      <c r="AF337">
        <f t="shared" si="35"/>
        <v>-5.8043727389908715E-3</v>
      </c>
      <c r="AG337">
        <f t="shared" si="35"/>
        <v>1.0952158810020648E-3</v>
      </c>
      <c r="AK337">
        <f t="shared" si="34"/>
        <v>3.9951153785696413E-6</v>
      </c>
    </row>
    <row r="338" spans="1:37" x14ac:dyDescent="0.3">
      <c r="A338" s="1">
        <v>44398</v>
      </c>
      <c r="B338">
        <v>1.1792</v>
      </c>
      <c r="C338">
        <v>1.371</v>
      </c>
      <c r="D338">
        <v>110.27</v>
      </c>
      <c r="G338">
        <v>1.1792</v>
      </c>
      <c r="H338">
        <f t="shared" si="31"/>
        <v>1.1778999999999999</v>
      </c>
      <c r="I338">
        <f t="shared" si="31"/>
        <v>1.1798</v>
      </c>
      <c r="J338">
        <f t="shared" si="31"/>
        <v>1.1805000000000001</v>
      </c>
      <c r="L338">
        <f t="shared" si="30"/>
        <v>1.3000000000000789E-3</v>
      </c>
      <c r="W338">
        <f t="shared" si="32"/>
        <v>3.9147851420246963E-3</v>
      </c>
      <c r="X338">
        <f t="shared" si="33"/>
        <v>3.65497076023397E-3</v>
      </c>
      <c r="Y338">
        <f t="shared" si="33"/>
        <v>-5.8139534883720981E-3</v>
      </c>
      <c r="Z338">
        <f t="shared" si="33"/>
        <v>2.0025486983433357E-3</v>
      </c>
      <c r="AE338">
        <f>W338-mu-theta*AE337</f>
        <v>4.1425137092661124E-3</v>
      </c>
      <c r="AF338">
        <f t="shared" si="35"/>
        <v>1.9987784716095081E-3</v>
      </c>
      <c r="AG338">
        <f t="shared" si="35"/>
        <v>-5.8043727389908715E-3</v>
      </c>
      <c r="AK338">
        <f t="shared" si="34"/>
        <v>1.7160419831457686E-5</v>
      </c>
    </row>
    <row r="339" spans="1:37" x14ac:dyDescent="0.3">
      <c r="A339" s="1">
        <v>44399</v>
      </c>
      <c r="B339">
        <v>1.177</v>
      </c>
      <c r="C339">
        <v>1.3763000000000001</v>
      </c>
      <c r="D339">
        <v>110.14</v>
      </c>
      <c r="G339">
        <v>1.177</v>
      </c>
      <c r="H339">
        <f t="shared" si="31"/>
        <v>1.1792</v>
      </c>
      <c r="I339">
        <f t="shared" si="31"/>
        <v>1.1778999999999999</v>
      </c>
      <c r="J339">
        <f t="shared" si="31"/>
        <v>1.1798</v>
      </c>
      <c r="L339">
        <f t="shared" si="30"/>
        <v>-2.1999999999999797E-3</v>
      </c>
      <c r="W339">
        <f t="shared" si="32"/>
        <v>-1.1789244581481405E-3</v>
      </c>
      <c r="X339">
        <f t="shared" si="33"/>
        <v>3.9147851420246963E-3</v>
      </c>
      <c r="Y339">
        <f t="shared" si="33"/>
        <v>3.65497076023397E-3</v>
      </c>
      <c r="Z339">
        <f t="shared" si="33"/>
        <v>-5.8139534883720981E-3</v>
      </c>
      <c r="AE339">
        <f>W339-mu-theta*AE338</f>
        <v>-4.3363222788434224E-4</v>
      </c>
      <c r="AF339">
        <f t="shared" si="35"/>
        <v>4.1425137092661124E-3</v>
      </c>
      <c r="AG339">
        <f t="shared" si="35"/>
        <v>1.9987784716095081E-3</v>
      </c>
      <c r="AK339">
        <f t="shared" si="34"/>
        <v>1.8803690905993811E-7</v>
      </c>
    </row>
    <row r="340" spans="1:37" x14ac:dyDescent="0.3">
      <c r="A340" s="1">
        <v>44400</v>
      </c>
      <c r="B340">
        <v>1.1771</v>
      </c>
      <c r="C340">
        <v>1.3745000000000001</v>
      </c>
      <c r="D340">
        <v>110.54</v>
      </c>
      <c r="G340">
        <v>1.1771</v>
      </c>
      <c r="H340">
        <f t="shared" si="31"/>
        <v>1.177</v>
      </c>
      <c r="I340">
        <f t="shared" si="31"/>
        <v>1.1792</v>
      </c>
      <c r="J340">
        <f t="shared" si="31"/>
        <v>1.1778999999999999</v>
      </c>
      <c r="L340">
        <f t="shared" si="30"/>
        <v>9.9999999999988987E-5</v>
      </c>
      <c r="W340">
        <f t="shared" si="32"/>
        <v>3.631741420010947E-3</v>
      </c>
      <c r="X340">
        <f t="shared" si="33"/>
        <v>-1.1789244581481405E-3</v>
      </c>
      <c r="Y340">
        <f t="shared" si="33"/>
        <v>3.9147851420246963E-3</v>
      </c>
      <c r="Z340">
        <f t="shared" si="33"/>
        <v>3.65497076023397E-3</v>
      </c>
      <c r="AE340">
        <f>W340-mu-theta*AE339</f>
        <v>3.2722111833242001E-3</v>
      </c>
      <c r="AF340">
        <f t="shared" si="35"/>
        <v>-4.3363222788434224E-4</v>
      </c>
      <c r="AG340">
        <f t="shared" si="35"/>
        <v>4.1425137092661124E-3</v>
      </c>
      <c r="AK340">
        <f t="shared" si="34"/>
        <v>1.0707366028271961E-5</v>
      </c>
    </row>
    <row r="341" spans="1:37" x14ac:dyDescent="0.3">
      <c r="A341" s="1">
        <v>44403</v>
      </c>
      <c r="B341">
        <v>1.1798999999999999</v>
      </c>
      <c r="C341">
        <v>1.3815999999999999</v>
      </c>
      <c r="D341">
        <v>110.34</v>
      </c>
      <c r="G341">
        <v>1.1798999999999999</v>
      </c>
      <c r="H341">
        <f t="shared" si="31"/>
        <v>1.1771</v>
      </c>
      <c r="I341">
        <f t="shared" si="31"/>
        <v>1.177</v>
      </c>
      <c r="J341">
        <f t="shared" si="31"/>
        <v>1.1792</v>
      </c>
      <c r="L341">
        <f t="shared" si="30"/>
        <v>2.7999999999999137E-3</v>
      </c>
      <c r="W341">
        <f t="shared" si="32"/>
        <v>-1.8092998009770476E-3</v>
      </c>
      <c r="X341">
        <f t="shared" si="33"/>
        <v>3.631741420010947E-3</v>
      </c>
      <c r="Y341">
        <f t="shared" si="33"/>
        <v>-1.1789244581481405E-3</v>
      </c>
      <c r="Z341">
        <f t="shared" si="33"/>
        <v>3.9147851420246963E-3</v>
      </c>
      <c r="AE341">
        <f>W341-mu-theta*AE340</f>
        <v>-1.2741253853350387E-3</v>
      </c>
      <c r="AF341">
        <f t="shared" si="35"/>
        <v>3.2722111833242001E-3</v>
      </c>
      <c r="AG341">
        <f t="shared" si="35"/>
        <v>-4.3363222788434224E-4</v>
      </c>
      <c r="AK341">
        <f t="shared" si="34"/>
        <v>1.6233954975551609E-6</v>
      </c>
    </row>
    <row r="342" spans="1:37" x14ac:dyDescent="0.3">
      <c r="A342" s="1">
        <v>44404</v>
      </c>
      <c r="B342">
        <v>1.1814</v>
      </c>
      <c r="C342">
        <v>1.3874</v>
      </c>
      <c r="D342">
        <v>109.76</v>
      </c>
      <c r="G342">
        <v>1.1814</v>
      </c>
      <c r="H342">
        <f t="shared" si="31"/>
        <v>1.1798999999999999</v>
      </c>
      <c r="I342">
        <f t="shared" si="31"/>
        <v>1.1771</v>
      </c>
      <c r="J342">
        <f t="shared" si="31"/>
        <v>1.177</v>
      </c>
      <c r="L342">
        <f t="shared" si="30"/>
        <v>1.5000000000000568E-3</v>
      </c>
      <c r="W342">
        <f t="shared" si="32"/>
        <v>-5.256479970998716E-3</v>
      </c>
      <c r="X342">
        <f t="shared" si="33"/>
        <v>-1.8092998009770476E-3</v>
      </c>
      <c r="Y342">
        <f t="shared" si="33"/>
        <v>3.631741420010947E-3</v>
      </c>
      <c r="Z342">
        <f t="shared" si="33"/>
        <v>-1.1789244581481405E-3</v>
      </c>
      <c r="AE342">
        <f>W342-mu-theta*AE341</f>
        <v>-5.8189311233256581E-3</v>
      </c>
      <c r="AF342">
        <f t="shared" si="35"/>
        <v>-1.2741253853350387E-3</v>
      </c>
      <c r="AG342">
        <f t="shared" si="35"/>
        <v>3.2722111833242001E-3</v>
      </c>
      <c r="AK342">
        <f t="shared" si="34"/>
        <v>3.3859959418008007E-5</v>
      </c>
    </row>
    <row r="343" spans="1:37" x14ac:dyDescent="0.3">
      <c r="A343" s="1">
        <v>44405</v>
      </c>
      <c r="B343">
        <v>1.1841999999999999</v>
      </c>
      <c r="C343">
        <v>1.3897999999999999</v>
      </c>
      <c r="D343">
        <v>109.9</v>
      </c>
      <c r="G343">
        <v>1.1841999999999999</v>
      </c>
      <c r="H343">
        <f t="shared" si="31"/>
        <v>1.1814</v>
      </c>
      <c r="I343">
        <f t="shared" si="31"/>
        <v>1.1798999999999999</v>
      </c>
      <c r="J343">
        <f t="shared" si="31"/>
        <v>1.1771</v>
      </c>
      <c r="L343">
        <f t="shared" si="30"/>
        <v>2.7999999999999137E-3</v>
      </c>
      <c r="W343">
        <f t="shared" si="32"/>
        <v>1.2755102040816378E-3</v>
      </c>
      <c r="X343">
        <f t="shared" si="33"/>
        <v>-5.256479970998716E-3</v>
      </c>
      <c r="Y343">
        <f t="shared" si="33"/>
        <v>-1.8092998009770476E-3</v>
      </c>
      <c r="Z343">
        <f t="shared" si="33"/>
        <v>3.631741420010947E-3</v>
      </c>
      <c r="AE343">
        <f>W343-mu-theta*AE342</f>
        <v>-3.8419692657725183E-4</v>
      </c>
      <c r="AF343">
        <f t="shared" si="35"/>
        <v>-5.8189311233256581E-3</v>
      </c>
      <c r="AG343">
        <f t="shared" si="35"/>
        <v>-1.2741253853350387E-3</v>
      </c>
      <c r="AK343">
        <f t="shared" si="34"/>
        <v>1.4760727839140623E-7</v>
      </c>
    </row>
    <row r="344" spans="1:37" x14ac:dyDescent="0.3">
      <c r="A344" s="1">
        <v>44406</v>
      </c>
      <c r="B344">
        <v>1.1886000000000001</v>
      </c>
      <c r="C344">
        <v>1.3960999999999999</v>
      </c>
      <c r="D344">
        <v>109.46</v>
      </c>
      <c r="G344">
        <v>1.1886000000000001</v>
      </c>
      <c r="H344">
        <f t="shared" si="31"/>
        <v>1.1841999999999999</v>
      </c>
      <c r="I344">
        <f t="shared" si="31"/>
        <v>1.1814</v>
      </c>
      <c r="J344">
        <f t="shared" si="31"/>
        <v>1.1798999999999999</v>
      </c>
      <c r="L344">
        <f t="shared" si="30"/>
        <v>4.4000000000001815E-3</v>
      </c>
      <c r="W344">
        <f t="shared" si="32"/>
        <v>-4.0036396724295901E-3</v>
      </c>
      <c r="X344">
        <f t="shared" si="33"/>
        <v>1.2755102040816378E-3</v>
      </c>
      <c r="Y344">
        <f t="shared" si="33"/>
        <v>-5.256479970998716E-3</v>
      </c>
      <c r="Z344">
        <f t="shared" si="33"/>
        <v>-1.8092998009770476E-3</v>
      </c>
      <c r="AE344">
        <f>W344-mu-theta*AE343</f>
        <v>-4.351234705935611E-3</v>
      </c>
      <c r="AF344">
        <f t="shared" si="35"/>
        <v>-3.8419692657725183E-4</v>
      </c>
      <c r="AG344">
        <f t="shared" si="35"/>
        <v>-5.8189311233256581E-3</v>
      </c>
      <c r="AK344">
        <f t="shared" si="34"/>
        <v>1.8933243466138563E-5</v>
      </c>
    </row>
    <row r="345" spans="1:37" x14ac:dyDescent="0.3">
      <c r="A345" s="1">
        <v>44407</v>
      </c>
      <c r="B345">
        <v>1.1870000000000001</v>
      </c>
      <c r="C345">
        <v>1.3900999999999999</v>
      </c>
      <c r="D345">
        <v>109.7</v>
      </c>
      <c r="G345">
        <v>1.1870000000000001</v>
      </c>
      <c r="H345">
        <f t="shared" si="31"/>
        <v>1.1886000000000001</v>
      </c>
      <c r="I345">
        <f t="shared" si="31"/>
        <v>1.1841999999999999</v>
      </c>
      <c r="J345">
        <f t="shared" si="31"/>
        <v>1.1814</v>
      </c>
      <c r="L345">
        <f t="shared" si="30"/>
        <v>-1.6000000000000458E-3</v>
      </c>
      <c r="W345">
        <f t="shared" si="32"/>
        <v>2.1925817650284042E-3</v>
      </c>
      <c r="X345">
        <f t="shared" si="33"/>
        <v>-4.0036396724295901E-3</v>
      </c>
      <c r="Y345">
        <f t="shared" si="33"/>
        <v>1.2755102040816378E-3</v>
      </c>
      <c r="Z345">
        <f t="shared" si="33"/>
        <v>-5.256479970998716E-3</v>
      </c>
      <c r="AE345">
        <f>W345-mu-theta*AE344</f>
        <v>8.8722172007567475E-4</v>
      </c>
      <c r="AF345">
        <f t="shared" si="35"/>
        <v>-4.351234705935611E-3</v>
      </c>
      <c r="AG345">
        <f t="shared" si="35"/>
        <v>-3.8419692657725183E-4</v>
      </c>
      <c r="AK345">
        <f t="shared" si="34"/>
        <v>7.8716238057403896E-7</v>
      </c>
    </row>
    <row r="346" spans="1:37" x14ac:dyDescent="0.3">
      <c r="A346" s="1">
        <v>44410</v>
      </c>
      <c r="B346">
        <v>1.1867000000000001</v>
      </c>
      <c r="C346">
        <v>1.3880999999999999</v>
      </c>
      <c r="D346">
        <v>109.28</v>
      </c>
      <c r="G346">
        <v>1.1867000000000001</v>
      </c>
      <c r="H346">
        <f t="shared" si="31"/>
        <v>1.1870000000000001</v>
      </c>
      <c r="I346">
        <f t="shared" si="31"/>
        <v>1.1886000000000001</v>
      </c>
      <c r="J346">
        <f t="shared" si="31"/>
        <v>1.1841999999999999</v>
      </c>
      <c r="L346">
        <f t="shared" si="30"/>
        <v>-2.9999999999996696E-4</v>
      </c>
      <c r="W346">
        <f t="shared" si="32"/>
        <v>-3.8286235186873446E-3</v>
      </c>
      <c r="X346">
        <f t="shared" si="33"/>
        <v>2.1925817650284042E-3</v>
      </c>
      <c r="Y346">
        <f t="shared" si="33"/>
        <v>-4.0036396724295901E-3</v>
      </c>
      <c r="Z346">
        <f t="shared" si="33"/>
        <v>1.2755102040816378E-3</v>
      </c>
      <c r="AE346">
        <f>W346-mu-theta*AE345</f>
        <v>-3.8692589610845418E-3</v>
      </c>
      <c r="AF346">
        <f t="shared" si="35"/>
        <v>8.8722172007567475E-4</v>
      </c>
      <c r="AG346">
        <f t="shared" si="35"/>
        <v>-4.351234705935611E-3</v>
      </c>
      <c r="AK346">
        <f t="shared" si="34"/>
        <v>1.4971164907933027E-5</v>
      </c>
    </row>
    <row r="347" spans="1:37" x14ac:dyDescent="0.3">
      <c r="A347" s="1">
        <v>44411</v>
      </c>
      <c r="B347">
        <v>1.1859999999999999</v>
      </c>
      <c r="C347">
        <v>1.3914</v>
      </c>
      <c r="D347">
        <v>109.04</v>
      </c>
      <c r="G347">
        <v>1.1859999999999999</v>
      </c>
      <c r="H347">
        <f t="shared" si="31"/>
        <v>1.1867000000000001</v>
      </c>
      <c r="I347">
        <f t="shared" si="31"/>
        <v>1.1870000000000001</v>
      </c>
      <c r="J347">
        <f t="shared" si="31"/>
        <v>1.1886000000000001</v>
      </c>
      <c r="L347">
        <f t="shared" si="30"/>
        <v>-7.0000000000014495E-4</v>
      </c>
      <c r="W347">
        <f t="shared" si="32"/>
        <v>-2.1961932650072739E-3</v>
      </c>
      <c r="X347">
        <f t="shared" si="33"/>
        <v>-3.8286235186873446E-3</v>
      </c>
      <c r="Y347">
        <f t="shared" si="33"/>
        <v>2.1925817650284042E-3</v>
      </c>
      <c r="Z347">
        <f t="shared" si="33"/>
        <v>-4.0036396724295901E-3</v>
      </c>
      <c r="AE347">
        <f>W347-mu-theta*AE346</f>
        <v>-3.3851895316299205E-3</v>
      </c>
      <c r="AF347">
        <f t="shared" si="35"/>
        <v>-3.8692589610845418E-3</v>
      </c>
      <c r="AG347">
        <f t="shared" si="35"/>
        <v>8.8722172007567475E-4</v>
      </c>
      <c r="AK347">
        <f t="shared" si="34"/>
        <v>1.14595081650568E-5</v>
      </c>
    </row>
    <row r="348" spans="1:37" x14ac:dyDescent="0.3">
      <c r="A348" s="1">
        <v>44412</v>
      </c>
      <c r="B348">
        <v>1.1835</v>
      </c>
      <c r="C348">
        <v>1.3885000000000001</v>
      </c>
      <c r="D348">
        <v>109.47</v>
      </c>
      <c r="G348">
        <v>1.1835</v>
      </c>
      <c r="H348">
        <f t="shared" si="31"/>
        <v>1.1859999999999999</v>
      </c>
      <c r="I348">
        <f t="shared" si="31"/>
        <v>1.1867000000000001</v>
      </c>
      <c r="J348">
        <f t="shared" si="31"/>
        <v>1.1870000000000001</v>
      </c>
      <c r="L348">
        <f t="shared" si="30"/>
        <v>-2.4999999999999467E-3</v>
      </c>
      <c r="W348">
        <f t="shared" si="32"/>
        <v>3.9435069699192277E-3</v>
      </c>
      <c r="X348">
        <f t="shared" si="33"/>
        <v>-2.1961932650072739E-3</v>
      </c>
      <c r="Y348">
        <f t="shared" si="33"/>
        <v>-3.8286235186873446E-3</v>
      </c>
      <c r="Z348">
        <f t="shared" si="33"/>
        <v>2.1925817650284042E-3</v>
      </c>
      <c r="AE348">
        <f>W348-mu-theta*AE347</f>
        <v>2.8713799615262305E-3</v>
      </c>
      <c r="AF348">
        <f t="shared" si="35"/>
        <v>-3.3851895316299205E-3</v>
      </c>
      <c r="AG348">
        <f t="shared" si="35"/>
        <v>-3.8692589610845418E-3</v>
      </c>
      <c r="AK348">
        <f t="shared" si="34"/>
        <v>8.2448228834543759E-6</v>
      </c>
    </row>
    <row r="349" spans="1:37" x14ac:dyDescent="0.3">
      <c r="A349" s="1">
        <v>44413</v>
      </c>
      <c r="B349">
        <v>1.1832</v>
      </c>
      <c r="C349">
        <v>1.3928</v>
      </c>
      <c r="D349">
        <v>109.74</v>
      </c>
      <c r="G349">
        <v>1.1832</v>
      </c>
      <c r="H349">
        <f t="shared" si="31"/>
        <v>1.1835</v>
      </c>
      <c r="I349">
        <f t="shared" si="31"/>
        <v>1.1859999999999999</v>
      </c>
      <c r="J349">
        <f t="shared" si="31"/>
        <v>1.1867000000000001</v>
      </c>
      <c r="L349">
        <f t="shared" si="30"/>
        <v>-2.9999999999996696E-4</v>
      </c>
      <c r="W349">
        <f t="shared" si="32"/>
        <v>2.466429158673573E-3</v>
      </c>
      <c r="X349">
        <f t="shared" si="33"/>
        <v>3.9435069699192277E-3</v>
      </c>
      <c r="Y349">
        <f t="shared" si="33"/>
        <v>-2.1961932650072739E-3</v>
      </c>
      <c r="Z349">
        <f t="shared" si="33"/>
        <v>-3.8286235186873446E-3</v>
      </c>
      <c r="AE349">
        <f>W349-mu-theta*AE348</f>
        <v>2.9048305811943454E-3</v>
      </c>
      <c r="AF349">
        <f t="shared" si="35"/>
        <v>2.8713799615262305E-3</v>
      </c>
      <c r="AG349">
        <f t="shared" si="35"/>
        <v>-3.3851895316299205E-3</v>
      </c>
      <c r="AK349">
        <f t="shared" si="34"/>
        <v>8.4380407054418786E-6</v>
      </c>
    </row>
    <row r="350" spans="1:37" x14ac:dyDescent="0.3">
      <c r="A350" s="1">
        <v>44414</v>
      </c>
      <c r="B350">
        <v>1.1759999999999999</v>
      </c>
      <c r="C350">
        <v>1.3871</v>
      </c>
      <c r="D350">
        <v>110.25</v>
      </c>
      <c r="G350">
        <v>1.1759999999999999</v>
      </c>
      <c r="H350">
        <f t="shared" si="31"/>
        <v>1.1832</v>
      </c>
      <c r="I350">
        <f t="shared" si="31"/>
        <v>1.1835</v>
      </c>
      <c r="J350">
        <f t="shared" si="31"/>
        <v>1.1859999999999999</v>
      </c>
      <c r="L350">
        <f t="shared" si="30"/>
        <v>-7.2000000000000952E-3</v>
      </c>
      <c r="W350">
        <f t="shared" si="32"/>
        <v>4.64734827774745E-3</v>
      </c>
      <c r="X350">
        <f t="shared" si="33"/>
        <v>2.466429158673573E-3</v>
      </c>
      <c r="Y350">
        <f t="shared" si="33"/>
        <v>3.9435069699192277E-3</v>
      </c>
      <c r="Z350">
        <f t="shared" si="33"/>
        <v>-2.1961932650072739E-3</v>
      </c>
      <c r="AE350">
        <f>W350-mu-theta*AE349</f>
        <v>5.0938257093488606E-3</v>
      </c>
      <c r="AF350">
        <f t="shared" si="35"/>
        <v>2.9048305811943454E-3</v>
      </c>
      <c r="AG350">
        <f t="shared" si="35"/>
        <v>2.8713799615262305E-3</v>
      </c>
      <c r="AK350">
        <f t="shared" si="34"/>
        <v>2.5947060357223425E-5</v>
      </c>
    </row>
    <row r="351" spans="1:37" x14ac:dyDescent="0.3">
      <c r="A351" s="1">
        <v>44417</v>
      </c>
      <c r="B351">
        <v>1.1737</v>
      </c>
      <c r="C351">
        <v>1.3844000000000001</v>
      </c>
      <c r="D351">
        <v>110.28</v>
      </c>
      <c r="G351">
        <v>1.1737</v>
      </c>
      <c r="H351">
        <f t="shared" si="31"/>
        <v>1.1759999999999999</v>
      </c>
      <c r="I351">
        <f t="shared" si="31"/>
        <v>1.1832</v>
      </c>
      <c r="J351">
        <f t="shared" si="31"/>
        <v>1.1835</v>
      </c>
      <c r="L351">
        <f t="shared" si="30"/>
        <v>-2.2999999999999687E-3</v>
      </c>
      <c r="W351">
        <f t="shared" si="32"/>
        <v>2.7210884353742526E-4</v>
      </c>
      <c r="X351">
        <f t="shared" si="33"/>
        <v>4.64734827774745E-3</v>
      </c>
      <c r="Y351">
        <f t="shared" si="33"/>
        <v>2.466429158673573E-3</v>
      </c>
      <c r="Z351">
        <f t="shared" si="33"/>
        <v>3.9435069699192277E-3</v>
      </c>
      <c r="AE351">
        <f>W351-mu-theta*AE350</f>
        <v>1.2470770686681073E-3</v>
      </c>
      <c r="AF351">
        <f t="shared" si="35"/>
        <v>5.0938257093488606E-3</v>
      </c>
      <c r="AG351">
        <f t="shared" si="35"/>
        <v>2.9048305811943454E-3</v>
      </c>
      <c r="AK351">
        <f t="shared" si="34"/>
        <v>1.5552012151978392E-6</v>
      </c>
    </row>
    <row r="352" spans="1:37" x14ac:dyDescent="0.3">
      <c r="A352" s="1">
        <v>44418</v>
      </c>
      <c r="B352">
        <v>1.1718</v>
      </c>
      <c r="C352">
        <v>1.3843000000000001</v>
      </c>
      <c r="D352">
        <v>110.56</v>
      </c>
      <c r="G352">
        <v>1.1718</v>
      </c>
      <c r="H352">
        <f t="shared" si="31"/>
        <v>1.1737</v>
      </c>
      <c r="I352">
        <f t="shared" si="31"/>
        <v>1.1759999999999999</v>
      </c>
      <c r="J352">
        <f t="shared" si="31"/>
        <v>1.1832</v>
      </c>
      <c r="L352">
        <f t="shared" si="30"/>
        <v>-1.9000000000000128E-3</v>
      </c>
      <c r="W352">
        <f t="shared" si="32"/>
        <v>2.5389916575988495E-3</v>
      </c>
      <c r="X352">
        <f t="shared" si="33"/>
        <v>2.7210884353742526E-4</v>
      </c>
      <c r="Y352">
        <f t="shared" si="33"/>
        <v>4.64734827774745E-3</v>
      </c>
      <c r="Z352">
        <f t="shared" si="33"/>
        <v>2.466429158673573E-3</v>
      </c>
      <c r="AE352">
        <f>W352-mu-theta*AE351</f>
        <v>2.5852363714374059E-3</v>
      </c>
      <c r="AF352">
        <f t="shared" si="35"/>
        <v>1.2470770686681073E-3</v>
      </c>
      <c r="AG352">
        <f t="shared" si="35"/>
        <v>5.0938257093488606E-3</v>
      </c>
      <c r="AK352">
        <f t="shared" si="34"/>
        <v>6.6834470962028449E-6</v>
      </c>
    </row>
    <row r="353" spans="1:37" x14ac:dyDescent="0.3">
      <c r="A353" s="1">
        <v>44419</v>
      </c>
      <c r="B353">
        <v>1.1737</v>
      </c>
      <c r="C353">
        <v>1.3872</v>
      </c>
      <c r="D353">
        <v>110.4</v>
      </c>
      <c r="G353">
        <v>1.1737</v>
      </c>
      <c r="H353">
        <f t="shared" si="31"/>
        <v>1.1718</v>
      </c>
      <c r="I353">
        <f t="shared" si="31"/>
        <v>1.1737</v>
      </c>
      <c r="J353">
        <f t="shared" si="31"/>
        <v>1.1759999999999999</v>
      </c>
      <c r="L353">
        <f t="shared" si="30"/>
        <v>1.9000000000000128E-3</v>
      </c>
      <c r="W353">
        <f t="shared" si="32"/>
        <v>-1.4471780028943251E-3</v>
      </c>
      <c r="X353">
        <f t="shared" si="33"/>
        <v>2.5389916575988495E-3</v>
      </c>
      <c r="Y353">
        <f t="shared" si="33"/>
        <v>2.7210884353742526E-4</v>
      </c>
      <c r="Z353">
        <f t="shared" si="33"/>
        <v>4.64734827774745E-3</v>
      </c>
      <c r="AE353">
        <f>W353-mu-theta*AE352</f>
        <v>-1.0778604495171311E-3</v>
      </c>
      <c r="AF353">
        <f t="shared" si="35"/>
        <v>2.5852363714374059E-3</v>
      </c>
      <c r="AG353">
        <f t="shared" si="35"/>
        <v>1.2470770686681073E-3</v>
      </c>
      <c r="AK353">
        <f t="shared" si="34"/>
        <v>1.161783148633272E-6</v>
      </c>
    </row>
    <row r="354" spans="1:37" x14ac:dyDescent="0.3">
      <c r="A354" s="1">
        <v>44420</v>
      </c>
      <c r="B354">
        <v>1.1727000000000001</v>
      </c>
      <c r="C354">
        <v>1.3804000000000001</v>
      </c>
      <c r="D354">
        <v>110.38</v>
      </c>
      <c r="G354">
        <v>1.1727000000000001</v>
      </c>
      <c r="H354">
        <f t="shared" si="31"/>
        <v>1.1737</v>
      </c>
      <c r="I354">
        <f t="shared" si="31"/>
        <v>1.1718</v>
      </c>
      <c r="J354">
        <f t="shared" si="31"/>
        <v>1.1737</v>
      </c>
      <c r="L354">
        <f t="shared" si="30"/>
        <v>-9.9999999999988987E-4</v>
      </c>
      <c r="W354">
        <f t="shared" si="32"/>
        <v>-1.8115942028994775E-4</v>
      </c>
      <c r="X354">
        <f t="shared" si="33"/>
        <v>-1.4471780028943251E-3</v>
      </c>
      <c r="Y354">
        <f t="shared" si="33"/>
        <v>2.5389916575988495E-3</v>
      </c>
      <c r="Z354">
        <f t="shared" si="33"/>
        <v>2.7210884353742526E-4</v>
      </c>
      <c r="AE354">
        <f>W354-mu-theta*AE353</f>
        <v>-6.9622617676406561E-4</v>
      </c>
      <c r="AF354">
        <f t="shared" si="35"/>
        <v>-1.0778604495171311E-3</v>
      </c>
      <c r="AG354">
        <f t="shared" si="35"/>
        <v>2.5852363714374059E-3</v>
      </c>
      <c r="AK354">
        <f t="shared" si="34"/>
        <v>4.8473088921150796E-7</v>
      </c>
    </row>
    <row r="355" spans="1:37" x14ac:dyDescent="0.3">
      <c r="A355" s="1">
        <v>44421</v>
      </c>
      <c r="B355">
        <v>1.1791</v>
      </c>
      <c r="C355">
        <v>1.3863000000000001</v>
      </c>
      <c r="D355">
        <v>109.57</v>
      </c>
      <c r="G355">
        <v>1.1791</v>
      </c>
      <c r="H355">
        <f t="shared" si="31"/>
        <v>1.1727000000000001</v>
      </c>
      <c r="I355">
        <f t="shared" si="31"/>
        <v>1.1737</v>
      </c>
      <c r="J355">
        <f t="shared" si="31"/>
        <v>1.1718</v>
      </c>
      <c r="L355">
        <f t="shared" si="30"/>
        <v>6.3999999999999613E-3</v>
      </c>
      <c r="W355">
        <f t="shared" si="32"/>
        <v>-7.3382859213625869E-3</v>
      </c>
      <c r="X355">
        <f t="shared" si="33"/>
        <v>-1.8115942028994775E-4</v>
      </c>
      <c r="Y355">
        <f t="shared" si="33"/>
        <v>-1.4471780028943251E-3</v>
      </c>
      <c r="Z355">
        <f t="shared" si="33"/>
        <v>2.5389916575988495E-3</v>
      </c>
      <c r="AE355">
        <f>W355-mu-theta*AE354</f>
        <v>-7.7612144190296727E-3</v>
      </c>
      <c r="AF355">
        <f t="shared" si="35"/>
        <v>-6.9622617676406561E-4</v>
      </c>
      <c r="AG355">
        <f t="shared" si="35"/>
        <v>-1.0778604495171311E-3</v>
      </c>
      <c r="AK355">
        <f t="shared" si="34"/>
        <v>6.0236449258154099E-5</v>
      </c>
    </row>
    <row r="356" spans="1:37" x14ac:dyDescent="0.3">
      <c r="A356" s="1">
        <v>44424</v>
      </c>
      <c r="B356">
        <v>1.1777</v>
      </c>
      <c r="C356">
        <v>1.385</v>
      </c>
      <c r="D356">
        <v>109.23</v>
      </c>
      <c r="G356">
        <v>1.1777</v>
      </c>
      <c r="H356">
        <f t="shared" si="31"/>
        <v>1.1791</v>
      </c>
      <c r="I356">
        <f t="shared" si="31"/>
        <v>1.1727000000000001</v>
      </c>
      <c r="J356">
        <f t="shared" si="31"/>
        <v>1.1737</v>
      </c>
      <c r="L356">
        <f t="shared" si="30"/>
        <v>-1.4000000000000679E-3</v>
      </c>
      <c r="W356">
        <f t="shared" si="32"/>
        <v>-3.1030391530527447E-3</v>
      </c>
      <c r="X356">
        <f t="shared" si="33"/>
        <v>-7.3382859213625869E-3</v>
      </c>
      <c r="Y356">
        <f t="shared" si="33"/>
        <v>-1.8115942028994775E-4</v>
      </c>
      <c r="Z356">
        <f t="shared" si="33"/>
        <v>-1.4471780028943251E-3</v>
      </c>
      <c r="AE356">
        <f>W356-mu-theta*AE355</f>
        <v>-5.2316732479624232E-3</v>
      </c>
      <c r="AF356">
        <f t="shared" si="35"/>
        <v>-7.7612144190296727E-3</v>
      </c>
      <c r="AG356">
        <f t="shared" si="35"/>
        <v>-6.9622617676406561E-4</v>
      </c>
      <c r="AK356">
        <f t="shared" si="34"/>
        <v>2.7370404973445692E-5</v>
      </c>
    </row>
    <row r="357" spans="1:37" x14ac:dyDescent="0.3">
      <c r="A357" s="1">
        <v>44425</v>
      </c>
      <c r="B357">
        <v>1.1708000000000001</v>
      </c>
      <c r="C357">
        <v>1.3738999999999999</v>
      </c>
      <c r="D357">
        <v>109.57</v>
      </c>
      <c r="G357">
        <v>1.1708000000000001</v>
      </c>
      <c r="H357">
        <f t="shared" si="31"/>
        <v>1.1777</v>
      </c>
      <c r="I357">
        <f t="shared" si="31"/>
        <v>1.1791</v>
      </c>
      <c r="J357">
        <f t="shared" si="31"/>
        <v>1.1727000000000001</v>
      </c>
      <c r="L357">
        <f t="shared" si="30"/>
        <v>-6.8999999999999062E-3</v>
      </c>
      <c r="W357">
        <f t="shared" si="32"/>
        <v>3.1126979767462162E-3</v>
      </c>
      <c r="X357">
        <f t="shared" si="33"/>
        <v>-3.1030391530527447E-3</v>
      </c>
      <c r="Y357">
        <f t="shared" si="33"/>
        <v>-7.3382859213625869E-3</v>
      </c>
      <c r="Z357">
        <f t="shared" si="33"/>
        <v>-1.8115942028994775E-4</v>
      </c>
      <c r="AE357">
        <f>W357-mu-theta*AE356</f>
        <v>1.5947729709377765E-3</v>
      </c>
      <c r="AF357">
        <f t="shared" si="35"/>
        <v>-5.2316732479624232E-3</v>
      </c>
      <c r="AG357">
        <f t="shared" si="35"/>
        <v>-7.7612144190296727E-3</v>
      </c>
      <c r="AK357">
        <f t="shared" si="34"/>
        <v>2.5433008288337022E-6</v>
      </c>
    </row>
    <row r="358" spans="1:37" x14ac:dyDescent="0.3">
      <c r="A358" s="1">
        <v>44426</v>
      </c>
      <c r="B358">
        <v>1.171</v>
      </c>
      <c r="C358">
        <v>1.3754999999999999</v>
      </c>
      <c r="D358">
        <v>109.74</v>
      </c>
      <c r="G358">
        <v>1.171</v>
      </c>
      <c r="H358">
        <f t="shared" si="31"/>
        <v>1.1708000000000001</v>
      </c>
      <c r="I358">
        <f t="shared" si="31"/>
        <v>1.1777</v>
      </c>
      <c r="J358">
        <f t="shared" si="31"/>
        <v>1.1791</v>
      </c>
      <c r="L358">
        <f t="shared" si="30"/>
        <v>1.9999999999997797E-4</v>
      </c>
      <c r="W358">
        <f t="shared" si="32"/>
        <v>1.5515195765264372E-3</v>
      </c>
      <c r="X358">
        <f t="shared" si="33"/>
        <v>3.1126979767462162E-3</v>
      </c>
      <c r="Y358">
        <f t="shared" si="33"/>
        <v>-3.1030391530527447E-3</v>
      </c>
      <c r="Z358">
        <f t="shared" si="33"/>
        <v>-7.3382859213625869E-3</v>
      </c>
      <c r="AE358">
        <f>W358-mu-theta*AE357</f>
        <v>1.6817087820333197E-3</v>
      </c>
      <c r="AF358">
        <f t="shared" si="35"/>
        <v>1.5947729709377765E-3</v>
      </c>
      <c r="AG358">
        <f t="shared" si="35"/>
        <v>-5.2316732479624232E-3</v>
      </c>
      <c r="AK358">
        <f t="shared" si="34"/>
        <v>2.8281444275679915E-6</v>
      </c>
    </row>
    <row r="359" spans="1:37" x14ac:dyDescent="0.3">
      <c r="A359" s="1">
        <v>44427</v>
      </c>
      <c r="B359">
        <v>1.1674</v>
      </c>
      <c r="C359">
        <v>1.3637999999999999</v>
      </c>
      <c r="D359">
        <v>109.72</v>
      </c>
      <c r="G359">
        <v>1.1674</v>
      </c>
      <c r="H359">
        <f t="shared" si="31"/>
        <v>1.171</v>
      </c>
      <c r="I359">
        <f t="shared" si="31"/>
        <v>1.1708000000000001</v>
      </c>
      <c r="J359">
        <f t="shared" si="31"/>
        <v>1.1777</v>
      </c>
      <c r="L359">
        <f t="shared" si="30"/>
        <v>-3.6000000000000476E-3</v>
      </c>
      <c r="W359">
        <f t="shared" si="32"/>
        <v>-1.8224895206848935E-4</v>
      </c>
      <c r="X359">
        <f t="shared" si="33"/>
        <v>1.5515195765264372E-3</v>
      </c>
      <c r="Y359">
        <f t="shared" si="33"/>
        <v>3.1126979767462162E-3</v>
      </c>
      <c r="Z359">
        <f t="shared" si="33"/>
        <v>-3.1030391530527447E-3</v>
      </c>
      <c r="AE359">
        <f>W359-mu-theta*AE358</f>
        <v>-3.1070766183779466E-5</v>
      </c>
      <c r="AF359">
        <f t="shared" si="35"/>
        <v>1.6817087820333197E-3</v>
      </c>
      <c r="AG359">
        <f t="shared" si="35"/>
        <v>1.5947729709377765E-3</v>
      </c>
      <c r="AK359">
        <f t="shared" si="34"/>
        <v>9.653925112470936E-10</v>
      </c>
    </row>
    <row r="360" spans="1:37" x14ac:dyDescent="0.3">
      <c r="A360" s="1">
        <v>44428</v>
      </c>
      <c r="B360">
        <v>1.1696</v>
      </c>
      <c r="C360">
        <v>1.3621000000000001</v>
      </c>
      <c r="D360">
        <v>109.8</v>
      </c>
      <c r="G360">
        <v>1.1696</v>
      </c>
      <c r="H360">
        <f t="shared" si="31"/>
        <v>1.1674</v>
      </c>
      <c r="I360">
        <f t="shared" si="31"/>
        <v>1.171</v>
      </c>
      <c r="J360">
        <f t="shared" si="31"/>
        <v>1.1708000000000001</v>
      </c>
      <c r="L360">
        <f t="shared" si="30"/>
        <v>2.1999999999999797E-3</v>
      </c>
      <c r="W360">
        <f t="shared" si="32"/>
        <v>7.2912869121398373E-4</v>
      </c>
      <c r="X360">
        <f t="shared" si="33"/>
        <v>-1.8224895206848935E-4</v>
      </c>
      <c r="Y360">
        <f t="shared" si="33"/>
        <v>1.5515195765264372E-3</v>
      </c>
      <c r="Z360">
        <f t="shared" si="33"/>
        <v>3.1126979767462162E-3</v>
      </c>
      <c r="AE360">
        <f>W360-mu-theta*AE359</f>
        <v>4.667891808116751E-4</v>
      </c>
      <c r="AF360">
        <f t="shared" si="35"/>
        <v>-3.1070766183779466E-5</v>
      </c>
      <c r="AG360">
        <f t="shared" si="35"/>
        <v>1.6817087820333197E-3</v>
      </c>
      <c r="AK360">
        <f t="shared" si="34"/>
        <v>2.178921393228347E-7</v>
      </c>
    </row>
    <row r="361" spans="1:37" x14ac:dyDescent="0.3">
      <c r="A361" s="1">
        <v>44431</v>
      </c>
      <c r="B361">
        <v>1.1742999999999999</v>
      </c>
      <c r="C361">
        <v>1.3716999999999999</v>
      </c>
      <c r="D361">
        <v>109.68</v>
      </c>
      <c r="G361">
        <v>1.1742999999999999</v>
      </c>
      <c r="H361">
        <f t="shared" si="31"/>
        <v>1.1696</v>
      </c>
      <c r="I361">
        <f t="shared" si="31"/>
        <v>1.1674</v>
      </c>
      <c r="J361">
        <f t="shared" si="31"/>
        <v>1.171</v>
      </c>
      <c r="L361">
        <f t="shared" si="30"/>
        <v>4.6999999999999265E-3</v>
      </c>
      <c r="W361">
        <f t="shared" si="32"/>
        <v>-1.0928961748632999E-3</v>
      </c>
      <c r="X361">
        <f t="shared" si="33"/>
        <v>7.2912869121398373E-4</v>
      </c>
      <c r="Y361">
        <f t="shared" si="33"/>
        <v>-1.8224895206848935E-4</v>
      </c>
      <c r="Z361">
        <f t="shared" si="33"/>
        <v>1.5515195765264372E-3</v>
      </c>
      <c r="AE361">
        <f>W361-mu-theta*AE360</f>
        <v>-1.2350369716778384E-3</v>
      </c>
      <c r="AF361">
        <f t="shared" si="35"/>
        <v>4.667891808116751E-4</v>
      </c>
      <c r="AG361">
        <f t="shared" si="35"/>
        <v>-3.1070766183779466E-5</v>
      </c>
      <c r="AK361">
        <f t="shared" si="34"/>
        <v>1.5253163214111657E-6</v>
      </c>
    </row>
    <row r="362" spans="1:37" x14ac:dyDescent="0.3">
      <c r="A362" s="1">
        <v>44432</v>
      </c>
      <c r="B362">
        <v>1.1753</v>
      </c>
      <c r="C362">
        <v>1.3727</v>
      </c>
      <c r="D362">
        <v>109.62</v>
      </c>
      <c r="G362">
        <v>1.1753</v>
      </c>
      <c r="H362">
        <f t="shared" si="31"/>
        <v>1.1742999999999999</v>
      </c>
      <c r="I362">
        <f t="shared" si="31"/>
        <v>1.1696</v>
      </c>
      <c r="J362">
        <f t="shared" si="31"/>
        <v>1.1674</v>
      </c>
      <c r="L362">
        <f t="shared" si="30"/>
        <v>1.0000000000001119E-3</v>
      </c>
      <c r="W362">
        <f t="shared" si="32"/>
        <v>-5.4704595185997692E-4</v>
      </c>
      <c r="X362">
        <f t="shared" si="33"/>
        <v>-1.0928961748632999E-3</v>
      </c>
      <c r="Y362">
        <f t="shared" si="33"/>
        <v>7.2912869121398373E-4</v>
      </c>
      <c r="Z362">
        <f t="shared" si="33"/>
        <v>-1.8224895206848935E-4</v>
      </c>
      <c r="AE362">
        <f>W362-mu-theta*AE361</f>
        <v>-1.1000599581257901E-3</v>
      </c>
      <c r="AF362">
        <f t="shared" si="35"/>
        <v>-1.2350369716778384E-3</v>
      </c>
      <c r="AG362">
        <f t="shared" si="35"/>
        <v>4.667891808116751E-4</v>
      </c>
      <c r="AK362">
        <f t="shared" si="34"/>
        <v>1.2101319114717151E-6</v>
      </c>
    </row>
    <row r="363" spans="1:37" x14ac:dyDescent="0.3">
      <c r="A363" s="1">
        <v>44433</v>
      </c>
      <c r="B363">
        <v>1.177</v>
      </c>
      <c r="C363">
        <v>1.3758999999999999</v>
      </c>
      <c r="D363">
        <v>109.99</v>
      </c>
      <c r="G363">
        <v>1.177</v>
      </c>
      <c r="H363">
        <f t="shared" si="31"/>
        <v>1.1753</v>
      </c>
      <c r="I363">
        <f t="shared" si="31"/>
        <v>1.1742999999999999</v>
      </c>
      <c r="J363">
        <f t="shared" si="31"/>
        <v>1.1696</v>
      </c>
      <c r="L363">
        <f t="shared" si="30"/>
        <v>1.7000000000000348E-3</v>
      </c>
      <c r="W363">
        <f t="shared" si="32"/>
        <v>3.3752964787446662E-3</v>
      </c>
      <c r="X363">
        <f t="shared" si="33"/>
        <v>-5.4704595185997692E-4</v>
      </c>
      <c r="Y363">
        <f t="shared" si="33"/>
        <v>-1.0928961748632999E-3</v>
      </c>
      <c r="Z363">
        <f t="shared" si="33"/>
        <v>7.2912869121398373E-4</v>
      </c>
      <c r="AE363">
        <f>W363-mu-theta*AE362</f>
        <v>2.8548700776694015E-3</v>
      </c>
      <c r="AF363">
        <f t="shared" si="35"/>
        <v>-1.1000599581257901E-3</v>
      </c>
      <c r="AG363">
        <f t="shared" si="35"/>
        <v>-1.2350369716778384E-3</v>
      </c>
      <c r="AK363">
        <f t="shared" si="34"/>
        <v>8.1502831603720944E-6</v>
      </c>
    </row>
    <row r="364" spans="1:37" x14ac:dyDescent="0.3">
      <c r="A364" s="1">
        <v>44434</v>
      </c>
      <c r="B364">
        <v>1.175</v>
      </c>
      <c r="C364">
        <v>1.3698999999999999</v>
      </c>
      <c r="D364">
        <v>110.07</v>
      </c>
      <c r="G364">
        <v>1.175</v>
      </c>
      <c r="H364">
        <f t="shared" si="31"/>
        <v>1.177</v>
      </c>
      <c r="I364">
        <f t="shared" si="31"/>
        <v>1.1753</v>
      </c>
      <c r="J364">
        <f t="shared" si="31"/>
        <v>1.1742999999999999</v>
      </c>
      <c r="L364">
        <f t="shared" si="30"/>
        <v>-2.0000000000000018E-3</v>
      </c>
      <c r="W364">
        <f t="shared" si="32"/>
        <v>7.2733884898625598E-4</v>
      </c>
      <c r="X364">
        <f t="shared" si="33"/>
        <v>3.3752964787446662E-3</v>
      </c>
      <c r="Y364">
        <f t="shared" si="33"/>
        <v>-5.4704595185997692E-4</v>
      </c>
      <c r="Z364">
        <f t="shared" si="33"/>
        <v>-1.0928961748632999E-3</v>
      </c>
      <c r="AE364">
        <f>W364-mu-theta*AE363</f>
        <v>1.1617542774276686E-3</v>
      </c>
      <c r="AF364">
        <f t="shared" si="35"/>
        <v>2.8548700776694015E-3</v>
      </c>
      <c r="AG364">
        <f t="shared" si="35"/>
        <v>-1.1000599581257901E-3</v>
      </c>
      <c r="AK364">
        <f t="shared" si="34"/>
        <v>1.3496730011214844E-6</v>
      </c>
    </row>
    <row r="365" spans="1:37" x14ac:dyDescent="0.3">
      <c r="A365" s="1">
        <v>44435</v>
      </c>
      <c r="B365">
        <v>1.1793</v>
      </c>
      <c r="C365">
        <v>1.3756999999999999</v>
      </c>
      <c r="D365">
        <v>109.82</v>
      </c>
      <c r="G365">
        <v>1.1793</v>
      </c>
      <c r="H365">
        <f t="shared" si="31"/>
        <v>1.175</v>
      </c>
      <c r="I365">
        <f t="shared" si="31"/>
        <v>1.177</v>
      </c>
      <c r="J365">
        <f t="shared" si="31"/>
        <v>1.1753</v>
      </c>
      <c r="L365">
        <f t="shared" si="30"/>
        <v>4.2999999999999705E-3</v>
      </c>
      <c r="W365">
        <f t="shared" si="32"/>
        <v>-2.2712819115108568E-3</v>
      </c>
      <c r="X365">
        <f t="shared" si="33"/>
        <v>7.2733884898625598E-4</v>
      </c>
      <c r="Y365">
        <f t="shared" si="33"/>
        <v>3.3752964787446662E-3</v>
      </c>
      <c r="Z365">
        <f t="shared" si="33"/>
        <v>-5.4704595185997692E-4</v>
      </c>
      <c r="AE365">
        <f>W365-mu-theta*AE364</f>
        <v>-2.2456367454140114E-3</v>
      </c>
      <c r="AF365">
        <f t="shared" si="35"/>
        <v>1.1617542774276686E-3</v>
      </c>
      <c r="AG365">
        <f t="shared" si="35"/>
        <v>2.8548700776694015E-3</v>
      </c>
      <c r="AK365">
        <f t="shared" si="34"/>
        <v>5.0428843923536335E-6</v>
      </c>
    </row>
    <row r="366" spans="1:37" x14ac:dyDescent="0.3">
      <c r="A366" s="1">
        <v>44438</v>
      </c>
      <c r="B366">
        <v>1.1795</v>
      </c>
      <c r="C366">
        <v>1.3757999999999999</v>
      </c>
      <c r="D366">
        <v>109.92</v>
      </c>
      <c r="G366">
        <v>1.1795</v>
      </c>
      <c r="H366">
        <f t="shared" si="31"/>
        <v>1.1793</v>
      </c>
      <c r="I366">
        <f t="shared" si="31"/>
        <v>1.175</v>
      </c>
      <c r="J366">
        <f t="shared" si="31"/>
        <v>1.177</v>
      </c>
      <c r="L366">
        <f t="shared" si="30"/>
        <v>1.9999999999997797E-4</v>
      </c>
      <c r="W366">
        <f t="shared" si="32"/>
        <v>9.1058095064659012E-4</v>
      </c>
      <c r="X366">
        <f t="shared" si="33"/>
        <v>-2.2712819115108568E-3</v>
      </c>
      <c r="Y366">
        <f t="shared" si="33"/>
        <v>7.2733884898625598E-4</v>
      </c>
      <c r="Z366">
        <f t="shared" si="33"/>
        <v>3.3752964787446662E-3</v>
      </c>
      <c r="AE366">
        <f>W366-mu-theta*AE365</f>
        <v>1.1357705628421819E-4</v>
      </c>
      <c r="AF366">
        <f t="shared" si="35"/>
        <v>-2.2456367454140114E-3</v>
      </c>
      <c r="AG366">
        <f t="shared" si="35"/>
        <v>1.1617542774276686E-3</v>
      </c>
      <c r="AK366">
        <f t="shared" si="34"/>
        <v>1.2899747714188466E-8</v>
      </c>
    </row>
    <row r="367" spans="1:37" x14ac:dyDescent="0.3">
      <c r="A367" s="1">
        <v>44439</v>
      </c>
      <c r="B367">
        <v>1.1807000000000001</v>
      </c>
      <c r="C367">
        <v>1.3754</v>
      </c>
      <c r="D367">
        <v>110.02</v>
      </c>
      <c r="G367">
        <v>1.1807000000000001</v>
      </c>
      <c r="H367">
        <f t="shared" si="31"/>
        <v>1.1795</v>
      </c>
      <c r="I367">
        <f t="shared" si="31"/>
        <v>1.1793</v>
      </c>
      <c r="J367">
        <f t="shared" si="31"/>
        <v>1.175</v>
      </c>
      <c r="L367">
        <f t="shared" si="30"/>
        <v>1.2000000000000899E-3</v>
      </c>
      <c r="W367">
        <f t="shared" si="32"/>
        <v>9.0975254730708073E-4</v>
      </c>
      <c r="X367">
        <f t="shared" si="33"/>
        <v>9.1058095064659012E-4</v>
      </c>
      <c r="Y367">
        <f t="shared" si="33"/>
        <v>-2.2712819115108568E-3</v>
      </c>
      <c r="Z367">
        <f t="shared" si="33"/>
        <v>7.2733884898625598E-4</v>
      </c>
      <c r="AE367">
        <f>W367-mu-theta*AE366</f>
        <v>6.823354730012115E-4</v>
      </c>
      <c r="AF367">
        <f t="shared" si="35"/>
        <v>1.1357705628421819E-4</v>
      </c>
      <c r="AG367">
        <f t="shared" si="35"/>
        <v>-2.2456367454140114E-3</v>
      </c>
      <c r="AK367">
        <f t="shared" si="34"/>
        <v>4.6558169771578702E-7</v>
      </c>
    </row>
    <row r="368" spans="1:37" x14ac:dyDescent="0.3">
      <c r="A368" s="1">
        <v>44440</v>
      </c>
      <c r="B368">
        <v>1.1837</v>
      </c>
      <c r="C368">
        <v>1.3768</v>
      </c>
      <c r="D368">
        <v>109.99</v>
      </c>
      <c r="G368">
        <v>1.1837</v>
      </c>
      <c r="H368">
        <f t="shared" si="31"/>
        <v>1.1807000000000001</v>
      </c>
      <c r="I368">
        <f t="shared" si="31"/>
        <v>1.1795</v>
      </c>
      <c r="J368">
        <f t="shared" si="31"/>
        <v>1.1793</v>
      </c>
      <c r="L368">
        <f t="shared" si="30"/>
        <v>2.9999999999998916E-3</v>
      </c>
      <c r="W368">
        <f t="shared" si="32"/>
        <v>-2.7267769496456222E-4</v>
      </c>
      <c r="X368">
        <f t="shared" si="33"/>
        <v>9.0975254730708073E-4</v>
      </c>
      <c r="Y368">
        <f t="shared" si="33"/>
        <v>9.1058095064659012E-4</v>
      </c>
      <c r="Z368">
        <f t="shared" si="33"/>
        <v>-2.2712819115108568E-3</v>
      </c>
      <c r="AE368">
        <f>W368-mu-theta*AE367</f>
        <v>-3.6277898308563982E-4</v>
      </c>
      <c r="AF368">
        <f t="shared" si="35"/>
        <v>6.823354730012115E-4</v>
      </c>
      <c r="AG368">
        <f t="shared" si="35"/>
        <v>1.1357705628421819E-4</v>
      </c>
      <c r="AK368">
        <f t="shared" si="34"/>
        <v>1.3160859056865093E-7</v>
      </c>
    </row>
    <row r="369" spans="1:37" x14ac:dyDescent="0.3">
      <c r="A369" s="1">
        <v>44441</v>
      </c>
      <c r="B369">
        <v>1.1873</v>
      </c>
      <c r="C369">
        <v>1.3829</v>
      </c>
      <c r="D369">
        <v>109.92</v>
      </c>
      <c r="G369">
        <v>1.1873</v>
      </c>
      <c r="H369">
        <f t="shared" si="31"/>
        <v>1.1837</v>
      </c>
      <c r="I369">
        <f t="shared" si="31"/>
        <v>1.1807000000000001</v>
      </c>
      <c r="J369">
        <f t="shared" si="31"/>
        <v>1.1795</v>
      </c>
      <c r="L369">
        <f t="shared" si="30"/>
        <v>3.6000000000000476E-3</v>
      </c>
      <c r="W369">
        <f t="shared" si="32"/>
        <v>-6.3642149286292557E-4</v>
      </c>
      <c r="X369">
        <f t="shared" si="33"/>
        <v>-2.7267769496456222E-4</v>
      </c>
      <c r="Y369">
        <f t="shared" si="33"/>
        <v>9.0975254730708073E-4</v>
      </c>
      <c r="Z369">
        <f t="shared" si="33"/>
        <v>9.1058095064659012E-4</v>
      </c>
      <c r="AE369">
        <f>W369-mu-theta*AE368</f>
        <v>-9.7884557564088793E-4</v>
      </c>
      <c r="AF369">
        <f t="shared" si="35"/>
        <v>-3.6277898308563982E-4</v>
      </c>
      <c r="AG369">
        <f t="shared" si="35"/>
        <v>6.823354730012115E-4</v>
      </c>
      <c r="AK369">
        <f t="shared" si="34"/>
        <v>9.5813866095174129E-7</v>
      </c>
    </row>
    <row r="370" spans="1:37" x14ac:dyDescent="0.3">
      <c r="A370" s="1">
        <v>44442</v>
      </c>
      <c r="B370">
        <v>1.1881999999999999</v>
      </c>
      <c r="C370">
        <v>1.3865000000000001</v>
      </c>
      <c r="D370">
        <v>109.73</v>
      </c>
      <c r="G370">
        <v>1.1881999999999999</v>
      </c>
      <c r="H370">
        <f t="shared" si="31"/>
        <v>1.1873</v>
      </c>
      <c r="I370">
        <f t="shared" si="31"/>
        <v>1.1837</v>
      </c>
      <c r="J370">
        <f t="shared" si="31"/>
        <v>1.1807000000000001</v>
      </c>
      <c r="L370">
        <f t="shared" si="30"/>
        <v>8.9999999999990088E-4</v>
      </c>
      <c r="W370">
        <f t="shared" si="32"/>
        <v>-1.7285298398835309E-3</v>
      </c>
      <c r="X370">
        <f t="shared" si="33"/>
        <v>-6.3642149286292557E-4</v>
      </c>
      <c r="Y370">
        <f t="shared" si="33"/>
        <v>-2.7267769496456222E-4</v>
      </c>
      <c r="Z370">
        <f t="shared" si="33"/>
        <v>9.0975254730708073E-4</v>
      </c>
      <c r="AE370">
        <f>W370-mu-theta*AE369</f>
        <v>-2.2196913584733718E-3</v>
      </c>
      <c r="AF370">
        <f t="shared" si="35"/>
        <v>-9.7884557564088793E-4</v>
      </c>
      <c r="AG370">
        <f t="shared" si="35"/>
        <v>-3.6277898308563982E-4</v>
      </c>
      <c r="AK370">
        <f t="shared" si="34"/>
        <v>4.9270297268813632E-6</v>
      </c>
    </row>
    <row r="371" spans="1:37" x14ac:dyDescent="0.3">
      <c r="A371" s="1">
        <v>44445</v>
      </c>
      <c r="B371">
        <v>1.1868000000000001</v>
      </c>
      <c r="C371">
        <v>1.3834</v>
      </c>
      <c r="D371">
        <v>109.83</v>
      </c>
      <c r="G371">
        <v>1.1868000000000001</v>
      </c>
      <c r="H371">
        <f t="shared" si="31"/>
        <v>1.1881999999999999</v>
      </c>
      <c r="I371">
        <f t="shared" si="31"/>
        <v>1.1873</v>
      </c>
      <c r="J371">
        <f t="shared" si="31"/>
        <v>1.1837</v>
      </c>
      <c r="L371">
        <f t="shared" si="30"/>
        <v>-1.3999999999998458E-3</v>
      </c>
      <c r="W371">
        <f t="shared" si="32"/>
        <v>9.1132780461126691E-4</v>
      </c>
      <c r="X371">
        <f t="shared" si="33"/>
        <v>-1.7285298398835309E-3</v>
      </c>
      <c r="Y371">
        <f t="shared" si="33"/>
        <v>-6.3642149286292557E-4</v>
      </c>
      <c r="Z371">
        <f t="shared" si="33"/>
        <v>-2.7267769496456222E-4</v>
      </c>
      <c r="AE371">
        <f>W371-mu-theta*AE370</f>
        <v>1.2058792516437948E-4</v>
      </c>
      <c r="AF371">
        <f t="shared" si="35"/>
        <v>-2.2196913584733718E-3</v>
      </c>
      <c r="AG371">
        <f t="shared" si="35"/>
        <v>-9.7884557564088793E-4</v>
      </c>
      <c r="AK371">
        <f t="shared" si="34"/>
        <v>1.4541447695449985E-8</v>
      </c>
    </row>
    <row r="372" spans="1:37" x14ac:dyDescent="0.3">
      <c r="A372" s="1">
        <v>44446</v>
      </c>
      <c r="B372">
        <v>1.1839</v>
      </c>
      <c r="C372">
        <v>1.3782000000000001</v>
      </c>
      <c r="D372">
        <v>110.27</v>
      </c>
      <c r="G372">
        <v>1.1839</v>
      </c>
      <c r="H372">
        <f t="shared" si="31"/>
        <v>1.1868000000000001</v>
      </c>
      <c r="I372">
        <f t="shared" si="31"/>
        <v>1.1881999999999999</v>
      </c>
      <c r="J372">
        <f t="shared" si="31"/>
        <v>1.1873</v>
      </c>
      <c r="L372">
        <f t="shared" si="30"/>
        <v>-2.9000000000001247E-3</v>
      </c>
      <c r="W372">
        <f t="shared" si="32"/>
        <v>4.0061913866884982E-3</v>
      </c>
      <c r="X372">
        <f t="shared" si="33"/>
        <v>9.1132780461126691E-4</v>
      </c>
      <c r="Y372">
        <f t="shared" si="33"/>
        <v>-1.7285298398835309E-3</v>
      </c>
      <c r="Z372">
        <f t="shared" si="33"/>
        <v>-6.3642149286292557E-4</v>
      </c>
      <c r="AE372">
        <f>W372-mu-theta*AE371</f>
        <v>3.7804669519002554E-3</v>
      </c>
      <c r="AF372">
        <f t="shared" si="35"/>
        <v>1.2058792516437948E-4</v>
      </c>
      <c r="AG372">
        <f t="shared" si="35"/>
        <v>-2.2196913584733718E-3</v>
      </c>
      <c r="AK372">
        <f t="shared" si="34"/>
        <v>1.4291930374410008E-5</v>
      </c>
    </row>
    <row r="373" spans="1:37" x14ac:dyDescent="0.3">
      <c r="A373" s="1">
        <v>44447</v>
      </c>
      <c r="B373">
        <v>1.1813</v>
      </c>
      <c r="C373">
        <v>1.3768</v>
      </c>
      <c r="D373">
        <v>110.23</v>
      </c>
      <c r="G373">
        <v>1.1813</v>
      </c>
      <c r="H373">
        <f t="shared" si="31"/>
        <v>1.1839</v>
      </c>
      <c r="I373">
        <f t="shared" si="31"/>
        <v>1.1868000000000001</v>
      </c>
      <c r="J373">
        <f t="shared" si="31"/>
        <v>1.1881999999999999</v>
      </c>
      <c r="L373">
        <f t="shared" si="30"/>
        <v>-2.5999999999999357E-3</v>
      </c>
      <c r="W373">
        <f t="shared" si="32"/>
        <v>-3.6274598712244529E-4</v>
      </c>
      <c r="X373">
        <f t="shared" si="33"/>
        <v>4.0061913866884982E-3</v>
      </c>
      <c r="Y373">
        <f t="shared" si="33"/>
        <v>9.1132780461126691E-4</v>
      </c>
      <c r="Z373">
        <f t="shared" si="33"/>
        <v>-1.7285298398835309E-3</v>
      </c>
      <c r="AE373">
        <f>W373-mu-theta*AE372</f>
        <v>2.9513701338381858E-4</v>
      </c>
      <c r="AF373">
        <f t="shared" si="35"/>
        <v>3.7804669519002554E-3</v>
      </c>
      <c r="AG373">
        <f t="shared" si="35"/>
        <v>1.2058792516437948E-4</v>
      </c>
      <c r="AK373">
        <f t="shared" si="34"/>
        <v>8.7105856669120314E-8</v>
      </c>
    </row>
    <row r="374" spans="1:37" x14ac:dyDescent="0.3">
      <c r="A374" s="1">
        <v>44448</v>
      </c>
      <c r="B374">
        <v>1.1825000000000001</v>
      </c>
      <c r="C374">
        <v>1.3835</v>
      </c>
      <c r="D374">
        <v>109.7</v>
      </c>
      <c r="G374">
        <v>1.1825000000000001</v>
      </c>
      <c r="H374">
        <f t="shared" si="31"/>
        <v>1.1813</v>
      </c>
      <c r="I374">
        <f t="shared" si="31"/>
        <v>1.1839</v>
      </c>
      <c r="J374">
        <f t="shared" si="31"/>
        <v>1.1868000000000001</v>
      </c>
      <c r="L374">
        <f t="shared" si="30"/>
        <v>1.2000000000000899E-3</v>
      </c>
      <c r="W374">
        <f t="shared" si="32"/>
        <v>-4.808128458677321E-3</v>
      </c>
      <c r="X374">
        <f t="shared" si="33"/>
        <v>-3.6274598712244529E-4</v>
      </c>
      <c r="Y374">
        <f t="shared" si="33"/>
        <v>4.0061913866884982E-3</v>
      </c>
      <c r="Z374">
        <f t="shared" si="33"/>
        <v>9.1132780461126691E-4</v>
      </c>
      <c r="AE374">
        <f>W374-mu-theta*AE373</f>
        <v>-4.9917113715606367E-3</v>
      </c>
      <c r="AF374">
        <f t="shared" si="35"/>
        <v>2.9513701338381858E-4</v>
      </c>
      <c r="AG374">
        <f t="shared" si="35"/>
        <v>3.7804669519002554E-3</v>
      </c>
      <c r="AK374">
        <f t="shared" si="34"/>
        <v>2.4917182416967774E-5</v>
      </c>
    </row>
    <row r="375" spans="1:37" x14ac:dyDescent="0.3">
      <c r="A375" s="1">
        <v>44449</v>
      </c>
      <c r="B375">
        <v>1.1814</v>
      </c>
      <c r="C375">
        <v>1.3838999999999999</v>
      </c>
      <c r="D375">
        <v>109.93</v>
      </c>
      <c r="G375">
        <v>1.1814</v>
      </c>
      <c r="H375">
        <f t="shared" si="31"/>
        <v>1.1825000000000001</v>
      </c>
      <c r="I375">
        <f t="shared" si="31"/>
        <v>1.1813</v>
      </c>
      <c r="J375">
        <f t="shared" si="31"/>
        <v>1.1839</v>
      </c>
      <c r="L375">
        <f t="shared" si="30"/>
        <v>-1.1000000000001009E-3</v>
      </c>
      <c r="W375">
        <f t="shared" si="32"/>
        <v>2.0966271649954784E-3</v>
      </c>
      <c r="X375">
        <f t="shared" si="33"/>
        <v>-4.808128458677321E-3</v>
      </c>
      <c r="Y375">
        <f t="shared" si="33"/>
        <v>-3.6274598712244529E-4</v>
      </c>
      <c r="Z375">
        <f t="shared" si="33"/>
        <v>4.0061913866884982E-3</v>
      </c>
      <c r="AE375">
        <f>W375-mu-theta*AE374</f>
        <v>6.3663634133538823E-4</v>
      </c>
      <c r="AF375">
        <f t="shared" si="35"/>
        <v>-4.9917113715606367E-3</v>
      </c>
      <c r="AG375">
        <f t="shared" si="35"/>
        <v>2.9513701338381858E-4</v>
      </c>
      <c r="AK375">
        <f t="shared" si="34"/>
        <v>4.0530583110890894E-7</v>
      </c>
    </row>
    <row r="376" spans="1:37" x14ac:dyDescent="0.3">
      <c r="A376" s="1">
        <v>44452</v>
      </c>
      <c r="B376">
        <v>1.1808000000000001</v>
      </c>
      <c r="C376">
        <v>1.3835999999999999</v>
      </c>
      <c r="D376">
        <v>109.98</v>
      </c>
      <c r="G376">
        <v>1.1808000000000001</v>
      </c>
      <c r="H376">
        <f t="shared" si="31"/>
        <v>1.1814</v>
      </c>
      <c r="I376">
        <f t="shared" si="31"/>
        <v>1.1825000000000001</v>
      </c>
      <c r="J376">
        <f t="shared" si="31"/>
        <v>1.1813</v>
      </c>
      <c r="L376">
        <f t="shared" si="30"/>
        <v>-5.9999999999993392E-4</v>
      </c>
      <c r="W376">
        <f t="shared" si="32"/>
        <v>4.5483489493311339E-4</v>
      </c>
      <c r="X376">
        <f t="shared" si="33"/>
        <v>2.0966271649954784E-3</v>
      </c>
      <c r="Y376">
        <f t="shared" si="33"/>
        <v>-4.808128458677321E-3</v>
      </c>
      <c r="Z376">
        <f t="shared" si="33"/>
        <v>-3.6274598712244529E-4</v>
      </c>
      <c r="AE376">
        <f>W376-mu-theta*AE375</f>
        <v>3.5370042996890996E-4</v>
      </c>
      <c r="AF376">
        <f t="shared" si="35"/>
        <v>6.3663634133538823E-4</v>
      </c>
      <c r="AG376">
        <f t="shared" si="35"/>
        <v>-4.9917113715606367E-3</v>
      </c>
      <c r="AK376">
        <f t="shared" si="34"/>
        <v>1.2510399416019178E-7</v>
      </c>
    </row>
    <row r="377" spans="1:37" x14ac:dyDescent="0.3">
      <c r="A377" s="1">
        <v>44453</v>
      </c>
      <c r="B377">
        <v>1.1801999999999999</v>
      </c>
      <c r="C377">
        <v>1.3806</v>
      </c>
      <c r="D377">
        <v>109.67</v>
      </c>
      <c r="G377">
        <v>1.1801999999999999</v>
      </c>
      <c r="H377">
        <f t="shared" si="31"/>
        <v>1.1808000000000001</v>
      </c>
      <c r="I377">
        <f t="shared" si="31"/>
        <v>1.1814</v>
      </c>
      <c r="J377">
        <f t="shared" si="31"/>
        <v>1.1825000000000001</v>
      </c>
      <c r="L377">
        <f t="shared" si="30"/>
        <v>-6.0000000000015596E-4</v>
      </c>
      <c r="W377">
        <f t="shared" si="32"/>
        <v>-2.8186943080560308E-3</v>
      </c>
      <c r="X377">
        <f t="shared" si="33"/>
        <v>4.5483489493311339E-4</v>
      </c>
      <c r="Y377">
        <f t="shared" si="33"/>
        <v>2.0966271649954784E-3</v>
      </c>
      <c r="Z377">
        <f t="shared" si="33"/>
        <v>-4.808128458677321E-3</v>
      </c>
      <c r="AE377">
        <f>W377-mu-theta*AE376</f>
        <v>-2.9881382097991373E-3</v>
      </c>
      <c r="AF377">
        <f t="shared" si="35"/>
        <v>3.5370042996890996E-4</v>
      </c>
      <c r="AG377">
        <f t="shared" si="35"/>
        <v>6.3663634133538823E-4</v>
      </c>
      <c r="AK377">
        <f t="shared" si="34"/>
        <v>8.9289699608615924E-6</v>
      </c>
    </row>
    <row r="378" spans="1:37" x14ac:dyDescent="0.3">
      <c r="A378" s="1">
        <v>44454</v>
      </c>
      <c r="B378">
        <v>1.1815</v>
      </c>
      <c r="C378">
        <v>1.3836999999999999</v>
      </c>
      <c r="D378">
        <v>109.36</v>
      </c>
      <c r="G378">
        <v>1.1815</v>
      </c>
      <c r="H378">
        <f t="shared" si="31"/>
        <v>1.1801999999999999</v>
      </c>
      <c r="I378">
        <f t="shared" si="31"/>
        <v>1.1808000000000001</v>
      </c>
      <c r="J378">
        <f t="shared" si="31"/>
        <v>1.1814</v>
      </c>
      <c r="L378">
        <f t="shared" si="30"/>
        <v>1.3000000000000789E-3</v>
      </c>
      <c r="W378">
        <f t="shared" si="32"/>
        <v>-2.8266618035926168E-3</v>
      </c>
      <c r="X378">
        <f t="shared" si="33"/>
        <v>-2.8186943080560308E-3</v>
      </c>
      <c r="Y378">
        <f t="shared" si="33"/>
        <v>4.5483489493311339E-4</v>
      </c>
      <c r="Z378">
        <f t="shared" si="33"/>
        <v>2.0966271649954784E-3</v>
      </c>
      <c r="AE378">
        <f>W378-mu-theta*AE377</f>
        <v>-3.8029284030485205E-3</v>
      </c>
      <c r="AF378">
        <f t="shared" si="35"/>
        <v>-2.9881382097991373E-3</v>
      </c>
      <c r="AG378">
        <f t="shared" si="35"/>
        <v>3.5370042996890996E-4</v>
      </c>
      <c r="AK378">
        <f t="shared" si="34"/>
        <v>1.446226443871317E-5</v>
      </c>
    </row>
    <row r="379" spans="1:37" x14ac:dyDescent="0.3">
      <c r="A379" s="1">
        <v>44455</v>
      </c>
      <c r="B379">
        <v>1.1763999999999999</v>
      </c>
      <c r="C379">
        <v>1.3788</v>
      </c>
      <c r="D379">
        <v>109.7</v>
      </c>
      <c r="G379">
        <v>1.1763999999999999</v>
      </c>
      <c r="H379">
        <f t="shared" si="31"/>
        <v>1.1815</v>
      </c>
      <c r="I379">
        <f t="shared" si="31"/>
        <v>1.1801999999999999</v>
      </c>
      <c r="J379">
        <f t="shared" si="31"/>
        <v>1.1808000000000001</v>
      </c>
      <c r="L379">
        <f t="shared" si="30"/>
        <v>-5.1000000000001044E-3</v>
      </c>
      <c r="W379">
        <f t="shared" si="32"/>
        <v>3.108997805413345E-3</v>
      </c>
      <c r="X379">
        <f t="shared" si="33"/>
        <v>-2.8266618035926168E-3</v>
      </c>
      <c r="Y379">
        <f t="shared" si="33"/>
        <v>-2.8186943080560308E-3</v>
      </c>
      <c r="Z379">
        <f t="shared" si="33"/>
        <v>4.5483489493311339E-4</v>
      </c>
      <c r="AE379">
        <f>W379-mu-theta*AE378</f>
        <v>1.9360157769225347E-3</v>
      </c>
      <c r="AF379">
        <f t="shared" si="35"/>
        <v>-3.8029284030485205E-3</v>
      </c>
      <c r="AG379">
        <f t="shared" si="35"/>
        <v>-2.9881382097991373E-3</v>
      </c>
      <c r="AK379">
        <f t="shared" si="34"/>
        <v>3.7481570884929657E-6</v>
      </c>
    </row>
    <row r="380" spans="1:37" x14ac:dyDescent="0.3">
      <c r="A380" s="1">
        <v>44456</v>
      </c>
      <c r="B380">
        <v>1.1725000000000001</v>
      </c>
      <c r="C380">
        <v>1.3742000000000001</v>
      </c>
      <c r="D380">
        <v>109.96</v>
      </c>
      <c r="G380">
        <v>1.1725000000000001</v>
      </c>
      <c r="H380">
        <f t="shared" si="31"/>
        <v>1.1763999999999999</v>
      </c>
      <c r="I380">
        <f t="shared" si="31"/>
        <v>1.1815</v>
      </c>
      <c r="J380">
        <f t="shared" si="31"/>
        <v>1.1801999999999999</v>
      </c>
      <c r="L380">
        <f t="shared" si="30"/>
        <v>-3.8999999999997925E-3</v>
      </c>
      <c r="W380">
        <f t="shared" si="32"/>
        <v>2.3701002734730255E-3</v>
      </c>
      <c r="X380">
        <f t="shared" si="33"/>
        <v>3.108997805413345E-3</v>
      </c>
      <c r="Y380">
        <f t="shared" si="33"/>
        <v>-2.8266618035926168E-3</v>
      </c>
      <c r="Z380">
        <f t="shared" si="33"/>
        <v>-2.8186943080560308E-3</v>
      </c>
      <c r="AE380">
        <f>W380-mu-theta*AE379</f>
        <v>2.5826759946013856E-3</v>
      </c>
      <c r="AF380">
        <f t="shared" si="35"/>
        <v>1.9360157769225347E-3</v>
      </c>
      <c r="AG380">
        <f t="shared" si="35"/>
        <v>-3.8029284030485205E-3</v>
      </c>
      <c r="AK380">
        <f t="shared" si="34"/>
        <v>6.670215293090256E-6</v>
      </c>
    </row>
    <row r="381" spans="1:37" x14ac:dyDescent="0.3">
      <c r="A381" s="1">
        <v>44459</v>
      </c>
      <c r="B381">
        <v>1.1725000000000001</v>
      </c>
      <c r="C381">
        <v>1.3656999999999999</v>
      </c>
      <c r="D381">
        <v>109.39</v>
      </c>
      <c r="G381">
        <v>1.1725000000000001</v>
      </c>
      <c r="H381">
        <f t="shared" si="31"/>
        <v>1.1725000000000001</v>
      </c>
      <c r="I381">
        <f t="shared" si="31"/>
        <v>1.1763999999999999</v>
      </c>
      <c r="J381">
        <f t="shared" si="31"/>
        <v>1.1815</v>
      </c>
      <c r="L381">
        <f t="shared" si="30"/>
        <v>0</v>
      </c>
      <c r="W381">
        <f t="shared" si="32"/>
        <v>-5.183703164787134E-3</v>
      </c>
      <c r="X381">
        <f t="shared" si="33"/>
        <v>2.3701002734730255E-3</v>
      </c>
      <c r="Y381">
        <f t="shared" si="33"/>
        <v>3.108997805413345E-3</v>
      </c>
      <c r="Z381">
        <f t="shared" si="33"/>
        <v>-2.8266618035926168E-3</v>
      </c>
      <c r="AE381">
        <f>W381-mu-theta*AE380</f>
        <v>-4.8150037651775741E-3</v>
      </c>
      <c r="AF381">
        <f t="shared" si="35"/>
        <v>2.5826759946013856E-3</v>
      </c>
      <c r="AG381">
        <f t="shared" si="35"/>
        <v>1.9360157769225347E-3</v>
      </c>
      <c r="AK381">
        <f t="shared" si="34"/>
        <v>2.3184261258674214E-5</v>
      </c>
    </row>
    <row r="382" spans="1:37" x14ac:dyDescent="0.3">
      <c r="A382" s="1">
        <v>44460</v>
      </c>
      <c r="B382">
        <v>1.1722999999999999</v>
      </c>
      <c r="C382">
        <v>1.3658999999999999</v>
      </c>
      <c r="D382">
        <v>109.21</v>
      </c>
      <c r="G382">
        <v>1.1722999999999999</v>
      </c>
      <c r="H382">
        <f t="shared" si="31"/>
        <v>1.1725000000000001</v>
      </c>
      <c r="I382">
        <f t="shared" si="31"/>
        <v>1.1725000000000001</v>
      </c>
      <c r="J382">
        <f t="shared" si="31"/>
        <v>1.1763999999999999</v>
      </c>
      <c r="L382">
        <f t="shared" si="30"/>
        <v>-2.0000000000020002E-4</v>
      </c>
      <c r="W382">
        <f t="shared" si="32"/>
        <v>-1.6454886187037829E-3</v>
      </c>
      <c r="X382">
        <f t="shared" si="33"/>
        <v>-5.183703164787134E-3</v>
      </c>
      <c r="Y382">
        <f t="shared" si="33"/>
        <v>2.3701002734730255E-3</v>
      </c>
      <c r="Z382">
        <f t="shared" si="33"/>
        <v>3.108997805413345E-3</v>
      </c>
      <c r="AE382">
        <f>W382-mu-theta*AE381</f>
        <v>-3.0628167877426288E-3</v>
      </c>
      <c r="AF382">
        <f t="shared" si="35"/>
        <v>-4.8150037651775741E-3</v>
      </c>
      <c r="AG382">
        <f t="shared" si="35"/>
        <v>2.5826759946013856E-3</v>
      </c>
      <c r="AK382">
        <f t="shared" si="34"/>
        <v>9.380846675278075E-6</v>
      </c>
    </row>
    <row r="383" spans="1:37" x14ac:dyDescent="0.3">
      <c r="A383" s="1">
        <v>44461</v>
      </c>
      <c r="B383">
        <v>1.1686000000000001</v>
      </c>
      <c r="C383">
        <v>1.3625</v>
      </c>
      <c r="D383">
        <v>109.78</v>
      </c>
      <c r="G383">
        <v>1.1686000000000001</v>
      </c>
      <c r="H383">
        <f t="shared" si="31"/>
        <v>1.1722999999999999</v>
      </c>
      <c r="I383">
        <f t="shared" si="31"/>
        <v>1.1725000000000001</v>
      </c>
      <c r="J383">
        <f t="shared" si="31"/>
        <v>1.1725000000000001</v>
      </c>
      <c r="L383">
        <f t="shared" si="30"/>
        <v>-3.6999999999998145E-3</v>
      </c>
      <c r="W383">
        <f t="shared" si="32"/>
        <v>5.219302261697715E-3</v>
      </c>
      <c r="X383">
        <f t="shared" si="33"/>
        <v>-1.6454886187037829E-3</v>
      </c>
      <c r="Y383">
        <f t="shared" si="33"/>
        <v>-5.183703164787134E-3</v>
      </c>
      <c r="Z383">
        <f t="shared" si="33"/>
        <v>2.3701002734730255E-3</v>
      </c>
      <c r="AE383">
        <f>W383-mu-theta*AE382</f>
        <v>4.2250059551815367E-3</v>
      </c>
      <c r="AF383">
        <f t="shared" si="35"/>
        <v>-3.0628167877426288E-3</v>
      </c>
      <c r="AG383">
        <f t="shared" si="35"/>
        <v>-4.8150037651775741E-3</v>
      </c>
      <c r="AK383">
        <f t="shared" si="34"/>
        <v>1.7850675321319448E-5</v>
      </c>
    </row>
    <row r="384" spans="1:37" x14ac:dyDescent="0.3">
      <c r="A384" s="1">
        <v>44462</v>
      </c>
      <c r="B384">
        <v>1.1736</v>
      </c>
      <c r="C384">
        <v>1.3715999999999999</v>
      </c>
      <c r="D384">
        <v>110.3</v>
      </c>
      <c r="G384">
        <v>1.1736</v>
      </c>
      <c r="H384">
        <f t="shared" si="31"/>
        <v>1.1686000000000001</v>
      </c>
      <c r="I384">
        <f t="shared" si="31"/>
        <v>1.1722999999999999</v>
      </c>
      <c r="J384">
        <f t="shared" si="31"/>
        <v>1.1725000000000001</v>
      </c>
      <c r="L384">
        <f t="shared" si="30"/>
        <v>4.9999999999998934E-3</v>
      </c>
      <c r="W384">
        <f t="shared" si="32"/>
        <v>4.7367462197121157E-3</v>
      </c>
      <c r="X384">
        <f t="shared" si="33"/>
        <v>5.219302261697715E-3</v>
      </c>
      <c r="Y384">
        <f t="shared" si="33"/>
        <v>-1.6454886187037829E-3</v>
      </c>
      <c r="Z384">
        <f t="shared" si="33"/>
        <v>-5.183703164787134E-3</v>
      </c>
      <c r="AE384">
        <f>W384-mu-theta*AE383</f>
        <v>5.5019546169619085E-3</v>
      </c>
      <c r="AF384">
        <f t="shared" si="35"/>
        <v>4.2250059551815367E-3</v>
      </c>
      <c r="AG384">
        <f t="shared" si="35"/>
        <v>-3.0628167877426288E-3</v>
      </c>
      <c r="AK384">
        <f t="shared" si="34"/>
        <v>3.027150460710846E-5</v>
      </c>
    </row>
    <row r="385" spans="1:37" x14ac:dyDescent="0.3">
      <c r="A385" s="1">
        <v>44463</v>
      </c>
      <c r="B385">
        <v>1.1714</v>
      </c>
      <c r="C385">
        <v>1.3682000000000001</v>
      </c>
      <c r="D385">
        <v>110.72</v>
      </c>
      <c r="G385">
        <v>1.1714</v>
      </c>
      <c r="H385">
        <f t="shared" si="31"/>
        <v>1.1736</v>
      </c>
      <c r="I385">
        <f t="shared" si="31"/>
        <v>1.1686000000000001</v>
      </c>
      <c r="J385">
        <f t="shared" si="31"/>
        <v>1.1722999999999999</v>
      </c>
      <c r="L385">
        <f t="shared" si="30"/>
        <v>-2.1999999999999797E-3</v>
      </c>
      <c r="W385">
        <f t="shared" si="32"/>
        <v>3.8077969174977492E-3</v>
      </c>
      <c r="X385">
        <f t="shared" si="33"/>
        <v>4.7367462197121157E-3</v>
      </c>
      <c r="Y385">
        <f t="shared" si="33"/>
        <v>5.219302261697715E-3</v>
      </c>
      <c r="Z385">
        <f t="shared" si="33"/>
        <v>-1.6454886187037829E-3</v>
      </c>
      <c r="AE385">
        <f>W385-mu-theta*AE384</f>
        <v>4.8813000217026023E-3</v>
      </c>
      <c r="AF385">
        <f t="shared" si="35"/>
        <v>5.5019546169619085E-3</v>
      </c>
      <c r="AG385">
        <f t="shared" si="35"/>
        <v>4.2250059551815367E-3</v>
      </c>
      <c r="AK385">
        <f t="shared" si="34"/>
        <v>2.3827089901873825E-5</v>
      </c>
    </row>
    <row r="386" spans="1:37" x14ac:dyDescent="0.3">
      <c r="A386" s="1">
        <v>44466</v>
      </c>
      <c r="B386">
        <v>1.1694</v>
      </c>
      <c r="C386">
        <v>1.3694999999999999</v>
      </c>
      <c r="D386">
        <v>111</v>
      </c>
      <c r="G386">
        <v>1.1694</v>
      </c>
      <c r="H386">
        <f t="shared" si="31"/>
        <v>1.1714</v>
      </c>
      <c r="I386">
        <f t="shared" si="31"/>
        <v>1.1736</v>
      </c>
      <c r="J386">
        <f t="shared" si="31"/>
        <v>1.1686000000000001</v>
      </c>
      <c r="L386">
        <f t="shared" si="30"/>
        <v>-2.0000000000000018E-3</v>
      </c>
      <c r="W386">
        <f t="shared" si="32"/>
        <v>2.5289017341040567E-3</v>
      </c>
      <c r="X386">
        <f t="shared" si="33"/>
        <v>3.8077969174977492E-3</v>
      </c>
      <c r="Y386">
        <f t="shared" si="33"/>
        <v>4.7367462197121157E-3</v>
      </c>
      <c r="Z386">
        <f t="shared" si="33"/>
        <v>5.219302261697715E-3</v>
      </c>
      <c r="AE386">
        <f>W386-mu-theta*AE385</f>
        <v>3.4525597174416391E-3</v>
      </c>
      <c r="AF386">
        <f t="shared" si="35"/>
        <v>4.8813000217026023E-3</v>
      </c>
      <c r="AG386">
        <f t="shared" si="35"/>
        <v>5.5019546169619085E-3</v>
      </c>
      <c r="AK386">
        <f t="shared" si="34"/>
        <v>1.1920168602500691E-5</v>
      </c>
    </row>
    <row r="387" spans="1:37" x14ac:dyDescent="0.3">
      <c r="A387" s="1">
        <v>44467</v>
      </c>
      <c r="B387">
        <v>1.1680999999999999</v>
      </c>
      <c r="C387">
        <v>1.3533999999999999</v>
      </c>
      <c r="D387">
        <v>111.5</v>
      </c>
      <c r="G387">
        <v>1.1680999999999999</v>
      </c>
      <c r="H387">
        <f t="shared" si="31"/>
        <v>1.1694</v>
      </c>
      <c r="I387">
        <f t="shared" si="31"/>
        <v>1.1714</v>
      </c>
      <c r="J387">
        <f t="shared" si="31"/>
        <v>1.1736</v>
      </c>
      <c r="L387">
        <f t="shared" si="30"/>
        <v>-1.3000000000000789E-3</v>
      </c>
      <c r="W387">
        <f t="shared" si="32"/>
        <v>4.5045045045045045E-3</v>
      </c>
      <c r="X387">
        <f t="shared" si="33"/>
        <v>2.5289017341040567E-3</v>
      </c>
      <c r="Y387">
        <f t="shared" si="33"/>
        <v>3.8077969174977492E-3</v>
      </c>
      <c r="Z387">
        <f t="shared" si="33"/>
        <v>4.7367462197121157E-3</v>
      </c>
      <c r="AE387">
        <f>W387-mu-theta*AE386</f>
        <v>5.0832206067778227E-3</v>
      </c>
      <c r="AF387">
        <f t="shared" si="35"/>
        <v>3.4525597174416391E-3</v>
      </c>
      <c r="AG387">
        <f t="shared" si="35"/>
        <v>4.8813000217026023E-3</v>
      </c>
      <c r="AK387">
        <f t="shared" si="34"/>
        <v>2.5839131737170697E-5</v>
      </c>
    </row>
    <row r="388" spans="1:37" x14ac:dyDescent="0.3">
      <c r="A388" s="1">
        <v>44468</v>
      </c>
      <c r="B388">
        <v>1.1595</v>
      </c>
      <c r="C388">
        <v>1.3422000000000001</v>
      </c>
      <c r="D388">
        <v>111.96</v>
      </c>
      <c r="G388">
        <v>1.1595</v>
      </c>
      <c r="H388">
        <f t="shared" si="31"/>
        <v>1.1680999999999999</v>
      </c>
      <c r="I388">
        <f t="shared" si="31"/>
        <v>1.1694</v>
      </c>
      <c r="J388">
        <f t="shared" si="31"/>
        <v>1.1714</v>
      </c>
      <c r="L388">
        <f t="shared" si="30"/>
        <v>-8.599999999999941E-3</v>
      </c>
      <c r="W388">
        <f t="shared" si="32"/>
        <v>4.125560538116536E-3</v>
      </c>
      <c r="X388">
        <f t="shared" si="33"/>
        <v>4.5045045045045045E-3</v>
      </c>
      <c r="Y388">
        <f t="shared" si="33"/>
        <v>2.5289017341040567E-3</v>
      </c>
      <c r="Z388">
        <f t="shared" si="33"/>
        <v>3.8077969174977492E-3</v>
      </c>
      <c r="AE388">
        <f>W388-mu-theta*AE387</f>
        <v>5.0979683650987069E-3</v>
      </c>
      <c r="AF388">
        <f t="shared" si="35"/>
        <v>5.0832206067778227E-3</v>
      </c>
      <c r="AG388">
        <f t="shared" si="35"/>
        <v>3.4525597174416391E-3</v>
      </c>
      <c r="AK388">
        <f t="shared" si="34"/>
        <v>2.5989281451547183E-5</v>
      </c>
    </row>
    <row r="389" spans="1:37" x14ac:dyDescent="0.3">
      <c r="A389" s="1">
        <v>44469</v>
      </c>
      <c r="B389">
        <v>1.1580999999999999</v>
      </c>
      <c r="C389">
        <v>1.3472</v>
      </c>
      <c r="D389">
        <v>111.27</v>
      </c>
      <c r="G389">
        <v>1.1580999999999999</v>
      </c>
      <c r="H389">
        <f t="shared" si="31"/>
        <v>1.1595</v>
      </c>
      <c r="I389">
        <f t="shared" si="31"/>
        <v>1.1680999999999999</v>
      </c>
      <c r="J389">
        <f t="shared" si="31"/>
        <v>1.1694</v>
      </c>
      <c r="L389">
        <f t="shared" si="30"/>
        <v>-1.4000000000000679E-3</v>
      </c>
      <c r="W389">
        <f t="shared" si="32"/>
        <v>-6.1629153269024449E-3</v>
      </c>
      <c r="X389">
        <f t="shared" si="33"/>
        <v>4.125560538116536E-3</v>
      </c>
      <c r="Y389">
        <f t="shared" si="33"/>
        <v>4.5045045045045045E-3</v>
      </c>
      <c r="Z389">
        <f t="shared" si="33"/>
        <v>2.5289017341040567E-3</v>
      </c>
      <c r="AE389">
        <f>W389-mu-theta*AE388</f>
        <v>-5.1869469371773353E-3</v>
      </c>
      <c r="AF389">
        <f t="shared" si="35"/>
        <v>5.0979683650987069E-3</v>
      </c>
      <c r="AG389">
        <f t="shared" si="35"/>
        <v>5.0832206067778227E-3</v>
      </c>
      <c r="AK389">
        <f t="shared" si="34"/>
        <v>2.6904418529093339E-5</v>
      </c>
    </row>
    <row r="390" spans="1:37" x14ac:dyDescent="0.3">
      <c r="A390" s="1">
        <v>44470</v>
      </c>
      <c r="B390">
        <v>1.1594</v>
      </c>
      <c r="C390">
        <v>1.3545</v>
      </c>
      <c r="D390">
        <v>111.05</v>
      </c>
      <c r="G390">
        <v>1.1594</v>
      </c>
      <c r="H390">
        <f t="shared" si="31"/>
        <v>1.1580999999999999</v>
      </c>
      <c r="I390">
        <f t="shared" si="31"/>
        <v>1.1595</v>
      </c>
      <c r="J390">
        <f t="shared" si="31"/>
        <v>1.1680999999999999</v>
      </c>
      <c r="L390">
        <f t="shared" ref="L390:L453" si="36">G390-H390</f>
        <v>1.3000000000000789E-3</v>
      </c>
      <c r="W390">
        <f t="shared" si="32"/>
        <v>-1.977172643120328E-3</v>
      </c>
      <c r="X390">
        <f t="shared" si="33"/>
        <v>-6.1629153269024449E-3</v>
      </c>
      <c r="Y390">
        <f t="shared" si="33"/>
        <v>4.125560538116536E-3</v>
      </c>
      <c r="Z390">
        <f t="shared" si="33"/>
        <v>4.5045045045045045E-3</v>
      </c>
      <c r="AE390">
        <f>W390-mu-theta*AE389</f>
        <v>-3.4842993409862663E-3</v>
      </c>
      <c r="AF390">
        <f t="shared" si="35"/>
        <v>-5.1869469371773353E-3</v>
      </c>
      <c r="AG390">
        <f t="shared" si="35"/>
        <v>5.0979683650987069E-3</v>
      </c>
      <c r="AK390">
        <f t="shared" si="34"/>
        <v>1.214034189759733E-5</v>
      </c>
    </row>
    <row r="391" spans="1:37" x14ac:dyDescent="0.3">
      <c r="A391" s="1">
        <v>44473</v>
      </c>
      <c r="B391">
        <v>1.1620999999999999</v>
      </c>
      <c r="C391">
        <v>1.3613</v>
      </c>
      <c r="D391">
        <v>110.87</v>
      </c>
      <c r="G391">
        <v>1.1620999999999999</v>
      </c>
      <c r="H391">
        <f t="shared" ref="H391:J454" si="37">G390</f>
        <v>1.1594</v>
      </c>
      <c r="I391">
        <f t="shared" si="37"/>
        <v>1.1580999999999999</v>
      </c>
      <c r="J391">
        <f t="shared" si="37"/>
        <v>1.1595</v>
      </c>
      <c r="L391">
        <f t="shared" si="36"/>
        <v>2.6999999999999247E-3</v>
      </c>
      <c r="W391">
        <f t="shared" ref="W391:W454" si="38">(D391-D390)/D390</f>
        <v>-1.6208914903196093E-3</v>
      </c>
      <c r="X391">
        <f t="shared" si="33"/>
        <v>-1.977172643120328E-3</v>
      </c>
      <c r="Y391">
        <f t="shared" si="33"/>
        <v>-6.1629153269024449E-3</v>
      </c>
      <c r="Z391">
        <f t="shared" si="33"/>
        <v>4.125560538116536E-3</v>
      </c>
      <c r="AE391">
        <f>W391-mu-theta*AE390</f>
        <v>-2.7169466569435612E-3</v>
      </c>
      <c r="AF391">
        <f t="shared" si="35"/>
        <v>-3.4842993409862663E-3</v>
      </c>
      <c r="AG391">
        <f t="shared" si="35"/>
        <v>-5.1869469371773353E-3</v>
      </c>
      <c r="AK391">
        <f t="shared" si="34"/>
        <v>7.3817991366767933E-6</v>
      </c>
    </row>
    <row r="392" spans="1:37" x14ac:dyDescent="0.3">
      <c r="A392" s="1">
        <v>44474</v>
      </c>
      <c r="B392">
        <v>1.1596</v>
      </c>
      <c r="C392">
        <v>1.3629</v>
      </c>
      <c r="D392">
        <v>111.45</v>
      </c>
      <c r="G392">
        <v>1.1596</v>
      </c>
      <c r="H392">
        <f t="shared" si="37"/>
        <v>1.1620999999999999</v>
      </c>
      <c r="I392">
        <f t="shared" si="37"/>
        <v>1.1594</v>
      </c>
      <c r="J392">
        <f t="shared" si="37"/>
        <v>1.1580999999999999</v>
      </c>
      <c r="L392">
        <f t="shared" si="36"/>
        <v>-2.4999999999999467E-3</v>
      </c>
      <c r="W392">
        <f t="shared" si="38"/>
        <v>5.2313520339135767E-3</v>
      </c>
      <c r="X392">
        <f t="shared" ref="X392:Z455" si="39">W391</f>
        <v>-1.6208914903196093E-3</v>
      </c>
      <c r="Y392">
        <f t="shared" si="39"/>
        <v>-1.977172643120328E-3</v>
      </c>
      <c r="Z392">
        <f t="shared" si="39"/>
        <v>-6.1629153269024449E-3</v>
      </c>
      <c r="AE392">
        <f>W392-mu-theta*AE391</f>
        <v>4.3205594216418793E-3</v>
      </c>
      <c r="AF392">
        <f t="shared" si="35"/>
        <v>-2.7169466569435612E-3</v>
      </c>
      <c r="AG392">
        <f t="shared" si="35"/>
        <v>-3.4842993409862663E-3</v>
      </c>
      <c r="AK392">
        <f t="shared" ref="AK392:AK455" si="40">POWER(AE392,2)</f>
        <v>1.866723371593841E-5</v>
      </c>
    </row>
    <row r="393" spans="1:37" x14ac:dyDescent="0.3">
      <c r="A393" s="1">
        <v>44475</v>
      </c>
      <c r="B393">
        <v>1.1556</v>
      </c>
      <c r="C393">
        <v>1.3580000000000001</v>
      </c>
      <c r="D393">
        <v>111.41</v>
      </c>
      <c r="G393">
        <v>1.1556</v>
      </c>
      <c r="H393">
        <f t="shared" si="37"/>
        <v>1.1596</v>
      </c>
      <c r="I393">
        <f t="shared" si="37"/>
        <v>1.1620999999999999</v>
      </c>
      <c r="J393">
        <f t="shared" si="37"/>
        <v>1.1594</v>
      </c>
      <c r="L393">
        <f t="shared" si="36"/>
        <v>-4.0000000000000036E-3</v>
      </c>
      <c r="W393">
        <f t="shared" si="38"/>
        <v>-3.5890533871696953E-4</v>
      </c>
      <c r="X393">
        <f t="shared" si="39"/>
        <v>5.2313520339135767E-3</v>
      </c>
      <c r="Y393">
        <f t="shared" si="39"/>
        <v>-1.6208914903196093E-3</v>
      </c>
      <c r="Z393">
        <f t="shared" si="39"/>
        <v>-1.977172643120328E-3</v>
      </c>
      <c r="AE393">
        <f>W393-mu-theta*AE392</f>
        <v>4.2937260613692138E-4</v>
      </c>
      <c r="AF393">
        <f t="shared" ref="AF393:AG456" si="41">AE392</f>
        <v>4.3205594216418793E-3</v>
      </c>
      <c r="AG393">
        <f t="shared" si="41"/>
        <v>-2.7169466569435612E-3</v>
      </c>
      <c r="AK393">
        <f t="shared" si="40"/>
        <v>1.8436083490081181E-7</v>
      </c>
    </row>
    <row r="394" spans="1:37" x14ac:dyDescent="0.3">
      <c r="A394" s="1">
        <v>44476</v>
      </c>
      <c r="B394">
        <v>1.155</v>
      </c>
      <c r="C394">
        <v>1.3616999999999999</v>
      </c>
      <c r="D394">
        <v>111.59</v>
      </c>
      <c r="G394">
        <v>1.155</v>
      </c>
      <c r="H394">
        <f t="shared" si="37"/>
        <v>1.1556</v>
      </c>
      <c r="I394">
        <f t="shared" si="37"/>
        <v>1.1596</v>
      </c>
      <c r="J394">
        <f t="shared" si="37"/>
        <v>1.1620999999999999</v>
      </c>
      <c r="L394">
        <f t="shared" si="36"/>
        <v>-5.9999999999993392E-4</v>
      </c>
      <c r="W394">
        <f t="shared" si="38"/>
        <v>1.6156538910331822E-3</v>
      </c>
      <c r="X394">
        <f t="shared" si="39"/>
        <v>-3.5890533871696953E-4</v>
      </c>
      <c r="Y394">
        <f t="shared" si="39"/>
        <v>5.2313520339135767E-3</v>
      </c>
      <c r="Z394">
        <f t="shared" si="39"/>
        <v>-1.6208914903196093E-3</v>
      </c>
      <c r="AE394">
        <f>W394-mu-theta*AE393</f>
        <v>1.4644795815412176E-3</v>
      </c>
      <c r="AF394">
        <f t="shared" si="41"/>
        <v>4.2937260613692138E-4</v>
      </c>
      <c r="AG394">
        <f t="shared" si="41"/>
        <v>4.3205594216418793E-3</v>
      </c>
      <c r="AK394">
        <f t="shared" si="40"/>
        <v>2.1447004447511398E-6</v>
      </c>
    </row>
    <row r="395" spans="1:37" x14ac:dyDescent="0.3">
      <c r="A395" s="1">
        <v>44477</v>
      </c>
      <c r="B395">
        <v>1.1567000000000001</v>
      </c>
      <c r="C395">
        <v>1.3611</v>
      </c>
      <c r="D395">
        <v>112.22</v>
      </c>
      <c r="G395">
        <v>1.1567000000000001</v>
      </c>
      <c r="H395">
        <f t="shared" si="37"/>
        <v>1.155</v>
      </c>
      <c r="I395">
        <f t="shared" si="37"/>
        <v>1.1556</v>
      </c>
      <c r="J395">
        <f t="shared" si="37"/>
        <v>1.1596</v>
      </c>
      <c r="L395">
        <f t="shared" si="36"/>
        <v>1.7000000000000348E-3</v>
      </c>
      <c r="W395">
        <f t="shared" si="38"/>
        <v>5.645667174477959E-3</v>
      </c>
      <c r="X395">
        <f t="shared" si="39"/>
        <v>1.6156538910331822E-3</v>
      </c>
      <c r="Y395">
        <f t="shared" si="39"/>
        <v>-3.5890533871696953E-4</v>
      </c>
      <c r="Z395">
        <f t="shared" si="39"/>
        <v>5.2313520339135767E-3</v>
      </c>
      <c r="AE395">
        <f>W395-mu-theta*AE394</f>
        <v>5.7443995458109536E-3</v>
      </c>
      <c r="AF395">
        <f t="shared" si="41"/>
        <v>1.4644795815412176E-3</v>
      </c>
      <c r="AG395">
        <f t="shared" si="41"/>
        <v>4.2937260613692138E-4</v>
      </c>
      <c r="AK395">
        <f t="shared" si="40"/>
        <v>3.2998126141913089E-5</v>
      </c>
    </row>
    <row r="396" spans="1:37" x14ac:dyDescent="0.3">
      <c r="A396" s="1">
        <v>44480</v>
      </c>
      <c r="B396">
        <v>1.1551</v>
      </c>
      <c r="C396">
        <v>1.3594999999999999</v>
      </c>
      <c r="D396">
        <v>113.3</v>
      </c>
      <c r="G396">
        <v>1.1551</v>
      </c>
      <c r="H396">
        <f t="shared" si="37"/>
        <v>1.1567000000000001</v>
      </c>
      <c r="I396">
        <f t="shared" si="37"/>
        <v>1.155</v>
      </c>
      <c r="J396">
        <f t="shared" si="37"/>
        <v>1.1556</v>
      </c>
      <c r="L396">
        <f t="shared" si="36"/>
        <v>-1.6000000000000458E-3</v>
      </c>
      <c r="W396">
        <f t="shared" si="38"/>
        <v>9.6239529495633427E-3</v>
      </c>
      <c r="X396">
        <f t="shared" si="39"/>
        <v>5.645667174477959E-3</v>
      </c>
      <c r="Y396">
        <f t="shared" si="39"/>
        <v>1.6156538910331822E-3</v>
      </c>
      <c r="Z396">
        <f t="shared" si="39"/>
        <v>-3.5890533871696953E-4</v>
      </c>
      <c r="AE396">
        <f>W396-mu-theta*AE395</f>
        <v>1.075598972119696E-2</v>
      </c>
      <c r="AF396">
        <f t="shared" si="41"/>
        <v>5.7443995458109536E-3</v>
      </c>
      <c r="AG396">
        <f t="shared" si="41"/>
        <v>1.4644795815412176E-3</v>
      </c>
      <c r="AK396">
        <f t="shared" si="40"/>
        <v>1.1569131488249466E-4</v>
      </c>
    </row>
    <row r="397" spans="1:37" x14ac:dyDescent="0.3">
      <c r="A397" s="1">
        <v>44481</v>
      </c>
      <c r="B397">
        <v>1.1527000000000001</v>
      </c>
      <c r="C397">
        <v>1.3585</v>
      </c>
      <c r="D397">
        <v>113.6</v>
      </c>
      <c r="G397">
        <v>1.1527000000000001</v>
      </c>
      <c r="H397">
        <f t="shared" si="37"/>
        <v>1.1551</v>
      </c>
      <c r="I397">
        <f t="shared" si="37"/>
        <v>1.1567000000000001</v>
      </c>
      <c r="J397">
        <f t="shared" si="37"/>
        <v>1.155</v>
      </c>
      <c r="L397">
        <f t="shared" si="36"/>
        <v>-2.3999999999999577E-3</v>
      </c>
      <c r="W397">
        <f t="shared" si="38"/>
        <v>2.647837599293885E-3</v>
      </c>
      <c r="X397">
        <f t="shared" si="39"/>
        <v>9.6239529495633427E-3</v>
      </c>
      <c r="Y397">
        <f t="shared" si="39"/>
        <v>5.645667174477959E-3</v>
      </c>
      <c r="Z397">
        <f t="shared" si="39"/>
        <v>1.6156538910331822E-3</v>
      </c>
      <c r="AE397">
        <f>W397-mu-theta*AE396</f>
        <v>4.9898264784345656E-3</v>
      </c>
      <c r="AF397">
        <f t="shared" si="41"/>
        <v>1.075598972119696E-2</v>
      </c>
      <c r="AG397">
        <f t="shared" si="41"/>
        <v>5.7443995458109536E-3</v>
      </c>
      <c r="AK397">
        <f t="shared" si="40"/>
        <v>2.4898368284886699E-5</v>
      </c>
    </row>
    <row r="398" spans="1:37" x14ac:dyDescent="0.3">
      <c r="A398" s="1">
        <v>44482</v>
      </c>
      <c r="B398">
        <v>1.1592</v>
      </c>
      <c r="C398">
        <v>1.3658999999999999</v>
      </c>
      <c r="D398">
        <v>113.23</v>
      </c>
      <c r="G398">
        <v>1.1592</v>
      </c>
      <c r="H398">
        <f t="shared" si="37"/>
        <v>1.1527000000000001</v>
      </c>
      <c r="I398">
        <f t="shared" si="37"/>
        <v>1.1551</v>
      </c>
      <c r="J398">
        <f t="shared" si="37"/>
        <v>1.1567000000000001</v>
      </c>
      <c r="L398">
        <f t="shared" si="36"/>
        <v>6.4999999999999503E-3</v>
      </c>
      <c r="W398">
        <f t="shared" si="38"/>
        <v>-3.2570422535210418E-3</v>
      </c>
      <c r="X398">
        <f t="shared" si="39"/>
        <v>2.647837599293885E-3</v>
      </c>
      <c r="Y398">
        <f t="shared" si="39"/>
        <v>9.6239529495633427E-3</v>
      </c>
      <c r="Z398">
        <f t="shared" si="39"/>
        <v>5.645667174477959E-3</v>
      </c>
      <c r="AE398">
        <f>W398-mu-theta*AE397</f>
        <v>-2.3071826434646506E-3</v>
      </c>
      <c r="AF398">
        <f t="shared" si="41"/>
        <v>4.9898264784345656E-3</v>
      </c>
      <c r="AG398">
        <f t="shared" si="41"/>
        <v>1.075598972119696E-2</v>
      </c>
      <c r="AK398">
        <f t="shared" si="40"/>
        <v>5.3230917503045327E-6</v>
      </c>
    </row>
    <row r="399" spans="1:37" x14ac:dyDescent="0.3">
      <c r="A399" s="1">
        <v>44483</v>
      </c>
      <c r="B399">
        <v>1.1594</v>
      </c>
      <c r="C399">
        <v>1.3673</v>
      </c>
      <c r="D399">
        <v>113.66</v>
      </c>
      <c r="G399">
        <v>1.1594</v>
      </c>
      <c r="H399">
        <f t="shared" si="37"/>
        <v>1.1592</v>
      </c>
      <c r="I399">
        <f t="shared" si="37"/>
        <v>1.1527000000000001</v>
      </c>
      <c r="J399">
        <f t="shared" si="37"/>
        <v>1.1551</v>
      </c>
      <c r="L399">
        <f t="shared" si="36"/>
        <v>1.9999999999997797E-4</v>
      </c>
      <c r="W399">
        <f t="shared" si="38"/>
        <v>3.7975801466041915E-3</v>
      </c>
      <c r="X399">
        <f t="shared" si="39"/>
        <v>-3.2570422535210418E-3</v>
      </c>
      <c r="Y399">
        <f t="shared" si="39"/>
        <v>2.647837599293885E-3</v>
      </c>
      <c r="Z399">
        <f t="shared" si="39"/>
        <v>9.6239529495633427E-3</v>
      </c>
      <c r="AE399">
        <f>W399-mu-theta*AE398</f>
        <v>2.985717178285508E-3</v>
      </c>
      <c r="AF399">
        <f t="shared" si="41"/>
        <v>-2.3071826434646506E-3</v>
      </c>
      <c r="AG399">
        <f t="shared" si="41"/>
        <v>4.9898264784345656E-3</v>
      </c>
      <c r="AK399">
        <f t="shared" si="40"/>
        <v>8.9145070687091764E-6</v>
      </c>
    </row>
    <row r="400" spans="1:37" x14ac:dyDescent="0.3">
      <c r="A400" s="1">
        <v>44484</v>
      </c>
      <c r="B400">
        <v>1.1599999999999999</v>
      </c>
      <c r="C400">
        <v>1.3749</v>
      </c>
      <c r="D400">
        <v>114.2</v>
      </c>
      <c r="G400">
        <v>1.1599999999999999</v>
      </c>
      <c r="H400">
        <f t="shared" si="37"/>
        <v>1.1594</v>
      </c>
      <c r="I400">
        <f t="shared" si="37"/>
        <v>1.1592</v>
      </c>
      <c r="J400">
        <f t="shared" si="37"/>
        <v>1.1527000000000001</v>
      </c>
      <c r="L400">
        <f t="shared" si="36"/>
        <v>5.9999999999993392E-4</v>
      </c>
      <c r="W400">
        <f t="shared" si="38"/>
        <v>4.7510117895478293E-3</v>
      </c>
      <c r="X400">
        <f t="shared" si="39"/>
        <v>3.7975801466041915E-3</v>
      </c>
      <c r="Y400">
        <f t="shared" si="39"/>
        <v>-3.2570422535210418E-3</v>
      </c>
      <c r="Z400">
        <f t="shared" si="39"/>
        <v>2.647837599293885E-3</v>
      </c>
      <c r="AE400">
        <f>W400-mu-theta*AE399</f>
        <v>5.2170177350928182E-3</v>
      </c>
      <c r="AF400">
        <f t="shared" si="41"/>
        <v>2.985717178285508E-3</v>
      </c>
      <c r="AG400">
        <f t="shared" si="41"/>
        <v>-2.3071826434646506E-3</v>
      </c>
      <c r="AK400">
        <f t="shared" si="40"/>
        <v>2.7217274048272997E-5</v>
      </c>
    </row>
    <row r="401" spans="1:37" x14ac:dyDescent="0.3">
      <c r="A401" s="1">
        <v>44487</v>
      </c>
      <c r="B401">
        <v>1.1609</v>
      </c>
      <c r="C401">
        <v>1.3725000000000001</v>
      </c>
      <c r="D401">
        <v>114.31</v>
      </c>
      <c r="G401">
        <v>1.1609</v>
      </c>
      <c r="H401">
        <f t="shared" si="37"/>
        <v>1.1599999999999999</v>
      </c>
      <c r="I401">
        <f t="shared" si="37"/>
        <v>1.1594</v>
      </c>
      <c r="J401">
        <f t="shared" si="37"/>
        <v>1.1592</v>
      </c>
      <c r="L401">
        <f t="shared" si="36"/>
        <v>9.0000000000012292E-4</v>
      </c>
      <c r="W401">
        <f t="shared" si="38"/>
        <v>9.6322241681260441E-4</v>
      </c>
      <c r="X401">
        <f t="shared" si="39"/>
        <v>4.7510117895478293E-3</v>
      </c>
      <c r="Y401">
        <f t="shared" si="39"/>
        <v>3.7975801466041915E-3</v>
      </c>
      <c r="Z401">
        <f t="shared" si="39"/>
        <v>-3.2570422535210418E-3</v>
      </c>
      <c r="AE401">
        <f>W401-mu-theta*AE400</f>
        <v>1.9679329883763698E-3</v>
      </c>
      <c r="AF401">
        <f t="shared" si="41"/>
        <v>5.2170177350928182E-3</v>
      </c>
      <c r="AG401">
        <f t="shared" si="41"/>
        <v>2.985717178285508E-3</v>
      </c>
      <c r="AK401">
        <f t="shared" si="40"/>
        <v>3.8727602467399489E-6</v>
      </c>
    </row>
    <row r="402" spans="1:37" x14ac:dyDescent="0.3">
      <c r="A402" s="1">
        <v>44488</v>
      </c>
      <c r="B402">
        <v>1.1632</v>
      </c>
      <c r="C402">
        <v>1.3794999999999999</v>
      </c>
      <c r="D402">
        <v>114.36</v>
      </c>
      <c r="G402">
        <v>1.1632</v>
      </c>
      <c r="H402">
        <f t="shared" si="37"/>
        <v>1.1609</v>
      </c>
      <c r="I402">
        <f t="shared" si="37"/>
        <v>1.1599999999999999</v>
      </c>
      <c r="J402">
        <f t="shared" si="37"/>
        <v>1.1594</v>
      </c>
      <c r="L402">
        <f t="shared" si="36"/>
        <v>2.2999999999999687E-3</v>
      </c>
      <c r="W402">
        <f t="shared" si="38"/>
        <v>4.3740705100163728E-4</v>
      </c>
      <c r="X402">
        <f t="shared" si="39"/>
        <v>9.6322241681260441E-4</v>
      </c>
      <c r="Y402">
        <f t="shared" si="39"/>
        <v>4.7510117895478293E-3</v>
      </c>
      <c r="Z402">
        <f t="shared" si="39"/>
        <v>3.7975801466041915E-3</v>
      </c>
      <c r="AE402">
        <f>W402-mu-theta*AE401</f>
        <v>6.5768856927478131E-4</v>
      </c>
      <c r="AF402">
        <f t="shared" si="41"/>
        <v>1.9679329883763698E-3</v>
      </c>
      <c r="AG402">
        <f t="shared" si="41"/>
        <v>5.2170177350928182E-3</v>
      </c>
      <c r="AK402">
        <f t="shared" si="40"/>
        <v>4.3255425415470879E-7</v>
      </c>
    </row>
    <row r="403" spans="1:37" x14ac:dyDescent="0.3">
      <c r="A403" s="1">
        <v>44489</v>
      </c>
      <c r="B403">
        <v>1.1649</v>
      </c>
      <c r="C403">
        <v>1.3824000000000001</v>
      </c>
      <c r="D403">
        <v>114.26</v>
      </c>
      <c r="G403">
        <v>1.1649</v>
      </c>
      <c r="H403">
        <f t="shared" si="37"/>
        <v>1.1632</v>
      </c>
      <c r="I403">
        <f t="shared" si="37"/>
        <v>1.1609</v>
      </c>
      <c r="J403">
        <f t="shared" si="37"/>
        <v>1.1599999999999999</v>
      </c>
      <c r="L403">
        <f t="shared" si="36"/>
        <v>1.7000000000000348E-3</v>
      </c>
      <c r="W403">
        <f t="shared" si="38"/>
        <v>-8.7443161944730948E-4</v>
      </c>
      <c r="X403">
        <f t="shared" si="39"/>
        <v>4.3740705100163728E-4</v>
      </c>
      <c r="Y403">
        <f t="shared" si="39"/>
        <v>9.6322241681260441E-4</v>
      </c>
      <c r="Z403">
        <f t="shared" si="39"/>
        <v>4.7510117895478293E-3</v>
      </c>
      <c r="AE403">
        <f>W403-mu-theta*AE402</f>
        <v>-9.7048342867320204E-4</v>
      </c>
      <c r="AF403">
        <f t="shared" si="41"/>
        <v>6.5768856927478131E-4</v>
      </c>
      <c r="AG403">
        <f t="shared" si="41"/>
        <v>1.9679329883763698E-3</v>
      </c>
      <c r="AK403">
        <f t="shared" si="40"/>
        <v>9.4183808532929402E-7</v>
      </c>
    </row>
    <row r="404" spans="1:37" x14ac:dyDescent="0.3">
      <c r="A404" s="1">
        <v>44490</v>
      </c>
      <c r="B404">
        <v>1.1620999999999999</v>
      </c>
      <c r="C404">
        <v>1.3791</v>
      </c>
      <c r="D404">
        <v>113.97</v>
      </c>
      <c r="G404">
        <v>1.1620999999999999</v>
      </c>
      <c r="H404">
        <f t="shared" si="37"/>
        <v>1.1649</v>
      </c>
      <c r="I404">
        <f t="shared" si="37"/>
        <v>1.1632</v>
      </c>
      <c r="J404">
        <f t="shared" si="37"/>
        <v>1.1609</v>
      </c>
      <c r="L404">
        <f t="shared" si="36"/>
        <v>-2.8000000000001357E-3</v>
      </c>
      <c r="W404">
        <f t="shared" si="38"/>
        <v>-2.5380710659899022E-3</v>
      </c>
      <c r="X404">
        <f t="shared" si="39"/>
        <v>-8.7443161944730948E-4</v>
      </c>
      <c r="Y404">
        <f t="shared" si="39"/>
        <v>4.3740705100163728E-4</v>
      </c>
      <c r="Z404">
        <f t="shared" si="39"/>
        <v>9.6322241681260441E-4</v>
      </c>
      <c r="AE404">
        <f>W404-mu-theta*AE403</f>
        <v>-3.027213704944188E-3</v>
      </c>
      <c r="AF404">
        <f t="shared" si="41"/>
        <v>-9.7048342867320204E-4</v>
      </c>
      <c r="AG404">
        <f t="shared" si="41"/>
        <v>6.5768856927478131E-4</v>
      </c>
      <c r="AK404">
        <f t="shared" si="40"/>
        <v>9.1640228154019173E-6</v>
      </c>
    </row>
    <row r="405" spans="1:37" x14ac:dyDescent="0.3">
      <c r="A405" s="1">
        <v>44491</v>
      </c>
      <c r="B405">
        <v>1.1647000000000001</v>
      </c>
      <c r="C405">
        <v>1.3751</v>
      </c>
      <c r="D405">
        <v>113.46</v>
      </c>
      <c r="G405">
        <v>1.1647000000000001</v>
      </c>
      <c r="H405">
        <f t="shared" si="37"/>
        <v>1.1620999999999999</v>
      </c>
      <c r="I405">
        <f t="shared" si="37"/>
        <v>1.1649</v>
      </c>
      <c r="J405">
        <f t="shared" si="37"/>
        <v>1.1632</v>
      </c>
      <c r="L405">
        <f t="shared" si="36"/>
        <v>2.6000000000001577E-3</v>
      </c>
      <c r="W405">
        <f t="shared" si="38"/>
        <v>-4.4748618057383971E-3</v>
      </c>
      <c r="X405">
        <f t="shared" si="39"/>
        <v>-2.5380710659899022E-3</v>
      </c>
      <c r="Y405">
        <f t="shared" si="39"/>
        <v>-8.7443161944730948E-4</v>
      </c>
      <c r="Z405">
        <f t="shared" si="39"/>
        <v>4.3740705100163728E-4</v>
      </c>
      <c r="AE405">
        <f>W405-mu-theta*AE404</f>
        <v>-5.4605624323290107E-3</v>
      </c>
      <c r="AF405">
        <f t="shared" si="41"/>
        <v>-3.027213704944188E-3</v>
      </c>
      <c r="AG405">
        <f t="shared" si="41"/>
        <v>-9.7048342867320204E-4</v>
      </c>
      <c r="AK405">
        <f t="shared" si="40"/>
        <v>2.981774207736292E-5</v>
      </c>
    </row>
    <row r="406" spans="1:37" x14ac:dyDescent="0.3">
      <c r="A406" s="1">
        <v>44494</v>
      </c>
      <c r="B406">
        <v>1.1606000000000001</v>
      </c>
      <c r="C406">
        <v>1.3768</v>
      </c>
      <c r="D406">
        <v>113.7</v>
      </c>
      <c r="G406">
        <v>1.1606000000000001</v>
      </c>
      <c r="H406">
        <f t="shared" si="37"/>
        <v>1.1647000000000001</v>
      </c>
      <c r="I406">
        <f t="shared" si="37"/>
        <v>1.1620999999999999</v>
      </c>
      <c r="J406">
        <f t="shared" si="37"/>
        <v>1.1649</v>
      </c>
      <c r="L406">
        <f t="shared" si="36"/>
        <v>-4.0999999999999925E-3</v>
      </c>
      <c r="W406">
        <f t="shared" si="38"/>
        <v>2.1152829190905086E-3</v>
      </c>
      <c r="X406">
        <f t="shared" si="39"/>
        <v>-4.4748618057383971E-3</v>
      </c>
      <c r="Y406">
        <f t="shared" si="39"/>
        <v>-2.5380710659899022E-3</v>
      </c>
      <c r="Z406">
        <f t="shared" si="39"/>
        <v>-8.7443161944730948E-4</v>
      </c>
      <c r="AE406">
        <f>W406-mu-theta*AE405</f>
        <v>5.4209701976964302E-4</v>
      </c>
      <c r="AF406">
        <f t="shared" si="41"/>
        <v>-5.4605624323290107E-3</v>
      </c>
      <c r="AG406">
        <f t="shared" si="41"/>
        <v>-3.027213704944188E-3</v>
      </c>
      <c r="AK406">
        <f t="shared" si="40"/>
        <v>2.9386917884312871E-7</v>
      </c>
    </row>
    <row r="407" spans="1:37" x14ac:dyDescent="0.3">
      <c r="A407" s="1">
        <v>44495</v>
      </c>
      <c r="B407">
        <v>1.1595</v>
      </c>
      <c r="C407">
        <v>1.3766</v>
      </c>
      <c r="D407">
        <v>114.14</v>
      </c>
      <c r="G407">
        <v>1.1595</v>
      </c>
      <c r="H407">
        <f t="shared" si="37"/>
        <v>1.1606000000000001</v>
      </c>
      <c r="I407">
        <f t="shared" si="37"/>
        <v>1.1647000000000001</v>
      </c>
      <c r="J407">
        <f t="shared" si="37"/>
        <v>1.1620999999999999</v>
      </c>
      <c r="L407">
        <f t="shared" si="36"/>
        <v>-1.1000000000001009E-3</v>
      </c>
      <c r="W407">
        <f t="shared" si="38"/>
        <v>3.8698328935795755E-3</v>
      </c>
      <c r="X407">
        <f t="shared" si="39"/>
        <v>2.1152829190905086E-3</v>
      </c>
      <c r="Y407">
        <f t="shared" si="39"/>
        <v>-4.4748618057383971E-3</v>
      </c>
      <c r="Z407">
        <f t="shared" si="39"/>
        <v>-2.5380710659899022E-3</v>
      </c>
      <c r="AE407">
        <f>W407-mu-theta*AE406</f>
        <v>3.7458737268006529E-3</v>
      </c>
      <c r="AF407">
        <f t="shared" si="41"/>
        <v>5.4209701976964302E-4</v>
      </c>
      <c r="AG407">
        <f t="shared" si="41"/>
        <v>-5.4605624323290107E-3</v>
      </c>
      <c r="AK407">
        <f t="shared" si="40"/>
        <v>1.4031569977135412E-5</v>
      </c>
    </row>
    <row r="408" spans="1:37" x14ac:dyDescent="0.3">
      <c r="A408" s="1">
        <v>44496</v>
      </c>
      <c r="B408">
        <v>1.1604000000000001</v>
      </c>
      <c r="C408">
        <v>1.3746</v>
      </c>
      <c r="D408">
        <v>113.81</v>
      </c>
      <c r="G408">
        <v>1.1604000000000001</v>
      </c>
      <c r="H408">
        <f t="shared" si="37"/>
        <v>1.1595</v>
      </c>
      <c r="I408">
        <f t="shared" si="37"/>
        <v>1.1606000000000001</v>
      </c>
      <c r="J408">
        <f t="shared" si="37"/>
        <v>1.1647000000000001</v>
      </c>
      <c r="L408">
        <f t="shared" si="36"/>
        <v>9.0000000000012292E-4</v>
      </c>
      <c r="W408">
        <f t="shared" si="38"/>
        <v>-2.891186262484653E-3</v>
      </c>
      <c r="X408">
        <f t="shared" si="39"/>
        <v>3.8698328935795755E-3</v>
      </c>
      <c r="Y408">
        <f t="shared" si="39"/>
        <v>2.1152829190905086E-3</v>
      </c>
      <c r="Z408">
        <f t="shared" si="39"/>
        <v>-4.4748618057383971E-3</v>
      </c>
      <c r="AE408">
        <f>W408-mu-theta*AE407</f>
        <v>-2.241655131175576E-3</v>
      </c>
      <c r="AF408">
        <f t="shared" si="41"/>
        <v>3.7458737268006529E-3</v>
      </c>
      <c r="AG408">
        <f t="shared" si="41"/>
        <v>5.4209701976964302E-4</v>
      </c>
      <c r="AK408">
        <f t="shared" si="40"/>
        <v>5.0250177271257884E-6</v>
      </c>
    </row>
    <row r="409" spans="1:37" x14ac:dyDescent="0.3">
      <c r="A409" s="1">
        <v>44497</v>
      </c>
      <c r="B409">
        <v>1.1678999999999999</v>
      </c>
      <c r="C409">
        <v>1.3788</v>
      </c>
      <c r="D409">
        <v>113.56</v>
      </c>
      <c r="G409">
        <v>1.1678999999999999</v>
      </c>
      <c r="H409">
        <f t="shared" si="37"/>
        <v>1.1604000000000001</v>
      </c>
      <c r="I409">
        <f t="shared" si="37"/>
        <v>1.1595</v>
      </c>
      <c r="J409">
        <f t="shared" si="37"/>
        <v>1.1606000000000001</v>
      </c>
      <c r="L409">
        <f t="shared" si="36"/>
        <v>7.4999999999998401E-3</v>
      </c>
      <c r="W409">
        <f t="shared" si="38"/>
        <v>-2.1966435286881643E-3</v>
      </c>
      <c r="X409">
        <f t="shared" si="39"/>
        <v>-2.891186262484653E-3</v>
      </c>
      <c r="Y409">
        <f t="shared" si="39"/>
        <v>3.8698328935795755E-3</v>
      </c>
      <c r="Z409">
        <f t="shared" si="39"/>
        <v>2.1152829190905086E-3</v>
      </c>
      <c r="AE409">
        <f>W409-mu-theta*AE408</f>
        <v>-2.9926861388332561E-3</v>
      </c>
      <c r="AF409">
        <f t="shared" si="41"/>
        <v>-2.241655131175576E-3</v>
      </c>
      <c r="AG409">
        <f t="shared" si="41"/>
        <v>3.7458737268006529E-3</v>
      </c>
      <c r="AK409">
        <f t="shared" si="40"/>
        <v>8.956170325564703E-6</v>
      </c>
    </row>
    <row r="410" spans="1:37" x14ac:dyDescent="0.3">
      <c r="A410" s="1">
        <v>44498</v>
      </c>
      <c r="B410">
        <v>1.1560999999999999</v>
      </c>
      <c r="C410">
        <v>1.3691</v>
      </c>
      <c r="D410">
        <v>114</v>
      </c>
      <c r="G410">
        <v>1.1560999999999999</v>
      </c>
      <c r="H410">
        <f t="shared" si="37"/>
        <v>1.1678999999999999</v>
      </c>
      <c r="I410">
        <f t="shared" si="37"/>
        <v>1.1604000000000001</v>
      </c>
      <c r="J410">
        <f t="shared" si="37"/>
        <v>1.1595</v>
      </c>
      <c r="L410">
        <f t="shared" si="36"/>
        <v>-1.1800000000000033E-2</v>
      </c>
      <c r="W410">
        <f t="shared" si="38"/>
        <v>3.8746037337090322E-3</v>
      </c>
      <c r="X410">
        <f t="shared" si="39"/>
        <v>-2.1966435286881643E-3</v>
      </c>
      <c r="Y410">
        <f t="shared" si="39"/>
        <v>-2.891186262484653E-3</v>
      </c>
      <c r="Z410">
        <f t="shared" si="39"/>
        <v>3.8698328935795755E-3</v>
      </c>
      <c r="AE410">
        <f>W410-mu-theta*AE409</f>
        <v>2.8972391242149866E-3</v>
      </c>
      <c r="AF410">
        <f t="shared" si="41"/>
        <v>-2.9926861388332561E-3</v>
      </c>
      <c r="AG410">
        <f t="shared" si="41"/>
        <v>-2.241655131175576E-3</v>
      </c>
      <c r="AK410">
        <f t="shared" si="40"/>
        <v>8.3939945428820234E-6</v>
      </c>
    </row>
    <row r="411" spans="1:37" x14ac:dyDescent="0.3">
      <c r="A411" s="1">
        <v>44501</v>
      </c>
      <c r="B411">
        <v>1.1606000000000001</v>
      </c>
      <c r="C411">
        <v>1.3672</v>
      </c>
      <c r="D411">
        <v>113.98</v>
      </c>
      <c r="G411">
        <v>1.1606000000000001</v>
      </c>
      <c r="H411">
        <f t="shared" si="37"/>
        <v>1.1560999999999999</v>
      </c>
      <c r="I411">
        <f t="shared" si="37"/>
        <v>1.1678999999999999</v>
      </c>
      <c r="J411">
        <f t="shared" si="37"/>
        <v>1.1604000000000001</v>
      </c>
      <c r="L411">
        <f t="shared" si="36"/>
        <v>4.5000000000001705E-3</v>
      </c>
      <c r="W411">
        <f t="shared" si="38"/>
        <v>-1.7543859649119317E-4</v>
      </c>
      <c r="X411">
        <f t="shared" si="39"/>
        <v>3.8746037337090322E-3</v>
      </c>
      <c r="Y411">
        <f t="shared" si="39"/>
        <v>-2.1966435286881643E-3</v>
      </c>
      <c r="Z411">
        <f t="shared" si="39"/>
        <v>-2.891186262484653E-3</v>
      </c>
      <c r="AE411">
        <f>W411-mu-theta*AE410</f>
        <v>2.6920602375697916E-4</v>
      </c>
      <c r="AF411">
        <f t="shared" si="41"/>
        <v>2.8972391242149866E-3</v>
      </c>
      <c r="AG411">
        <f t="shared" si="41"/>
        <v>-2.9926861388332561E-3</v>
      </c>
      <c r="AK411">
        <f t="shared" si="40"/>
        <v>7.2471883227043225E-8</v>
      </c>
    </row>
    <row r="412" spans="1:37" x14ac:dyDescent="0.3">
      <c r="A412" s="1">
        <v>44502</v>
      </c>
      <c r="B412">
        <v>1.1577</v>
      </c>
      <c r="C412">
        <v>1.3613999999999999</v>
      </c>
      <c r="D412">
        <v>113.95</v>
      </c>
      <c r="G412">
        <v>1.1577</v>
      </c>
      <c r="H412">
        <f t="shared" si="37"/>
        <v>1.1606000000000001</v>
      </c>
      <c r="I412">
        <f t="shared" si="37"/>
        <v>1.1560999999999999</v>
      </c>
      <c r="J412">
        <f t="shared" si="37"/>
        <v>1.1678999999999999</v>
      </c>
      <c r="L412">
        <f t="shared" si="36"/>
        <v>-2.9000000000001247E-3</v>
      </c>
      <c r="W412">
        <f t="shared" si="38"/>
        <v>-2.6320407088963971E-4</v>
      </c>
      <c r="X412">
        <f t="shared" si="39"/>
        <v>-1.7543859649119317E-4</v>
      </c>
      <c r="Y412">
        <f t="shared" si="39"/>
        <v>3.8746037337090322E-3</v>
      </c>
      <c r="Z412">
        <f t="shared" si="39"/>
        <v>-2.1966435286881643E-3</v>
      </c>
      <c r="AE412">
        <f>W412-mu-theta*AE411</f>
        <v>-4.5304752273378956E-4</v>
      </c>
      <c r="AF412">
        <f t="shared" si="41"/>
        <v>2.6920602375697916E-4</v>
      </c>
      <c r="AG412">
        <f t="shared" si="41"/>
        <v>2.8972391242149866E-3</v>
      </c>
      <c r="AK412">
        <f t="shared" si="40"/>
        <v>2.0525205785522358E-7</v>
      </c>
    </row>
    <row r="413" spans="1:37" x14ac:dyDescent="0.3">
      <c r="A413" s="1">
        <v>44503</v>
      </c>
      <c r="B413">
        <v>1.161</v>
      </c>
      <c r="C413">
        <v>1.3684000000000001</v>
      </c>
      <c r="D413">
        <v>113.98</v>
      </c>
      <c r="G413">
        <v>1.161</v>
      </c>
      <c r="H413">
        <f t="shared" si="37"/>
        <v>1.1577</v>
      </c>
      <c r="I413">
        <f t="shared" si="37"/>
        <v>1.1606000000000001</v>
      </c>
      <c r="J413">
        <f t="shared" si="37"/>
        <v>1.1560999999999999</v>
      </c>
      <c r="L413">
        <f t="shared" si="36"/>
        <v>3.3000000000000806E-3</v>
      </c>
      <c r="W413">
        <f t="shared" si="38"/>
        <v>2.6327336551119906E-4</v>
      </c>
      <c r="X413">
        <f t="shared" si="39"/>
        <v>-2.6320407088963971E-4</v>
      </c>
      <c r="Y413">
        <f t="shared" si="39"/>
        <v>-1.7543859649119317E-4</v>
      </c>
      <c r="Z413">
        <f t="shared" si="39"/>
        <v>3.8746037337090322E-3</v>
      </c>
      <c r="AE413">
        <f>W413-mu-theta*AE412</f>
        <v>-1.0094432088688606E-4</v>
      </c>
      <c r="AF413">
        <f t="shared" si="41"/>
        <v>-4.5304752273378956E-4</v>
      </c>
      <c r="AG413">
        <f t="shared" si="41"/>
        <v>2.6920602375697916E-4</v>
      </c>
      <c r="AK413">
        <f t="shared" si="40"/>
        <v>1.0189755919314622E-8</v>
      </c>
    </row>
    <row r="414" spans="1:37" x14ac:dyDescent="0.3">
      <c r="A414" s="1">
        <v>44504</v>
      </c>
      <c r="B414">
        <v>1.1552</v>
      </c>
      <c r="C414">
        <v>1.3498000000000001</v>
      </c>
      <c r="D414">
        <v>113.75</v>
      </c>
      <c r="G414">
        <v>1.1552</v>
      </c>
      <c r="H414">
        <f t="shared" si="37"/>
        <v>1.161</v>
      </c>
      <c r="I414">
        <f t="shared" si="37"/>
        <v>1.1577</v>
      </c>
      <c r="J414">
        <f t="shared" si="37"/>
        <v>1.1606000000000001</v>
      </c>
      <c r="L414">
        <f t="shared" si="36"/>
        <v>-5.8000000000000274E-3</v>
      </c>
      <c r="W414">
        <f t="shared" si="38"/>
        <v>-2.0178978768205296E-3</v>
      </c>
      <c r="X414">
        <f t="shared" si="39"/>
        <v>2.6327336551119906E-4</v>
      </c>
      <c r="Y414">
        <f t="shared" si="39"/>
        <v>-2.6320407088963971E-4</v>
      </c>
      <c r="Z414">
        <f t="shared" si="39"/>
        <v>-1.7543859649119317E-4</v>
      </c>
      <c r="AE414">
        <f>W414-mu-theta*AE413</f>
        <v>-2.2971070137911206E-3</v>
      </c>
      <c r="AF414">
        <f t="shared" si="41"/>
        <v>-1.0094432088688606E-4</v>
      </c>
      <c r="AG414">
        <f t="shared" si="41"/>
        <v>-4.5304752273378956E-4</v>
      </c>
      <c r="AK414">
        <f t="shared" si="40"/>
        <v>5.2767006328083595E-6</v>
      </c>
    </row>
    <row r="415" spans="1:37" x14ac:dyDescent="0.3">
      <c r="A415" s="1">
        <v>44505</v>
      </c>
      <c r="B415">
        <v>1.1566000000000001</v>
      </c>
      <c r="C415">
        <v>1.3493999999999999</v>
      </c>
      <c r="D415">
        <v>113.4</v>
      </c>
      <c r="G415">
        <v>1.1566000000000001</v>
      </c>
      <c r="H415">
        <f t="shared" si="37"/>
        <v>1.1552</v>
      </c>
      <c r="I415">
        <f t="shared" si="37"/>
        <v>1.161</v>
      </c>
      <c r="J415">
        <f t="shared" si="37"/>
        <v>1.1577</v>
      </c>
      <c r="L415">
        <f t="shared" si="36"/>
        <v>1.4000000000000679E-3</v>
      </c>
      <c r="W415">
        <f t="shared" si="38"/>
        <v>-3.076923076923027E-3</v>
      </c>
      <c r="X415">
        <f t="shared" si="39"/>
        <v>-2.0178978768205296E-3</v>
      </c>
      <c r="Y415">
        <f t="shared" si="39"/>
        <v>2.6327336551119906E-4</v>
      </c>
      <c r="Z415">
        <f t="shared" si="39"/>
        <v>-2.6320407088963971E-4</v>
      </c>
      <c r="AE415">
        <f>W415-mu-theta*AE414</f>
        <v>-3.8863534781459763E-3</v>
      </c>
      <c r="AF415">
        <f t="shared" si="41"/>
        <v>-2.2971070137911206E-3</v>
      </c>
      <c r="AG415">
        <f t="shared" si="41"/>
        <v>-1.0094432088688606E-4</v>
      </c>
      <c r="AK415">
        <f t="shared" si="40"/>
        <v>1.5103743357097327E-5</v>
      </c>
    </row>
    <row r="416" spans="1:37" x14ac:dyDescent="0.3">
      <c r="A416" s="1">
        <v>44508</v>
      </c>
      <c r="B416">
        <v>1.1586000000000001</v>
      </c>
      <c r="C416">
        <v>1.3561000000000001</v>
      </c>
      <c r="D416">
        <v>113.22</v>
      </c>
      <c r="G416">
        <v>1.1586000000000001</v>
      </c>
      <c r="H416">
        <f t="shared" si="37"/>
        <v>1.1566000000000001</v>
      </c>
      <c r="I416">
        <f t="shared" si="37"/>
        <v>1.1552</v>
      </c>
      <c r="J416">
        <f t="shared" si="37"/>
        <v>1.161</v>
      </c>
      <c r="L416">
        <f t="shared" si="36"/>
        <v>2.0000000000000018E-3</v>
      </c>
      <c r="W416">
        <f t="shared" si="38"/>
        <v>-1.5873015873016474E-3</v>
      </c>
      <c r="X416">
        <f t="shared" si="39"/>
        <v>-3.076923076923027E-3</v>
      </c>
      <c r="Y416">
        <f t="shared" si="39"/>
        <v>-2.0178978768205296E-3</v>
      </c>
      <c r="Z416">
        <f t="shared" si="39"/>
        <v>2.6327336551119906E-4</v>
      </c>
      <c r="AE416">
        <f>W416-mu-theta*AE415</f>
        <v>-2.7804249964522056E-3</v>
      </c>
      <c r="AF416">
        <f t="shared" si="41"/>
        <v>-3.8863534781459763E-3</v>
      </c>
      <c r="AG416">
        <f t="shared" si="41"/>
        <v>-2.2971070137911206E-3</v>
      </c>
      <c r="AK416">
        <f t="shared" si="40"/>
        <v>7.7307631608962472E-6</v>
      </c>
    </row>
    <row r="417" spans="1:37" x14ac:dyDescent="0.3">
      <c r="A417" s="1">
        <v>44509</v>
      </c>
      <c r="B417">
        <v>1.1591</v>
      </c>
      <c r="C417">
        <v>1.3553999999999999</v>
      </c>
      <c r="D417">
        <v>112.85</v>
      </c>
      <c r="G417">
        <v>1.1591</v>
      </c>
      <c r="H417">
        <f t="shared" si="37"/>
        <v>1.1586000000000001</v>
      </c>
      <c r="I417">
        <f t="shared" si="37"/>
        <v>1.1566000000000001</v>
      </c>
      <c r="J417">
        <f t="shared" si="37"/>
        <v>1.1552</v>
      </c>
      <c r="L417">
        <f t="shared" si="36"/>
        <v>4.9999999999994493E-4</v>
      </c>
      <c r="W417">
        <f t="shared" si="38"/>
        <v>-3.2679738562091903E-3</v>
      </c>
      <c r="X417">
        <f t="shared" si="39"/>
        <v>-1.5873015873016474E-3</v>
      </c>
      <c r="Y417">
        <f t="shared" si="39"/>
        <v>-3.076923076923027E-3</v>
      </c>
      <c r="Z417">
        <f t="shared" si="39"/>
        <v>-2.0178978768205296E-3</v>
      </c>
      <c r="AE417">
        <f>W417-mu-theta*AE416</f>
        <v>-4.1940920932789331E-3</v>
      </c>
      <c r="AF417">
        <f t="shared" si="41"/>
        <v>-2.7804249964522056E-3</v>
      </c>
      <c r="AG417">
        <f t="shared" si="41"/>
        <v>-3.8863534781459763E-3</v>
      </c>
      <c r="AK417">
        <f t="shared" si="40"/>
        <v>1.7590408486904864E-5</v>
      </c>
    </row>
    <row r="418" spans="1:37" x14ac:dyDescent="0.3">
      <c r="A418" s="1">
        <v>44510</v>
      </c>
      <c r="B418">
        <v>1.1477999999999999</v>
      </c>
      <c r="C418">
        <v>1.3401000000000001</v>
      </c>
      <c r="D418">
        <v>113.9</v>
      </c>
      <c r="G418">
        <v>1.1477999999999999</v>
      </c>
      <c r="H418">
        <f t="shared" si="37"/>
        <v>1.1591</v>
      </c>
      <c r="I418">
        <f t="shared" si="37"/>
        <v>1.1586000000000001</v>
      </c>
      <c r="J418">
        <f t="shared" si="37"/>
        <v>1.1566000000000001</v>
      </c>
      <c r="L418">
        <f t="shared" si="36"/>
        <v>-1.1300000000000088E-2</v>
      </c>
      <c r="W418">
        <f t="shared" si="38"/>
        <v>9.304386353566783E-3</v>
      </c>
      <c r="X418">
        <f t="shared" si="39"/>
        <v>-3.2679738562091903E-3</v>
      </c>
      <c r="Y418">
        <f t="shared" si="39"/>
        <v>-1.5873015873016474E-3</v>
      </c>
      <c r="Z418">
        <f t="shared" si="39"/>
        <v>-3.076923076923027E-3</v>
      </c>
      <c r="AE418">
        <f>W418-mu-theta*AE417</f>
        <v>8.0369653716078609E-3</v>
      </c>
      <c r="AF418">
        <f t="shared" si="41"/>
        <v>-4.1940920932789331E-3</v>
      </c>
      <c r="AG418">
        <f t="shared" si="41"/>
        <v>-2.7804249964522056E-3</v>
      </c>
      <c r="AK418">
        <f t="shared" si="40"/>
        <v>6.4592812384423886E-5</v>
      </c>
    </row>
    <row r="419" spans="1:37" x14ac:dyDescent="0.3">
      <c r="A419" s="1">
        <v>44511</v>
      </c>
      <c r="B419">
        <v>1.145</v>
      </c>
      <c r="C419">
        <v>1.3371</v>
      </c>
      <c r="D419">
        <v>114.05</v>
      </c>
      <c r="G419">
        <v>1.145</v>
      </c>
      <c r="H419">
        <f t="shared" si="37"/>
        <v>1.1477999999999999</v>
      </c>
      <c r="I419">
        <f t="shared" si="37"/>
        <v>1.1591</v>
      </c>
      <c r="J419">
        <f t="shared" si="37"/>
        <v>1.1586000000000001</v>
      </c>
      <c r="L419">
        <f t="shared" si="36"/>
        <v>-2.7999999999999137E-3</v>
      </c>
      <c r="W419">
        <f t="shared" si="38"/>
        <v>1.3169446883230156E-3</v>
      </c>
      <c r="X419">
        <f t="shared" si="39"/>
        <v>9.304386353566783E-3</v>
      </c>
      <c r="Y419">
        <f t="shared" si="39"/>
        <v>-3.2679738562091903E-3</v>
      </c>
      <c r="Z419">
        <f t="shared" si="39"/>
        <v>-1.5873015873016474E-3</v>
      </c>
      <c r="AE419">
        <f>W419-mu-theta*AE418</f>
        <v>3.0024774074396054E-3</v>
      </c>
      <c r="AF419">
        <f t="shared" si="41"/>
        <v>8.0369653716078609E-3</v>
      </c>
      <c r="AG419">
        <f t="shared" si="41"/>
        <v>-4.1940920932789331E-3</v>
      </c>
      <c r="AK419">
        <f t="shared" si="40"/>
        <v>9.0148705821852538E-6</v>
      </c>
    </row>
    <row r="420" spans="1:37" x14ac:dyDescent="0.3">
      <c r="A420" s="1">
        <v>44512</v>
      </c>
      <c r="B420">
        <v>1.145</v>
      </c>
      <c r="C420">
        <v>1.3412999999999999</v>
      </c>
      <c r="D420">
        <v>113.85</v>
      </c>
      <c r="G420">
        <v>1.145</v>
      </c>
      <c r="H420">
        <f t="shared" si="37"/>
        <v>1.145</v>
      </c>
      <c r="I420">
        <f t="shared" si="37"/>
        <v>1.1477999999999999</v>
      </c>
      <c r="J420">
        <f t="shared" si="37"/>
        <v>1.1591</v>
      </c>
      <c r="L420">
        <f t="shared" si="36"/>
        <v>0</v>
      </c>
      <c r="W420">
        <f t="shared" si="38"/>
        <v>-1.7536168347216383E-3</v>
      </c>
      <c r="X420">
        <f t="shared" si="39"/>
        <v>1.3169446883230156E-3</v>
      </c>
      <c r="Y420">
        <f t="shared" si="39"/>
        <v>9.304386353566783E-3</v>
      </c>
      <c r="Z420">
        <f t="shared" si="39"/>
        <v>-3.2679738562091903E-3</v>
      </c>
      <c r="AE420">
        <f>W420-mu-theta*AE419</f>
        <v>-1.2835644540377784E-3</v>
      </c>
      <c r="AF420">
        <f t="shared" si="41"/>
        <v>3.0024774074396054E-3</v>
      </c>
      <c r="AG420">
        <f t="shared" si="41"/>
        <v>8.0369653716078609E-3</v>
      </c>
      <c r="AK420">
        <f t="shared" si="40"/>
        <v>1.6475377076693E-6</v>
      </c>
    </row>
    <row r="421" spans="1:37" x14ac:dyDescent="0.3">
      <c r="A421" s="1">
        <v>44515</v>
      </c>
      <c r="B421">
        <v>1.1367</v>
      </c>
      <c r="C421">
        <v>1.3418000000000001</v>
      </c>
      <c r="D421">
        <v>114.12</v>
      </c>
      <c r="G421">
        <v>1.1367</v>
      </c>
      <c r="H421">
        <f t="shared" si="37"/>
        <v>1.145</v>
      </c>
      <c r="I421">
        <f t="shared" si="37"/>
        <v>1.145</v>
      </c>
      <c r="J421">
        <f t="shared" si="37"/>
        <v>1.1477999999999999</v>
      </c>
      <c r="L421">
        <f t="shared" si="36"/>
        <v>-8.2999999999999741E-3</v>
      </c>
      <c r="W421">
        <f t="shared" si="38"/>
        <v>2.3715415019763745E-3</v>
      </c>
      <c r="X421">
        <f t="shared" si="39"/>
        <v>-1.7536168347216383E-3</v>
      </c>
      <c r="Y421">
        <f t="shared" si="39"/>
        <v>1.3169446883230156E-3</v>
      </c>
      <c r="Z421">
        <f t="shared" si="39"/>
        <v>9.304386353566783E-3</v>
      </c>
      <c r="AE421">
        <f>W421-mu-theta*AE420</f>
        <v>1.806811467963161E-3</v>
      </c>
      <c r="AF421">
        <f t="shared" si="41"/>
        <v>-1.2835644540377784E-3</v>
      </c>
      <c r="AG421">
        <f t="shared" si="41"/>
        <v>3.0024774074396054E-3</v>
      </c>
      <c r="AK421">
        <f t="shared" si="40"/>
        <v>3.2645676807631929E-6</v>
      </c>
    </row>
    <row r="422" spans="1:37" x14ac:dyDescent="0.3">
      <c r="A422" s="1">
        <v>44516</v>
      </c>
      <c r="B422">
        <v>1.1318999999999999</v>
      </c>
      <c r="C422">
        <v>1.3427</v>
      </c>
      <c r="D422">
        <v>114.82</v>
      </c>
      <c r="G422">
        <v>1.1318999999999999</v>
      </c>
      <c r="H422">
        <f t="shared" si="37"/>
        <v>1.1367</v>
      </c>
      <c r="I422">
        <f t="shared" si="37"/>
        <v>1.145</v>
      </c>
      <c r="J422">
        <f t="shared" si="37"/>
        <v>1.145</v>
      </c>
      <c r="L422">
        <f t="shared" si="36"/>
        <v>-4.8000000000001375E-3</v>
      </c>
      <c r="W422">
        <f t="shared" si="38"/>
        <v>6.133894146512343E-3</v>
      </c>
      <c r="X422">
        <f t="shared" si="39"/>
        <v>2.3715415019763745E-3</v>
      </c>
      <c r="Y422">
        <f t="shared" si="39"/>
        <v>-1.7536168347216383E-3</v>
      </c>
      <c r="Z422">
        <f t="shared" si="39"/>
        <v>1.3169446883230156E-3</v>
      </c>
      <c r="AE422">
        <f>W422-mu-theta*AE421</f>
        <v>6.3152759710024273E-3</v>
      </c>
      <c r="AF422">
        <f t="shared" si="41"/>
        <v>1.806811467963161E-3</v>
      </c>
      <c r="AG422">
        <f t="shared" si="41"/>
        <v>-1.2835644540377784E-3</v>
      </c>
      <c r="AK422">
        <f t="shared" si="40"/>
        <v>3.9882710589920654E-5</v>
      </c>
    </row>
    <row r="423" spans="1:37" x14ac:dyDescent="0.3">
      <c r="A423" s="1">
        <v>44517</v>
      </c>
      <c r="B423">
        <v>1.1318999999999999</v>
      </c>
      <c r="C423">
        <v>1.3480000000000001</v>
      </c>
      <c r="D423">
        <v>114.07</v>
      </c>
      <c r="G423">
        <v>1.1318999999999999</v>
      </c>
      <c r="H423">
        <f t="shared" si="37"/>
        <v>1.1318999999999999</v>
      </c>
      <c r="I423">
        <f t="shared" si="37"/>
        <v>1.1367</v>
      </c>
      <c r="J423">
        <f t="shared" si="37"/>
        <v>1.145</v>
      </c>
      <c r="L423">
        <f t="shared" si="36"/>
        <v>0</v>
      </c>
      <c r="W423">
        <f t="shared" si="38"/>
        <v>-6.5319630726354298E-3</v>
      </c>
      <c r="X423">
        <f t="shared" si="39"/>
        <v>6.133894146512343E-3</v>
      </c>
      <c r="Y423">
        <f t="shared" si="39"/>
        <v>2.3715415019763745E-3</v>
      </c>
      <c r="Z423">
        <f t="shared" si="39"/>
        <v>-1.7536168347216383E-3</v>
      </c>
      <c r="AE423">
        <f>W423-mu-theta*AE422</f>
        <v>-5.26209916238641E-3</v>
      </c>
      <c r="AF423">
        <f t="shared" si="41"/>
        <v>6.3152759710024273E-3</v>
      </c>
      <c r="AG423">
        <f t="shared" si="41"/>
        <v>1.806811467963161E-3</v>
      </c>
      <c r="AK423">
        <f t="shared" si="40"/>
        <v>2.7689687594787757E-5</v>
      </c>
    </row>
    <row r="424" spans="1:37" x14ac:dyDescent="0.3">
      <c r="A424" s="1">
        <v>44518</v>
      </c>
      <c r="B424">
        <v>1.1369</v>
      </c>
      <c r="C424">
        <v>1.3488</v>
      </c>
      <c r="D424">
        <v>114.24</v>
      </c>
      <c r="G424">
        <v>1.1369</v>
      </c>
      <c r="H424">
        <f t="shared" si="37"/>
        <v>1.1318999999999999</v>
      </c>
      <c r="I424">
        <f t="shared" si="37"/>
        <v>1.1318999999999999</v>
      </c>
      <c r="J424">
        <f t="shared" si="37"/>
        <v>1.1367</v>
      </c>
      <c r="L424">
        <f t="shared" si="36"/>
        <v>5.0000000000001155E-3</v>
      </c>
      <c r="W424">
        <f t="shared" si="38"/>
        <v>1.4903129657228167E-3</v>
      </c>
      <c r="X424">
        <f t="shared" si="39"/>
        <v>-6.5319630726354298E-3</v>
      </c>
      <c r="Y424">
        <f t="shared" si="39"/>
        <v>6.133894146512343E-3</v>
      </c>
      <c r="Z424">
        <f t="shared" si="39"/>
        <v>2.3715415019763745E-3</v>
      </c>
      <c r="AE424">
        <f>W424-mu-theta*AE423</f>
        <v>-3.4957792230509233E-5</v>
      </c>
      <c r="AF424">
        <f t="shared" si="41"/>
        <v>-5.26209916238641E-3</v>
      </c>
      <c r="AG424">
        <f t="shared" si="41"/>
        <v>6.3152759710024273E-3</v>
      </c>
      <c r="AK424">
        <f t="shared" si="40"/>
        <v>1.2220472376314517E-9</v>
      </c>
    </row>
    <row r="425" spans="1:37" x14ac:dyDescent="0.3">
      <c r="A425" s="1">
        <v>44519</v>
      </c>
      <c r="B425">
        <v>1.1288</v>
      </c>
      <c r="C425">
        <v>1.3452</v>
      </c>
      <c r="D425">
        <v>113.98</v>
      </c>
      <c r="G425">
        <v>1.1288</v>
      </c>
      <c r="H425">
        <f t="shared" si="37"/>
        <v>1.1369</v>
      </c>
      <c r="I425">
        <f t="shared" si="37"/>
        <v>1.1318999999999999</v>
      </c>
      <c r="J425">
        <f t="shared" si="37"/>
        <v>1.1318999999999999</v>
      </c>
      <c r="L425">
        <f t="shared" si="36"/>
        <v>-8.0999999999999961E-3</v>
      </c>
      <c r="W425">
        <f t="shared" si="38"/>
        <v>-2.2759103641455786E-3</v>
      </c>
      <c r="X425">
        <f t="shared" si="39"/>
        <v>1.4903129657228167E-3</v>
      </c>
      <c r="Y425">
        <f t="shared" si="39"/>
        <v>-6.5319630726354298E-3</v>
      </c>
      <c r="Z425">
        <f t="shared" si="39"/>
        <v>6.133894146512343E-3</v>
      </c>
      <c r="AE425">
        <f>W425-mu-theta*AE424</f>
        <v>-2.5391883222645969E-3</v>
      </c>
      <c r="AF425">
        <f t="shared" si="41"/>
        <v>-3.4957792230509233E-5</v>
      </c>
      <c r="AG425">
        <f t="shared" si="41"/>
        <v>-5.26209916238641E-3</v>
      </c>
      <c r="AK425">
        <f t="shared" si="40"/>
        <v>6.4474773359248983E-6</v>
      </c>
    </row>
    <row r="426" spans="1:37" x14ac:dyDescent="0.3">
      <c r="A426" s="1">
        <v>44522</v>
      </c>
      <c r="B426">
        <v>1.1234</v>
      </c>
      <c r="C426">
        <v>1.3395999999999999</v>
      </c>
      <c r="D426">
        <v>114.86</v>
      </c>
      <c r="G426">
        <v>1.1234</v>
      </c>
      <c r="H426">
        <f t="shared" si="37"/>
        <v>1.1288</v>
      </c>
      <c r="I426">
        <f t="shared" si="37"/>
        <v>1.1369</v>
      </c>
      <c r="J426">
        <f t="shared" si="37"/>
        <v>1.1318999999999999</v>
      </c>
      <c r="L426">
        <f t="shared" si="36"/>
        <v>-5.4000000000000714E-3</v>
      </c>
      <c r="W426">
        <f t="shared" si="38"/>
        <v>7.7206527460957665E-3</v>
      </c>
      <c r="X426">
        <f t="shared" si="39"/>
        <v>-2.2759103641455786E-3</v>
      </c>
      <c r="Y426">
        <f t="shared" si="39"/>
        <v>1.4903129657228167E-3</v>
      </c>
      <c r="Z426">
        <f t="shared" si="39"/>
        <v>-6.5319630726354298E-3</v>
      </c>
      <c r="AE426">
        <f>W426-mu-theta*AE425</f>
        <v>6.8527764665936757E-3</v>
      </c>
      <c r="AF426">
        <f t="shared" si="41"/>
        <v>-2.5391883222645969E-3</v>
      </c>
      <c r="AG426">
        <f t="shared" si="41"/>
        <v>-3.4957792230509233E-5</v>
      </c>
      <c r="AK426">
        <f t="shared" si="40"/>
        <v>4.6960545301100103E-5</v>
      </c>
    </row>
    <row r="427" spans="1:37" x14ac:dyDescent="0.3">
      <c r="A427" s="1">
        <v>44523</v>
      </c>
      <c r="B427">
        <v>1.1246</v>
      </c>
      <c r="C427">
        <v>1.3373999999999999</v>
      </c>
      <c r="D427">
        <v>115.12</v>
      </c>
      <c r="G427">
        <v>1.1246</v>
      </c>
      <c r="H427">
        <f t="shared" si="37"/>
        <v>1.1234</v>
      </c>
      <c r="I427">
        <f t="shared" si="37"/>
        <v>1.1288</v>
      </c>
      <c r="J427">
        <f t="shared" si="37"/>
        <v>1.1369</v>
      </c>
      <c r="L427">
        <f t="shared" si="36"/>
        <v>1.2000000000000899E-3</v>
      </c>
      <c r="W427">
        <f t="shared" si="38"/>
        <v>2.2636252829532047E-3</v>
      </c>
      <c r="X427">
        <f t="shared" si="39"/>
        <v>7.7206527460957665E-3</v>
      </c>
      <c r="Y427">
        <f t="shared" si="39"/>
        <v>-2.2759103641455786E-3</v>
      </c>
      <c r="Z427">
        <f t="shared" si="39"/>
        <v>1.4903129657228167E-3</v>
      </c>
      <c r="AE427">
        <f>W427-mu-theta*AE426</f>
        <v>3.6632583552180771E-3</v>
      </c>
      <c r="AF427">
        <f t="shared" si="41"/>
        <v>6.8527764665936757E-3</v>
      </c>
      <c r="AG427">
        <f t="shared" si="41"/>
        <v>-2.5391883222645969E-3</v>
      </c>
      <c r="AK427">
        <f t="shared" si="40"/>
        <v>1.3419461777075052E-5</v>
      </c>
    </row>
    <row r="428" spans="1:37" x14ac:dyDescent="0.3">
      <c r="A428" s="1">
        <v>44524</v>
      </c>
      <c r="B428">
        <v>1.1196999999999999</v>
      </c>
      <c r="C428">
        <v>1.3325</v>
      </c>
      <c r="D428">
        <v>115.41</v>
      </c>
      <c r="G428">
        <v>1.1196999999999999</v>
      </c>
      <c r="H428">
        <f t="shared" si="37"/>
        <v>1.1246</v>
      </c>
      <c r="I428">
        <f t="shared" si="37"/>
        <v>1.1234</v>
      </c>
      <c r="J428">
        <f t="shared" si="37"/>
        <v>1.1288</v>
      </c>
      <c r="L428">
        <f t="shared" si="36"/>
        <v>-4.9000000000001265E-3</v>
      </c>
      <c r="W428">
        <f t="shared" si="38"/>
        <v>2.5191104933981238E-3</v>
      </c>
      <c r="X428">
        <f t="shared" si="39"/>
        <v>2.2636252829532047E-3</v>
      </c>
      <c r="Y428">
        <f t="shared" si="39"/>
        <v>7.7206527460957665E-3</v>
      </c>
      <c r="Z428">
        <f t="shared" si="39"/>
        <v>-2.2759103641455786E-3</v>
      </c>
      <c r="AE428">
        <f>W428-mu-theta*AE427</f>
        <v>3.1486957313957794E-3</v>
      </c>
      <c r="AF428">
        <f t="shared" si="41"/>
        <v>3.6632583552180771E-3</v>
      </c>
      <c r="AG428">
        <f t="shared" si="41"/>
        <v>6.8527764665936757E-3</v>
      </c>
      <c r="AK428">
        <f t="shared" si="40"/>
        <v>9.9142848089100023E-6</v>
      </c>
    </row>
    <row r="429" spans="1:37" x14ac:dyDescent="0.3">
      <c r="A429" s="1">
        <v>44525</v>
      </c>
      <c r="B429">
        <v>1.1206</v>
      </c>
      <c r="C429">
        <v>1.3320000000000001</v>
      </c>
      <c r="D429">
        <v>115.35</v>
      </c>
      <c r="G429">
        <v>1.1206</v>
      </c>
      <c r="H429">
        <f t="shared" si="37"/>
        <v>1.1196999999999999</v>
      </c>
      <c r="I429">
        <f t="shared" si="37"/>
        <v>1.1246</v>
      </c>
      <c r="J429">
        <f t="shared" si="37"/>
        <v>1.1234</v>
      </c>
      <c r="L429">
        <f t="shared" si="36"/>
        <v>9.0000000000012292E-4</v>
      </c>
      <c r="W429">
        <f t="shared" si="38"/>
        <v>-5.1988562516248394E-4</v>
      </c>
      <c r="X429">
        <f t="shared" si="39"/>
        <v>2.5191104933981238E-3</v>
      </c>
      <c r="Y429">
        <f t="shared" si="39"/>
        <v>2.2636252829532047E-3</v>
      </c>
      <c r="Z429">
        <f t="shared" si="39"/>
        <v>7.7206527460957665E-3</v>
      </c>
      <c r="AE429">
        <f>W429-mu-theta*AE428</f>
        <v>-1.4531640988411248E-5</v>
      </c>
      <c r="AF429">
        <f t="shared" si="41"/>
        <v>3.1486957313957794E-3</v>
      </c>
      <c r="AG429">
        <f t="shared" si="41"/>
        <v>3.6632583552180771E-3</v>
      </c>
      <c r="AK429">
        <f t="shared" si="40"/>
        <v>2.1116858981607384E-10</v>
      </c>
    </row>
    <row r="430" spans="1:37" x14ac:dyDescent="0.3">
      <c r="A430" s="1">
        <v>44526</v>
      </c>
      <c r="B430">
        <v>1.1316999999999999</v>
      </c>
      <c r="C430">
        <v>1.3340000000000001</v>
      </c>
      <c r="D430">
        <v>113.31</v>
      </c>
      <c r="G430">
        <v>1.1316999999999999</v>
      </c>
      <c r="H430">
        <f t="shared" si="37"/>
        <v>1.1206</v>
      </c>
      <c r="I430">
        <f t="shared" si="37"/>
        <v>1.1196999999999999</v>
      </c>
      <c r="J430">
        <f t="shared" si="37"/>
        <v>1.1246</v>
      </c>
      <c r="L430">
        <f t="shared" si="36"/>
        <v>1.1099999999999888E-2</v>
      </c>
      <c r="W430">
        <f t="shared" si="38"/>
        <v>-1.7685305591677435E-2</v>
      </c>
      <c r="X430">
        <f t="shared" si="39"/>
        <v>-5.1988562516248394E-4</v>
      </c>
      <c r="Y430">
        <f t="shared" si="39"/>
        <v>2.5191104933981238E-3</v>
      </c>
      <c r="Z430">
        <f t="shared" si="39"/>
        <v>2.2636252829532047E-3</v>
      </c>
      <c r="AE430">
        <f>W430-mu-theta*AE429</f>
        <v>-1.7943652048241315E-2</v>
      </c>
      <c r="AF430">
        <f t="shared" si="41"/>
        <v>-1.4531640988411248E-5</v>
      </c>
      <c r="AG430">
        <f t="shared" si="41"/>
        <v>3.1486957313957794E-3</v>
      </c>
      <c r="AK430">
        <f t="shared" si="40"/>
        <v>3.2197464882835475E-4</v>
      </c>
    </row>
    <row r="431" spans="1:37" x14ac:dyDescent="0.3">
      <c r="A431" s="1">
        <v>44529</v>
      </c>
      <c r="B431">
        <v>1.1291</v>
      </c>
      <c r="C431">
        <v>1.3310999999999999</v>
      </c>
      <c r="D431">
        <v>113.52</v>
      </c>
      <c r="G431">
        <v>1.1291</v>
      </c>
      <c r="H431">
        <f t="shared" si="37"/>
        <v>1.1316999999999999</v>
      </c>
      <c r="I431">
        <f t="shared" si="37"/>
        <v>1.1206</v>
      </c>
      <c r="J431">
        <f t="shared" si="37"/>
        <v>1.1196999999999999</v>
      </c>
      <c r="L431">
        <f t="shared" si="36"/>
        <v>-2.5999999999999357E-3</v>
      </c>
      <c r="W431">
        <f t="shared" si="38"/>
        <v>1.8533227429176043E-3</v>
      </c>
      <c r="X431">
        <f t="shared" si="39"/>
        <v>-1.7685305591677435E-2</v>
      </c>
      <c r="Y431">
        <f t="shared" si="39"/>
        <v>-5.1988562516248394E-4</v>
      </c>
      <c r="Z431">
        <f t="shared" si="39"/>
        <v>2.5191104933981238E-3</v>
      </c>
      <c r="AE431">
        <f>W431-mu-theta*AE430</f>
        <v>-2.7336651754020103E-3</v>
      </c>
      <c r="AF431">
        <f t="shared" si="41"/>
        <v>-1.7943652048241315E-2</v>
      </c>
      <c r="AG431">
        <f t="shared" si="41"/>
        <v>-1.4531640988411248E-5</v>
      </c>
      <c r="AK431">
        <f t="shared" si="40"/>
        <v>7.4729252912057041E-6</v>
      </c>
    </row>
    <row r="432" spans="1:37" x14ac:dyDescent="0.3">
      <c r="A432" s="1">
        <v>44530</v>
      </c>
      <c r="B432">
        <v>1.1335999999999999</v>
      </c>
      <c r="C432">
        <v>1.3294999999999999</v>
      </c>
      <c r="D432">
        <v>113.13</v>
      </c>
      <c r="G432">
        <v>1.1335999999999999</v>
      </c>
      <c r="H432">
        <f t="shared" si="37"/>
        <v>1.1291</v>
      </c>
      <c r="I432">
        <f t="shared" si="37"/>
        <v>1.1316999999999999</v>
      </c>
      <c r="J432">
        <f t="shared" si="37"/>
        <v>1.1206</v>
      </c>
      <c r="L432">
        <f t="shared" si="36"/>
        <v>4.4999999999999485E-3</v>
      </c>
      <c r="W432">
        <f t="shared" si="38"/>
        <v>-3.4355179704016964E-3</v>
      </c>
      <c r="X432">
        <f t="shared" si="39"/>
        <v>1.8533227429176043E-3</v>
      </c>
      <c r="Y432">
        <f t="shared" si="39"/>
        <v>-1.7685305591677435E-2</v>
      </c>
      <c r="Z432">
        <f t="shared" si="39"/>
        <v>-5.1988562516248394E-4</v>
      </c>
      <c r="AE432">
        <f>W432-mu-theta*AE431</f>
        <v>-4.3503469475666265E-3</v>
      </c>
      <c r="AF432">
        <f t="shared" si="41"/>
        <v>-2.7336651754020103E-3</v>
      </c>
      <c r="AG432">
        <f t="shared" si="41"/>
        <v>-1.7943652048241315E-2</v>
      </c>
      <c r="AK432">
        <f t="shared" si="40"/>
        <v>1.8925518564202262E-5</v>
      </c>
    </row>
    <row r="433" spans="1:37" x14ac:dyDescent="0.3">
      <c r="A433" s="1">
        <v>44531</v>
      </c>
      <c r="B433">
        <v>1.1318999999999999</v>
      </c>
      <c r="C433">
        <v>1.3277000000000001</v>
      </c>
      <c r="D433">
        <v>112.75</v>
      </c>
      <c r="G433">
        <v>1.1318999999999999</v>
      </c>
      <c r="H433">
        <f t="shared" si="37"/>
        <v>1.1335999999999999</v>
      </c>
      <c r="I433">
        <f t="shared" si="37"/>
        <v>1.1291</v>
      </c>
      <c r="J433">
        <f t="shared" si="37"/>
        <v>1.1316999999999999</v>
      </c>
      <c r="L433">
        <f t="shared" si="36"/>
        <v>-1.7000000000000348E-3</v>
      </c>
      <c r="W433">
        <f t="shared" si="38"/>
        <v>-3.3589675594448464E-3</v>
      </c>
      <c r="X433">
        <f t="shared" si="39"/>
        <v>-3.4355179704016964E-3</v>
      </c>
      <c r="Y433">
        <f t="shared" si="39"/>
        <v>1.8533227429176043E-3</v>
      </c>
      <c r="Z433">
        <f t="shared" si="39"/>
        <v>-1.7685305591677435E-2</v>
      </c>
      <c r="AE433">
        <f>W433-mu-theta*AE432</f>
        <v>-4.6641132722052142E-3</v>
      </c>
      <c r="AF433">
        <f t="shared" si="41"/>
        <v>-4.3503469475666265E-3</v>
      </c>
      <c r="AG433">
        <f t="shared" si="41"/>
        <v>-2.7336651754020103E-3</v>
      </c>
      <c r="AK433">
        <f t="shared" si="40"/>
        <v>2.1753952615960832E-5</v>
      </c>
    </row>
    <row r="434" spans="1:37" x14ac:dyDescent="0.3">
      <c r="A434" s="1">
        <v>44532</v>
      </c>
      <c r="B434">
        <v>1.1298999999999999</v>
      </c>
      <c r="C434">
        <v>1.3306</v>
      </c>
      <c r="D434">
        <v>113.15</v>
      </c>
      <c r="G434">
        <v>1.1298999999999999</v>
      </c>
      <c r="H434">
        <f t="shared" si="37"/>
        <v>1.1318999999999999</v>
      </c>
      <c r="I434">
        <f t="shared" si="37"/>
        <v>1.1335999999999999</v>
      </c>
      <c r="J434">
        <f t="shared" si="37"/>
        <v>1.1291</v>
      </c>
      <c r="L434">
        <f t="shared" si="36"/>
        <v>-2.0000000000000018E-3</v>
      </c>
      <c r="W434">
        <f t="shared" si="38"/>
        <v>3.5476718403548175E-3</v>
      </c>
      <c r="X434">
        <f t="shared" si="39"/>
        <v>-3.3589675594448464E-3</v>
      </c>
      <c r="Y434">
        <f t="shared" si="39"/>
        <v>-3.4355179704016964E-3</v>
      </c>
      <c r="Z434">
        <f t="shared" si="39"/>
        <v>1.8533227429176043E-3</v>
      </c>
      <c r="AE434">
        <f>W434-mu-theta*AE433</f>
        <v>2.1667732801996676E-3</v>
      </c>
      <c r="AF434">
        <f t="shared" si="41"/>
        <v>-4.6641132722052142E-3</v>
      </c>
      <c r="AG434">
        <f t="shared" si="41"/>
        <v>-4.3503469475666265E-3</v>
      </c>
      <c r="AK434">
        <f t="shared" si="40"/>
        <v>4.6949064477872273E-6</v>
      </c>
    </row>
    <row r="435" spans="1:37" x14ac:dyDescent="0.3">
      <c r="A435" s="1">
        <v>44533</v>
      </c>
      <c r="B435">
        <v>1.1313</v>
      </c>
      <c r="C435">
        <v>1.3230999999999999</v>
      </c>
      <c r="D435">
        <v>112.8</v>
      </c>
      <c r="G435">
        <v>1.1313</v>
      </c>
      <c r="H435">
        <f t="shared" si="37"/>
        <v>1.1298999999999999</v>
      </c>
      <c r="I435">
        <f t="shared" si="37"/>
        <v>1.1318999999999999</v>
      </c>
      <c r="J435">
        <f t="shared" si="37"/>
        <v>1.1335999999999999</v>
      </c>
      <c r="L435">
        <f t="shared" si="36"/>
        <v>1.4000000000000679E-3</v>
      </c>
      <c r="W435">
        <f t="shared" si="38"/>
        <v>-3.0932390631905303E-3</v>
      </c>
      <c r="X435">
        <f t="shared" si="39"/>
        <v>3.5476718403548175E-3</v>
      </c>
      <c r="Y435">
        <f t="shared" si="39"/>
        <v>-3.3589675594448464E-3</v>
      </c>
      <c r="Z435">
        <f t="shared" si="39"/>
        <v>-3.4355179704016964E-3</v>
      </c>
      <c r="AE435">
        <f>W435-mu-theta*AE434</f>
        <v>-2.8249513788644355E-3</v>
      </c>
      <c r="AF435">
        <f t="shared" si="41"/>
        <v>2.1667732801996676E-3</v>
      </c>
      <c r="AG435">
        <f t="shared" si="41"/>
        <v>-4.6641132722052142E-3</v>
      </c>
      <c r="AK435">
        <f t="shared" si="40"/>
        <v>7.980350292948075E-6</v>
      </c>
    </row>
    <row r="436" spans="1:37" x14ac:dyDescent="0.3">
      <c r="A436" s="1">
        <v>44536</v>
      </c>
      <c r="B436">
        <v>1.1285000000000001</v>
      </c>
      <c r="C436">
        <v>1.3264</v>
      </c>
      <c r="D436">
        <v>113.46</v>
      </c>
      <c r="G436">
        <v>1.1285000000000001</v>
      </c>
      <c r="H436">
        <f t="shared" si="37"/>
        <v>1.1313</v>
      </c>
      <c r="I436">
        <f t="shared" si="37"/>
        <v>1.1298999999999999</v>
      </c>
      <c r="J436">
        <f t="shared" si="37"/>
        <v>1.1318999999999999</v>
      </c>
      <c r="L436">
        <f t="shared" si="36"/>
        <v>-2.7999999999999137E-3</v>
      </c>
      <c r="W436">
        <f t="shared" si="38"/>
        <v>5.8510638297872043E-3</v>
      </c>
      <c r="X436">
        <f t="shared" si="39"/>
        <v>-3.0932390631905303E-3</v>
      </c>
      <c r="Y436">
        <f t="shared" si="39"/>
        <v>3.5476718403548175E-3</v>
      </c>
      <c r="Z436">
        <f t="shared" si="39"/>
        <v>-3.3589675594448464E-3</v>
      </c>
      <c r="AE436">
        <f>W436-mu-theta*AE435</f>
        <v>4.9141955536372624E-3</v>
      </c>
      <c r="AF436">
        <f t="shared" si="41"/>
        <v>-2.8249513788644355E-3</v>
      </c>
      <c r="AG436">
        <f t="shared" si="41"/>
        <v>2.1667732801996676E-3</v>
      </c>
      <c r="AK436">
        <f t="shared" si="40"/>
        <v>2.4149317939388242E-5</v>
      </c>
    </row>
    <row r="437" spans="1:37" x14ac:dyDescent="0.3">
      <c r="A437" s="1">
        <v>44537</v>
      </c>
      <c r="B437">
        <v>1.1263000000000001</v>
      </c>
      <c r="C437">
        <v>1.3242</v>
      </c>
      <c r="D437">
        <v>113.57</v>
      </c>
      <c r="G437">
        <v>1.1263000000000001</v>
      </c>
      <c r="H437">
        <f t="shared" si="37"/>
        <v>1.1285000000000001</v>
      </c>
      <c r="I437">
        <f t="shared" si="37"/>
        <v>1.1313</v>
      </c>
      <c r="J437">
        <f t="shared" si="37"/>
        <v>1.1298999999999999</v>
      </c>
      <c r="L437">
        <f t="shared" si="36"/>
        <v>-2.1999999999999797E-3</v>
      </c>
      <c r="W437">
        <f t="shared" si="38"/>
        <v>9.6950467124977467E-4</v>
      </c>
      <c r="X437">
        <f t="shared" si="39"/>
        <v>5.8510638297872043E-3</v>
      </c>
      <c r="Y437">
        <f t="shared" si="39"/>
        <v>-3.0932390631905303E-3</v>
      </c>
      <c r="Z437">
        <f t="shared" si="39"/>
        <v>3.5476718403548175E-3</v>
      </c>
      <c r="AE437">
        <f>W437-mu-theta*AE436</f>
        <v>1.9011046484054854E-3</v>
      </c>
      <c r="AF437">
        <f t="shared" si="41"/>
        <v>4.9141955536372624E-3</v>
      </c>
      <c r="AG437">
        <f t="shared" si="41"/>
        <v>-2.8249513788644355E-3</v>
      </c>
      <c r="AK437">
        <f t="shared" si="40"/>
        <v>3.6141988841889441E-6</v>
      </c>
    </row>
    <row r="438" spans="1:37" x14ac:dyDescent="0.3">
      <c r="A438" s="1">
        <v>44538</v>
      </c>
      <c r="B438">
        <v>1.1342000000000001</v>
      </c>
      <c r="C438">
        <v>1.3209</v>
      </c>
      <c r="D438">
        <v>113.66</v>
      </c>
      <c r="G438">
        <v>1.1342000000000001</v>
      </c>
      <c r="H438">
        <f t="shared" si="37"/>
        <v>1.1263000000000001</v>
      </c>
      <c r="I438">
        <f t="shared" si="37"/>
        <v>1.1285000000000001</v>
      </c>
      <c r="J438">
        <f t="shared" si="37"/>
        <v>1.1313</v>
      </c>
      <c r="L438">
        <f t="shared" si="36"/>
        <v>7.9000000000000181E-3</v>
      </c>
      <c r="W438">
        <f t="shared" si="38"/>
        <v>7.9246279827422219E-4</v>
      </c>
      <c r="X438">
        <f t="shared" si="39"/>
        <v>9.6950467124977467E-4</v>
      </c>
      <c r="Y438">
        <f t="shared" si="39"/>
        <v>5.8510638297872043E-3</v>
      </c>
      <c r="Z438">
        <f t="shared" si="39"/>
        <v>-3.0932390631905303E-3</v>
      </c>
      <c r="AE438">
        <f>W438-mu-theta*AE437</f>
        <v>9.9660989853647165E-4</v>
      </c>
      <c r="AF438">
        <f t="shared" si="41"/>
        <v>1.9011046484054854E-3</v>
      </c>
      <c r="AG438">
        <f t="shared" si="41"/>
        <v>4.9141955536372624E-3</v>
      </c>
      <c r="AK438">
        <f t="shared" si="40"/>
        <v>9.932312898608764E-7</v>
      </c>
    </row>
    <row r="439" spans="1:37" x14ac:dyDescent="0.3">
      <c r="A439" s="1">
        <v>44539</v>
      </c>
      <c r="B439">
        <v>1.1292</v>
      </c>
      <c r="C439">
        <v>1.3219000000000001</v>
      </c>
      <c r="D439">
        <v>113.44</v>
      </c>
      <c r="G439">
        <v>1.1292</v>
      </c>
      <c r="H439">
        <f t="shared" si="37"/>
        <v>1.1342000000000001</v>
      </c>
      <c r="I439">
        <f t="shared" si="37"/>
        <v>1.1263000000000001</v>
      </c>
      <c r="J439">
        <f t="shared" si="37"/>
        <v>1.1285000000000001</v>
      </c>
      <c r="L439">
        <f t="shared" si="36"/>
        <v>-5.0000000000001155E-3</v>
      </c>
      <c r="W439">
        <f t="shared" si="38"/>
        <v>-1.9355973957416758E-3</v>
      </c>
      <c r="X439">
        <f t="shared" si="39"/>
        <v>7.9246279827422219E-4</v>
      </c>
      <c r="Y439">
        <f t="shared" si="39"/>
        <v>9.6950467124977467E-4</v>
      </c>
      <c r="Z439">
        <f t="shared" si="39"/>
        <v>5.8510638297872043E-3</v>
      </c>
      <c r="AE439">
        <f>W439-mu-theta*AE438</f>
        <v>-1.949823165273951E-3</v>
      </c>
      <c r="AF439">
        <f t="shared" si="41"/>
        <v>9.9660989853647165E-4</v>
      </c>
      <c r="AG439">
        <f t="shared" si="41"/>
        <v>1.9011046484054854E-3</v>
      </c>
      <c r="AK439">
        <f t="shared" si="40"/>
        <v>3.8018103758389296E-6</v>
      </c>
    </row>
    <row r="440" spans="1:37" x14ac:dyDescent="0.3">
      <c r="A440" s="1">
        <v>44540</v>
      </c>
      <c r="B440">
        <v>1.1311</v>
      </c>
      <c r="C440">
        <v>1.3269</v>
      </c>
      <c r="D440">
        <v>113.38</v>
      </c>
      <c r="G440">
        <v>1.1311</v>
      </c>
      <c r="H440">
        <f t="shared" si="37"/>
        <v>1.1292</v>
      </c>
      <c r="I440">
        <f t="shared" si="37"/>
        <v>1.1342000000000001</v>
      </c>
      <c r="J440">
        <f t="shared" si="37"/>
        <v>1.1263000000000001</v>
      </c>
      <c r="L440">
        <f t="shared" si="36"/>
        <v>1.9000000000000128E-3</v>
      </c>
      <c r="W440">
        <f t="shared" si="38"/>
        <v>-5.2891396332865198E-4</v>
      </c>
      <c r="X440">
        <f t="shared" si="39"/>
        <v>-1.9355973957416758E-3</v>
      </c>
      <c r="Y440">
        <f t="shared" si="39"/>
        <v>7.9246279827422219E-4</v>
      </c>
      <c r="Z440">
        <f t="shared" si="39"/>
        <v>9.6950467124977467E-4</v>
      </c>
      <c r="AE440">
        <f>W440-mu-theta*AE439</f>
        <v>-1.2544993553406979E-3</v>
      </c>
      <c r="AF440">
        <f t="shared" si="41"/>
        <v>-1.949823165273951E-3</v>
      </c>
      <c r="AG440">
        <f t="shared" si="41"/>
        <v>9.9660989853647165E-4</v>
      </c>
      <c r="AK440">
        <f t="shared" si="40"/>
        <v>1.5737686325502267E-6</v>
      </c>
    </row>
    <row r="441" spans="1:37" x14ac:dyDescent="0.3">
      <c r="A441" s="1">
        <v>44543</v>
      </c>
      <c r="B441">
        <v>1.1283000000000001</v>
      </c>
      <c r="C441">
        <v>1.3216000000000001</v>
      </c>
      <c r="D441">
        <v>113.56</v>
      </c>
      <c r="G441">
        <v>1.1283000000000001</v>
      </c>
      <c r="H441">
        <f t="shared" si="37"/>
        <v>1.1311</v>
      </c>
      <c r="I441">
        <f t="shared" si="37"/>
        <v>1.1292</v>
      </c>
      <c r="J441">
        <f t="shared" si="37"/>
        <v>1.1342000000000001</v>
      </c>
      <c r="L441">
        <f t="shared" si="36"/>
        <v>-2.7999999999999137E-3</v>
      </c>
      <c r="W441">
        <f t="shared" si="38"/>
        <v>1.5875815840536852E-3</v>
      </c>
      <c r="X441">
        <f t="shared" si="39"/>
        <v>-5.2891396332865198E-4</v>
      </c>
      <c r="Y441">
        <f t="shared" si="39"/>
        <v>-1.9355973957416758E-3</v>
      </c>
      <c r="Z441">
        <f t="shared" si="39"/>
        <v>7.9246279827422219E-4</v>
      </c>
      <c r="AE441">
        <f>W441-mu-theta*AE440</f>
        <v>1.0298687593877473E-3</v>
      </c>
      <c r="AF441">
        <f t="shared" si="41"/>
        <v>-1.2544993553406979E-3</v>
      </c>
      <c r="AG441">
        <f t="shared" si="41"/>
        <v>-1.949823165273951E-3</v>
      </c>
      <c r="AK441">
        <f t="shared" si="40"/>
        <v>1.0606296615628578E-6</v>
      </c>
    </row>
    <row r="442" spans="1:37" x14ac:dyDescent="0.3">
      <c r="A442" s="1">
        <v>44544</v>
      </c>
      <c r="B442">
        <v>1.1256999999999999</v>
      </c>
      <c r="C442">
        <v>1.3238000000000001</v>
      </c>
      <c r="D442">
        <v>113.71</v>
      </c>
      <c r="G442">
        <v>1.1256999999999999</v>
      </c>
      <c r="H442">
        <f t="shared" si="37"/>
        <v>1.1283000000000001</v>
      </c>
      <c r="I442">
        <f t="shared" si="37"/>
        <v>1.1311</v>
      </c>
      <c r="J442">
        <f t="shared" si="37"/>
        <v>1.1292</v>
      </c>
      <c r="L442">
        <f t="shared" si="36"/>
        <v>-2.6000000000001577E-3</v>
      </c>
      <c r="W442">
        <f t="shared" si="38"/>
        <v>1.3208876364916473E-3</v>
      </c>
      <c r="X442">
        <f t="shared" si="39"/>
        <v>1.5875815840536852E-3</v>
      </c>
      <c r="Y442">
        <f t="shared" si="39"/>
        <v>-5.2891396332865198E-4</v>
      </c>
      <c r="Z442">
        <f t="shared" si="39"/>
        <v>-1.9355973957416758E-3</v>
      </c>
      <c r="AE442">
        <f>W442-mu-theta*AE441</f>
        <v>1.314691579559961E-3</v>
      </c>
      <c r="AF442">
        <f t="shared" si="41"/>
        <v>1.0298687593877473E-3</v>
      </c>
      <c r="AG442">
        <f t="shared" si="41"/>
        <v>-1.2544993553406979E-3</v>
      </c>
      <c r="AK442">
        <f t="shared" si="40"/>
        <v>1.7284139493658652E-6</v>
      </c>
    </row>
    <row r="443" spans="1:37" x14ac:dyDescent="0.3">
      <c r="A443" s="1">
        <v>44545</v>
      </c>
      <c r="B443">
        <v>1.1285000000000001</v>
      </c>
      <c r="C443">
        <v>1.3263</v>
      </c>
      <c r="D443">
        <v>114.02</v>
      </c>
      <c r="G443">
        <v>1.1285000000000001</v>
      </c>
      <c r="H443">
        <f t="shared" si="37"/>
        <v>1.1256999999999999</v>
      </c>
      <c r="I443">
        <f t="shared" si="37"/>
        <v>1.1283000000000001</v>
      </c>
      <c r="J443">
        <f t="shared" si="37"/>
        <v>1.1311</v>
      </c>
      <c r="L443">
        <f t="shared" si="36"/>
        <v>2.8000000000001357E-3</v>
      </c>
      <c r="W443">
        <f t="shared" si="38"/>
        <v>2.7262334007563302E-3</v>
      </c>
      <c r="X443">
        <f t="shared" si="39"/>
        <v>1.3208876364916473E-3</v>
      </c>
      <c r="Y443">
        <f t="shared" si="39"/>
        <v>1.5875815840536852E-3</v>
      </c>
      <c r="Z443">
        <f t="shared" si="39"/>
        <v>-5.2891396332865198E-4</v>
      </c>
      <c r="AE443">
        <f>W443-mu-theta*AE442</f>
        <v>2.7888023384616866E-3</v>
      </c>
      <c r="AF443">
        <f t="shared" si="41"/>
        <v>1.314691579559961E-3</v>
      </c>
      <c r="AG443">
        <f t="shared" si="41"/>
        <v>1.0298687593877473E-3</v>
      </c>
      <c r="AK443">
        <f t="shared" si="40"/>
        <v>7.7774184830093712E-6</v>
      </c>
    </row>
    <row r="444" spans="1:37" x14ac:dyDescent="0.3">
      <c r="A444" s="1">
        <v>44546</v>
      </c>
      <c r="B444">
        <v>1.1328</v>
      </c>
      <c r="C444">
        <v>1.3319000000000001</v>
      </c>
      <c r="D444">
        <v>113.7</v>
      </c>
      <c r="G444">
        <v>1.1328</v>
      </c>
      <c r="H444">
        <f t="shared" si="37"/>
        <v>1.1285000000000001</v>
      </c>
      <c r="I444">
        <f t="shared" si="37"/>
        <v>1.1256999999999999</v>
      </c>
      <c r="J444">
        <f t="shared" si="37"/>
        <v>1.1283000000000001</v>
      </c>
      <c r="L444">
        <f t="shared" si="36"/>
        <v>4.2999999999999705E-3</v>
      </c>
      <c r="W444">
        <f t="shared" si="38"/>
        <v>-2.8065251710225679E-3</v>
      </c>
      <c r="X444">
        <f t="shared" si="39"/>
        <v>2.7262334007563302E-3</v>
      </c>
      <c r="Y444">
        <f t="shared" si="39"/>
        <v>1.3208876364916473E-3</v>
      </c>
      <c r="Z444">
        <f t="shared" si="39"/>
        <v>1.5875815840536852E-3</v>
      </c>
      <c r="AE444">
        <f>W444-mu-theta*AE443</f>
        <v>-2.3880605281591969E-3</v>
      </c>
      <c r="AF444">
        <f t="shared" si="41"/>
        <v>2.7888023384616866E-3</v>
      </c>
      <c r="AG444">
        <f t="shared" si="41"/>
        <v>1.314691579559961E-3</v>
      </c>
      <c r="AK444">
        <f t="shared" si="40"/>
        <v>5.7028330861519829E-6</v>
      </c>
    </row>
    <row r="445" spans="1:37" x14ac:dyDescent="0.3">
      <c r="A445" s="1">
        <v>44547</v>
      </c>
      <c r="B445">
        <v>1.1238999999999999</v>
      </c>
      <c r="C445">
        <v>1.3242</v>
      </c>
      <c r="D445">
        <v>113.67</v>
      </c>
      <c r="G445">
        <v>1.1238999999999999</v>
      </c>
      <c r="H445">
        <f t="shared" si="37"/>
        <v>1.1328</v>
      </c>
      <c r="I445">
        <f t="shared" si="37"/>
        <v>1.1285000000000001</v>
      </c>
      <c r="J445">
        <f t="shared" si="37"/>
        <v>1.1256999999999999</v>
      </c>
      <c r="L445">
        <f t="shared" si="36"/>
        <v>-8.90000000000013E-3</v>
      </c>
      <c r="W445">
        <f t="shared" si="38"/>
        <v>-2.6385224274407329E-4</v>
      </c>
      <c r="X445">
        <f t="shared" si="39"/>
        <v>-2.8065251710225679E-3</v>
      </c>
      <c r="Y445">
        <f t="shared" si="39"/>
        <v>2.7262334007563302E-3</v>
      </c>
      <c r="Z445">
        <f t="shared" si="39"/>
        <v>1.3208876364916473E-3</v>
      </c>
      <c r="AE445">
        <f>W445-mu-theta*AE444</f>
        <v>-1.0952416215656551E-3</v>
      </c>
      <c r="AF445">
        <f t="shared" si="41"/>
        <v>-2.3880605281591969E-3</v>
      </c>
      <c r="AG445">
        <f t="shared" si="41"/>
        <v>2.7888023384616866E-3</v>
      </c>
      <c r="AK445">
        <f t="shared" si="40"/>
        <v>1.1995542096097656E-6</v>
      </c>
    </row>
    <row r="446" spans="1:37" x14ac:dyDescent="0.3">
      <c r="A446" s="1">
        <v>44550</v>
      </c>
      <c r="B446">
        <v>1.1274999999999999</v>
      </c>
      <c r="C446">
        <v>1.3207</v>
      </c>
      <c r="D446">
        <v>113.58</v>
      </c>
      <c r="G446">
        <v>1.1274999999999999</v>
      </c>
      <c r="H446">
        <f t="shared" si="37"/>
        <v>1.1238999999999999</v>
      </c>
      <c r="I446">
        <f t="shared" si="37"/>
        <v>1.1328</v>
      </c>
      <c r="J446">
        <f t="shared" si="37"/>
        <v>1.1285000000000001</v>
      </c>
      <c r="L446">
        <f t="shared" si="36"/>
        <v>3.6000000000000476E-3</v>
      </c>
      <c r="W446">
        <f t="shared" si="38"/>
        <v>-7.9176563737136808E-4</v>
      </c>
      <c r="X446">
        <f t="shared" si="39"/>
        <v>-2.6385224274407329E-4</v>
      </c>
      <c r="Y446">
        <f t="shared" si="39"/>
        <v>-2.8065251710225679E-3</v>
      </c>
      <c r="Z446">
        <f t="shared" si="39"/>
        <v>2.7262334007563302E-3</v>
      </c>
      <c r="AE446">
        <f>W446-mu-theta*AE445</f>
        <v>-1.3110287437095157E-3</v>
      </c>
      <c r="AF446">
        <f t="shared" si="41"/>
        <v>-1.0952416215656551E-3</v>
      </c>
      <c r="AG446">
        <f t="shared" si="41"/>
        <v>-2.3880605281591969E-3</v>
      </c>
      <c r="AK446">
        <f t="shared" si="40"/>
        <v>1.7187963668325511E-6</v>
      </c>
    </row>
    <row r="447" spans="1:37" x14ac:dyDescent="0.3">
      <c r="A447" s="1">
        <v>44551</v>
      </c>
      <c r="B447">
        <v>1.1283000000000001</v>
      </c>
      <c r="C447">
        <v>1.3265</v>
      </c>
      <c r="D447">
        <v>114.08</v>
      </c>
      <c r="G447">
        <v>1.1283000000000001</v>
      </c>
      <c r="H447">
        <f t="shared" si="37"/>
        <v>1.1274999999999999</v>
      </c>
      <c r="I447">
        <f t="shared" si="37"/>
        <v>1.1238999999999999</v>
      </c>
      <c r="J447">
        <f t="shared" si="37"/>
        <v>1.1328</v>
      </c>
      <c r="L447">
        <f t="shared" si="36"/>
        <v>8.0000000000013394E-4</v>
      </c>
      <c r="W447">
        <f t="shared" si="38"/>
        <v>4.4021834830075719E-3</v>
      </c>
      <c r="X447">
        <f t="shared" si="39"/>
        <v>-7.9176563737136808E-4</v>
      </c>
      <c r="Y447">
        <f t="shared" si="39"/>
        <v>-2.6385224274407329E-4</v>
      </c>
      <c r="Z447">
        <f t="shared" si="39"/>
        <v>-2.8065251710225679E-3</v>
      </c>
      <c r="AE447">
        <f>W447-mu-theta*AE446</f>
        <v>3.8308227242130882E-3</v>
      </c>
      <c r="AF447">
        <f t="shared" si="41"/>
        <v>-1.3110287437095157E-3</v>
      </c>
      <c r="AG447">
        <f t="shared" si="41"/>
        <v>-1.0952416215656551E-3</v>
      </c>
      <c r="AK447">
        <f t="shared" si="40"/>
        <v>1.4675202744347385E-5</v>
      </c>
    </row>
    <row r="448" spans="1:37" x14ac:dyDescent="0.3">
      <c r="A448" s="1">
        <v>44552</v>
      </c>
      <c r="B448">
        <v>1.1324000000000001</v>
      </c>
      <c r="C448">
        <v>1.3348</v>
      </c>
      <c r="D448">
        <v>114.11</v>
      </c>
      <c r="G448">
        <v>1.1324000000000001</v>
      </c>
      <c r="H448">
        <f t="shared" si="37"/>
        <v>1.1283000000000001</v>
      </c>
      <c r="I448">
        <f t="shared" si="37"/>
        <v>1.1274999999999999</v>
      </c>
      <c r="J448">
        <f t="shared" si="37"/>
        <v>1.1238999999999999</v>
      </c>
      <c r="L448">
        <f t="shared" si="36"/>
        <v>4.0999999999999925E-3</v>
      </c>
      <c r="W448">
        <f t="shared" si="38"/>
        <v>2.6297335203367056E-4</v>
      </c>
      <c r="X448">
        <f t="shared" si="39"/>
        <v>4.4021834830075719E-3</v>
      </c>
      <c r="Y448">
        <f t="shared" si="39"/>
        <v>-7.9176563737136808E-4</v>
      </c>
      <c r="Z448">
        <f t="shared" si="39"/>
        <v>-2.6385224274407329E-4</v>
      </c>
      <c r="AE448">
        <f>W448-mu-theta*AE447</f>
        <v>9.3301378575031562E-4</v>
      </c>
      <c r="AF448">
        <f t="shared" si="41"/>
        <v>3.8308227242130882E-3</v>
      </c>
      <c r="AG448">
        <f t="shared" si="41"/>
        <v>-1.3110287437095157E-3</v>
      </c>
      <c r="AK448">
        <f t="shared" si="40"/>
        <v>8.7051472440013584E-7</v>
      </c>
    </row>
    <row r="449" spans="1:37" x14ac:dyDescent="0.3">
      <c r="A449" s="1">
        <v>44553</v>
      </c>
      <c r="B449">
        <v>1.1328</v>
      </c>
      <c r="C449">
        <v>1.3404</v>
      </c>
      <c r="D449">
        <v>114.37</v>
      </c>
      <c r="G449">
        <v>1.1328</v>
      </c>
      <c r="H449">
        <f t="shared" si="37"/>
        <v>1.1324000000000001</v>
      </c>
      <c r="I449">
        <f t="shared" si="37"/>
        <v>1.1283000000000001</v>
      </c>
      <c r="J449">
        <f t="shared" si="37"/>
        <v>1.1274999999999999</v>
      </c>
      <c r="L449">
        <f t="shared" si="36"/>
        <v>3.9999999999995595E-4</v>
      </c>
      <c r="W449">
        <f t="shared" si="38"/>
        <v>2.2785031986679968E-3</v>
      </c>
      <c r="X449">
        <f t="shared" si="39"/>
        <v>2.6297335203367056E-4</v>
      </c>
      <c r="Y449">
        <f t="shared" si="39"/>
        <v>4.4021834830075719E-3</v>
      </c>
      <c r="Z449">
        <f t="shared" si="39"/>
        <v>-7.9176563737136808E-4</v>
      </c>
      <c r="AE449">
        <f>W449-mu-theta*AE448</f>
        <v>2.2489233702438372E-3</v>
      </c>
      <c r="AF449">
        <f t="shared" si="41"/>
        <v>9.3301378575031562E-4</v>
      </c>
      <c r="AG449">
        <f t="shared" si="41"/>
        <v>3.8308227242130882E-3</v>
      </c>
      <c r="AK449">
        <f t="shared" si="40"/>
        <v>5.0576563252288994E-6</v>
      </c>
    </row>
    <row r="450" spans="1:37" x14ac:dyDescent="0.3">
      <c r="A450" s="1">
        <v>44554</v>
      </c>
      <c r="B450">
        <v>1.1316999999999999</v>
      </c>
      <c r="C450">
        <v>1.3385</v>
      </c>
      <c r="D450">
        <v>114.41</v>
      </c>
      <c r="G450">
        <v>1.1316999999999999</v>
      </c>
      <c r="H450">
        <f t="shared" si="37"/>
        <v>1.1328</v>
      </c>
      <c r="I450">
        <f t="shared" si="37"/>
        <v>1.1324000000000001</v>
      </c>
      <c r="J450">
        <f t="shared" si="37"/>
        <v>1.1283000000000001</v>
      </c>
      <c r="L450">
        <f t="shared" si="36"/>
        <v>-1.1000000000001009E-3</v>
      </c>
      <c r="W450">
        <f t="shared" si="38"/>
        <v>3.4974206522682557E-4</v>
      </c>
      <c r="X450">
        <f t="shared" si="39"/>
        <v>2.2785031986679968E-3</v>
      </c>
      <c r="Y450">
        <f t="shared" si="39"/>
        <v>2.6297335203367056E-4</v>
      </c>
      <c r="Z450">
        <f t="shared" si="39"/>
        <v>4.4021834830075719E-3</v>
      </c>
      <c r="AE450">
        <f>W450-mu-theta*AE449</f>
        <v>6.3786330958123696E-4</v>
      </c>
      <c r="AF450">
        <f t="shared" si="41"/>
        <v>2.2489233702438372E-3</v>
      </c>
      <c r="AG450">
        <f t="shared" si="41"/>
        <v>9.3301378575031562E-4</v>
      </c>
      <c r="AK450">
        <f t="shared" si="40"/>
        <v>4.0686960170992894E-7</v>
      </c>
    </row>
    <row r="451" spans="1:37" x14ac:dyDescent="0.3">
      <c r="A451" s="1">
        <v>44557</v>
      </c>
      <c r="B451">
        <v>1.1325000000000001</v>
      </c>
      <c r="C451">
        <v>1.3436999999999999</v>
      </c>
      <c r="D451">
        <v>114.83</v>
      </c>
      <c r="G451">
        <v>1.1325000000000001</v>
      </c>
      <c r="H451">
        <f t="shared" si="37"/>
        <v>1.1316999999999999</v>
      </c>
      <c r="I451">
        <f t="shared" si="37"/>
        <v>1.1328</v>
      </c>
      <c r="J451">
        <f t="shared" si="37"/>
        <v>1.1324000000000001</v>
      </c>
      <c r="L451">
        <f t="shared" si="36"/>
        <v>8.0000000000013394E-4</v>
      </c>
      <c r="W451">
        <f t="shared" si="38"/>
        <v>3.6710077790403088E-3</v>
      </c>
      <c r="X451">
        <f t="shared" si="39"/>
        <v>3.4974206522682557E-4</v>
      </c>
      <c r="Y451">
        <f t="shared" si="39"/>
        <v>2.2785031986679968E-3</v>
      </c>
      <c r="Z451">
        <f t="shared" si="39"/>
        <v>2.6297335203367056E-4</v>
      </c>
      <c r="AE451">
        <f>W451-mu-theta*AE450</f>
        <v>3.5701695419724329E-3</v>
      </c>
      <c r="AF451">
        <f t="shared" si="41"/>
        <v>6.3786330958123696E-4</v>
      </c>
      <c r="AG451">
        <f t="shared" si="41"/>
        <v>2.2489233702438372E-3</v>
      </c>
      <c r="AK451">
        <f t="shared" si="40"/>
        <v>1.274611055842765E-5</v>
      </c>
    </row>
    <row r="452" spans="1:37" x14ac:dyDescent="0.3">
      <c r="A452" s="1">
        <v>44558</v>
      </c>
      <c r="B452">
        <v>1.1309</v>
      </c>
      <c r="C452">
        <v>1.3433999999999999</v>
      </c>
      <c r="D452">
        <v>114.81</v>
      </c>
      <c r="G452">
        <v>1.1309</v>
      </c>
      <c r="H452">
        <f t="shared" si="37"/>
        <v>1.1325000000000001</v>
      </c>
      <c r="I452">
        <f t="shared" si="37"/>
        <v>1.1316999999999999</v>
      </c>
      <c r="J452">
        <f t="shared" si="37"/>
        <v>1.1328</v>
      </c>
      <c r="L452">
        <f t="shared" si="36"/>
        <v>-1.6000000000000458E-3</v>
      </c>
      <c r="W452">
        <f t="shared" si="38"/>
        <v>-1.7417051293212594E-4</v>
      </c>
      <c r="X452">
        <f t="shared" si="39"/>
        <v>3.6710077790403088E-3</v>
      </c>
      <c r="Y452">
        <f t="shared" si="39"/>
        <v>3.4974206522682557E-4</v>
      </c>
      <c r="Z452">
        <f t="shared" si="39"/>
        <v>2.2785031986679968E-3</v>
      </c>
      <c r="AE452">
        <f>W452-mu-theta*AE451</f>
        <v>4.3294022060084189E-4</v>
      </c>
      <c r="AF452">
        <f t="shared" si="41"/>
        <v>3.5701695419724329E-3</v>
      </c>
      <c r="AG452">
        <f t="shared" si="41"/>
        <v>6.3786330958123696E-4</v>
      </c>
      <c r="AK452">
        <f t="shared" si="40"/>
        <v>1.8743723461390565E-7</v>
      </c>
    </row>
    <row r="453" spans="1:37" x14ac:dyDescent="0.3">
      <c r="A453" s="1">
        <v>44559</v>
      </c>
      <c r="B453">
        <v>1.1348</v>
      </c>
      <c r="C453">
        <v>1.3486</v>
      </c>
      <c r="D453">
        <v>114.94</v>
      </c>
      <c r="G453">
        <v>1.1348</v>
      </c>
      <c r="H453">
        <f t="shared" si="37"/>
        <v>1.1309</v>
      </c>
      <c r="I453">
        <f t="shared" si="37"/>
        <v>1.1325000000000001</v>
      </c>
      <c r="J453">
        <f t="shared" si="37"/>
        <v>1.1316999999999999</v>
      </c>
      <c r="L453">
        <f t="shared" si="36"/>
        <v>3.9000000000000146E-3</v>
      </c>
      <c r="W453">
        <f t="shared" si="38"/>
        <v>1.132305548297147E-3</v>
      </c>
      <c r="X453">
        <f t="shared" si="39"/>
        <v>-1.7417051293212594E-4</v>
      </c>
      <c r="Y453">
        <f t="shared" si="39"/>
        <v>3.6710077790403088E-3</v>
      </c>
      <c r="Z453">
        <f t="shared" si="39"/>
        <v>3.4974206522682557E-4</v>
      </c>
      <c r="AE453">
        <f>W453-mu-theta*AE452</f>
        <v>9.8199257073543363E-4</v>
      </c>
      <c r="AF453">
        <f t="shared" si="41"/>
        <v>4.3294022060084189E-4</v>
      </c>
      <c r="AG453">
        <f t="shared" si="41"/>
        <v>3.5701695419724329E-3</v>
      </c>
      <c r="AK453">
        <f t="shared" si="40"/>
        <v>9.6430940897958562E-7</v>
      </c>
    </row>
    <row r="454" spans="1:37" x14ac:dyDescent="0.3">
      <c r="A454" s="1">
        <v>44560</v>
      </c>
      <c r="B454">
        <v>1.1323000000000001</v>
      </c>
      <c r="C454">
        <v>1.3493999999999999</v>
      </c>
      <c r="D454">
        <v>115.06</v>
      </c>
      <c r="G454">
        <v>1.1323000000000001</v>
      </c>
      <c r="H454">
        <f t="shared" si="37"/>
        <v>1.1348</v>
      </c>
      <c r="I454">
        <f t="shared" si="37"/>
        <v>1.1309</v>
      </c>
      <c r="J454">
        <f t="shared" si="37"/>
        <v>1.1325000000000001</v>
      </c>
      <c r="L454">
        <f t="shared" ref="L454:L517" si="42">G454-H454</f>
        <v>-2.4999999999999467E-3</v>
      </c>
      <c r="W454">
        <f t="shared" si="38"/>
        <v>1.0440229685053468E-3</v>
      </c>
      <c r="X454">
        <f t="shared" si="39"/>
        <v>1.132305548297147E-3</v>
      </c>
      <c r="Y454">
        <f t="shared" si="39"/>
        <v>-1.7417051293212594E-4</v>
      </c>
      <c r="Z454">
        <f t="shared" si="39"/>
        <v>3.6710077790403088E-3</v>
      </c>
      <c r="AE454">
        <f>W454-mu-theta*AE453</f>
        <v>1.0262681261718172E-3</v>
      </c>
      <c r="AF454">
        <f t="shared" si="41"/>
        <v>9.8199257073543363E-4</v>
      </c>
      <c r="AG454">
        <f t="shared" si="41"/>
        <v>4.3294022060084189E-4</v>
      </c>
      <c r="AK454">
        <f t="shared" si="40"/>
        <v>1.053226266796213E-6</v>
      </c>
    </row>
    <row r="455" spans="1:37" x14ac:dyDescent="0.3">
      <c r="A455" s="1">
        <v>44561</v>
      </c>
      <c r="B455">
        <v>1.1368</v>
      </c>
      <c r="C455">
        <v>1.3529</v>
      </c>
      <c r="D455">
        <v>115.08</v>
      </c>
      <c r="G455">
        <v>1.1368</v>
      </c>
      <c r="H455">
        <f t="shared" ref="H455:J518" si="43">G454</f>
        <v>1.1323000000000001</v>
      </c>
      <c r="I455">
        <f t="shared" si="43"/>
        <v>1.1348</v>
      </c>
      <c r="J455">
        <f t="shared" si="43"/>
        <v>1.1309</v>
      </c>
      <c r="L455">
        <f t="shared" si="42"/>
        <v>4.4999999999999485E-3</v>
      </c>
      <c r="W455">
        <f t="shared" ref="W455:W518" si="44">(D455-D454)/D454</f>
        <v>1.7382235355463256E-4</v>
      </c>
      <c r="X455">
        <f t="shared" si="39"/>
        <v>1.0440229685053468E-3</v>
      </c>
      <c r="Y455">
        <f t="shared" si="39"/>
        <v>1.132305548297147E-3</v>
      </c>
      <c r="Z455">
        <f t="shared" si="39"/>
        <v>-1.7417051293212594E-4</v>
      </c>
      <c r="AE455">
        <f>W455-mu-theta*AE454</f>
        <v>1.6675699294975858E-4</v>
      </c>
      <c r="AF455">
        <f t="shared" si="41"/>
        <v>1.0262681261718172E-3</v>
      </c>
      <c r="AG455">
        <f t="shared" si="41"/>
        <v>9.8199257073543363E-4</v>
      </c>
      <c r="AK455">
        <f t="shared" si="40"/>
        <v>2.7807894697645832E-8</v>
      </c>
    </row>
    <row r="456" spans="1:37" x14ac:dyDescent="0.3">
      <c r="A456" s="1">
        <v>44564</v>
      </c>
      <c r="B456">
        <v>1.1294</v>
      </c>
      <c r="C456">
        <v>1.3471</v>
      </c>
      <c r="D456">
        <v>115.32</v>
      </c>
      <c r="G456">
        <v>1.1294</v>
      </c>
      <c r="H456">
        <f t="shared" si="43"/>
        <v>1.1368</v>
      </c>
      <c r="I456">
        <f t="shared" si="43"/>
        <v>1.1323000000000001</v>
      </c>
      <c r="J456">
        <f t="shared" si="43"/>
        <v>1.1348</v>
      </c>
      <c r="L456">
        <f t="shared" si="42"/>
        <v>-7.4000000000000732E-3</v>
      </c>
      <c r="W456">
        <f t="shared" si="44"/>
        <v>2.085505735140727E-3</v>
      </c>
      <c r="X456">
        <f t="shared" ref="X456:Z519" si="45">W455</f>
        <v>1.7382235355463256E-4</v>
      </c>
      <c r="Y456">
        <f t="shared" si="45"/>
        <v>1.0440229685053468E-3</v>
      </c>
      <c r="Z456">
        <f t="shared" si="45"/>
        <v>1.132305548297147E-3</v>
      </c>
      <c r="AE456">
        <f>W456-mu-theta*AE455</f>
        <v>1.8709279342378564E-3</v>
      </c>
      <c r="AF456">
        <f t="shared" si="41"/>
        <v>1.6675699294975858E-4</v>
      </c>
      <c r="AG456">
        <f t="shared" si="41"/>
        <v>1.0262681261718172E-3</v>
      </c>
      <c r="AK456">
        <f t="shared" ref="AK456:AK519" si="46">POWER(AE456,2)</f>
        <v>3.5003713351115329E-6</v>
      </c>
    </row>
    <row r="457" spans="1:37" x14ac:dyDescent="0.3">
      <c r="A457" s="1">
        <v>44565</v>
      </c>
      <c r="B457">
        <v>1.1285000000000001</v>
      </c>
      <c r="C457">
        <v>1.3532</v>
      </c>
      <c r="D457">
        <v>116.14</v>
      </c>
      <c r="G457">
        <v>1.1285000000000001</v>
      </c>
      <c r="H457">
        <f t="shared" si="43"/>
        <v>1.1294</v>
      </c>
      <c r="I457">
        <f t="shared" si="43"/>
        <v>1.1368</v>
      </c>
      <c r="J457">
        <f t="shared" si="43"/>
        <v>1.1323000000000001</v>
      </c>
      <c r="L457">
        <f t="shared" si="42"/>
        <v>-8.9999999999990088E-4</v>
      </c>
      <c r="W457">
        <f t="shared" si="44"/>
        <v>7.1106486298994753E-3</v>
      </c>
      <c r="X457">
        <f t="shared" si="45"/>
        <v>2.085505735140727E-3</v>
      </c>
      <c r="Y457">
        <f t="shared" si="45"/>
        <v>1.7382235355463256E-4</v>
      </c>
      <c r="Z457">
        <f t="shared" si="45"/>
        <v>1.0440229685053468E-3</v>
      </c>
      <c r="AE457">
        <f>W457-mu-theta*AE456</f>
        <v>7.3075101426282336E-3</v>
      </c>
      <c r="AF457">
        <f t="shared" ref="AF457:AG520" si="47">AE456</f>
        <v>1.8709279342378564E-3</v>
      </c>
      <c r="AG457">
        <f t="shared" si="47"/>
        <v>1.6675699294975858E-4</v>
      </c>
      <c r="AK457">
        <f t="shared" si="46"/>
        <v>5.3399704484614506E-5</v>
      </c>
    </row>
    <row r="458" spans="1:37" x14ac:dyDescent="0.3">
      <c r="A458" s="1">
        <v>44566</v>
      </c>
      <c r="B458">
        <v>1.1313</v>
      </c>
      <c r="C458">
        <v>1.3553999999999999</v>
      </c>
      <c r="D458">
        <v>116.1</v>
      </c>
      <c r="G458">
        <v>1.1313</v>
      </c>
      <c r="H458">
        <f t="shared" si="43"/>
        <v>1.1285000000000001</v>
      </c>
      <c r="I458">
        <f t="shared" si="43"/>
        <v>1.1294</v>
      </c>
      <c r="J458">
        <f t="shared" si="43"/>
        <v>1.1368</v>
      </c>
      <c r="L458">
        <f t="shared" si="42"/>
        <v>2.7999999999999137E-3</v>
      </c>
      <c r="W458">
        <f t="shared" si="44"/>
        <v>-3.4441191665236998E-4</v>
      </c>
      <c r="X458">
        <f t="shared" si="45"/>
        <v>7.1106486298994753E-3</v>
      </c>
      <c r="Y458">
        <f t="shared" si="45"/>
        <v>2.085505735140727E-3</v>
      </c>
      <c r="Z458">
        <f t="shared" si="45"/>
        <v>1.7382235355463256E-4</v>
      </c>
      <c r="AE458">
        <f>W458-mu-theta*AE457</f>
        <v>1.1650078601149454E-3</v>
      </c>
      <c r="AF458">
        <f t="shared" si="47"/>
        <v>7.3075101426282336E-3</v>
      </c>
      <c r="AG458">
        <f t="shared" si="47"/>
        <v>1.8709279342378564E-3</v>
      </c>
      <c r="AK458">
        <f t="shared" si="46"/>
        <v>1.3572433141296042E-6</v>
      </c>
    </row>
    <row r="459" spans="1:37" x14ac:dyDescent="0.3">
      <c r="A459" s="1">
        <v>44567</v>
      </c>
      <c r="B459">
        <v>1.1291</v>
      </c>
      <c r="C459">
        <v>1.3528</v>
      </c>
      <c r="D459">
        <v>115.82</v>
      </c>
      <c r="G459">
        <v>1.1291</v>
      </c>
      <c r="H459">
        <f t="shared" si="43"/>
        <v>1.1313</v>
      </c>
      <c r="I459">
        <f t="shared" si="43"/>
        <v>1.1285000000000001</v>
      </c>
      <c r="J459">
        <f t="shared" si="43"/>
        <v>1.1294</v>
      </c>
      <c r="L459">
        <f t="shared" si="42"/>
        <v>-2.1999999999999797E-3</v>
      </c>
      <c r="W459">
        <f t="shared" si="44"/>
        <v>-2.4117140396210262E-3</v>
      </c>
      <c r="X459">
        <f t="shared" si="45"/>
        <v>-3.4441191665236998E-4</v>
      </c>
      <c r="Y459">
        <f t="shared" si="45"/>
        <v>7.1106486298994753E-3</v>
      </c>
      <c r="Z459">
        <f t="shared" si="45"/>
        <v>2.085505735140727E-3</v>
      </c>
      <c r="AE459">
        <f>W459-mu-theta*AE458</f>
        <v>-2.3852833585296081E-3</v>
      </c>
      <c r="AF459">
        <f t="shared" si="47"/>
        <v>1.1650078601149454E-3</v>
      </c>
      <c r="AG459">
        <f t="shared" si="47"/>
        <v>7.3075101426282336E-3</v>
      </c>
      <c r="AK459">
        <f t="shared" si="46"/>
        <v>5.6895767004782868E-6</v>
      </c>
    </row>
    <row r="460" spans="1:37" x14ac:dyDescent="0.3">
      <c r="A460" s="1">
        <v>44568</v>
      </c>
      <c r="B460">
        <v>1.1358999999999999</v>
      </c>
      <c r="C460">
        <v>1.3585</v>
      </c>
      <c r="D460">
        <v>115.55</v>
      </c>
      <c r="G460">
        <v>1.1358999999999999</v>
      </c>
      <c r="H460">
        <f t="shared" si="43"/>
        <v>1.1291</v>
      </c>
      <c r="I460">
        <f t="shared" si="43"/>
        <v>1.1313</v>
      </c>
      <c r="J460">
        <f t="shared" si="43"/>
        <v>1.1285000000000001</v>
      </c>
      <c r="L460">
        <f t="shared" si="42"/>
        <v>6.7999999999999172E-3</v>
      </c>
      <c r="W460">
        <f t="shared" si="44"/>
        <v>-2.3312035917803144E-3</v>
      </c>
      <c r="X460">
        <f t="shared" si="45"/>
        <v>-2.4117140396210262E-3</v>
      </c>
      <c r="Y460">
        <f t="shared" si="45"/>
        <v>-3.4441191665236998E-4</v>
      </c>
      <c r="Z460">
        <f t="shared" si="45"/>
        <v>7.1106486298994753E-3</v>
      </c>
      <c r="AE460">
        <f>W460-mu-theta*AE459</f>
        <v>-3.1619224763817727E-3</v>
      </c>
      <c r="AF460">
        <f t="shared" si="47"/>
        <v>-2.3852833585296081E-3</v>
      </c>
      <c r="AG460">
        <f t="shared" si="47"/>
        <v>1.1650078601149454E-3</v>
      </c>
      <c r="AK460">
        <f t="shared" si="46"/>
        <v>9.9977537466482427E-6</v>
      </c>
    </row>
    <row r="461" spans="1:37" x14ac:dyDescent="0.3">
      <c r="A461" s="1">
        <v>44571</v>
      </c>
      <c r="B461">
        <v>1.1324000000000001</v>
      </c>
      <c r="C461">
        <v>1.3574999999999999</v>
      </c>
      <c r="D461">
        <v>115.2</v>
      </c>
      <c r="G461">
        <v>1.1324000000000001</v>
      </c>
      <c r="H461">
        <f t="shared" si="43"/>
        <v>1.1358999999999999</v>
      </c>
      <c r="I461">
        <f t="shared" si="43"/>
        <v>1.1291</v>
      </c>
      <c r="J461">
        <f t="shared" si="43"/>
        <v>1.1313</v>
      </c>
      <c r="L461">
        <f t="shared" si="42"/>
        <v>-3.4999999999998366E-3</v>
      </c>
      <c r="W461">
        <f t="shared" si="44"/>
        <v>-3.0289917784508381E-3</v>
      </c>
      <c r="X461">
        <f t="shared" si="45"/>
        <v>-2.3312035917803144E-3</v>
      </c>
      <c r="Y461">
        <f t="shared" si="45"/>
        <v>-2.4117140396210262E-3</v>
      </c>
      <c r="Z461">
        <f t="shared" si="45"/>
        <v>-3.4441191665236998E-4</v>
      </c>
      <c r="AE461">
        <f>W461-mu-theta*AE460</f>
        <v>-4.047215248330017E-3</v>
      </c>
      <c r="AF461">
        <f t="shared" si="47"/>
        <v>-3.1619224763817727E-3</v>
      </c>
      <c r="AG461">
        <f t="shared" si="47"/>
        <v>-2.3852833585296081E-3</v>
      </c>
      <c r="AK461">
        <f t="shared" si="46"/>
        <v>1.6379951266315E-5</v>
      </c>
    </row>
    <row r="462" spans="1:37" x14ac:dyDescent="0.3">
      <c r="A462" s="1">
        <v>44572</v>
      </c>
      <c r="B462">
        <v>1.1364000000000001</v>
      </c>
      <c r="C462">
        <v>1.3634999999999999</v>
      </c>
      <c r="D462">
        <v>115.28</v>
      </c>
      <c r="G462">
        <v>1.1364000000000001</v>
      </c>
      <c r="H462">
        <f t="shared" si="43"/>
        <v>1.1324000000000001</v>
      </c>
      <c r="I462">
        <f t="shared" si="43"/>
        <v>1.1358999999999999</v>
      </c>
      <c r="J462">
        <f t="shared" si="43"/>
        <v>1.1291</v>
      </c>
      <c r="L462">
        <f t="shared" si="42"/>
        <v>4.0000000000000036E-3</v>
      </c>
      <c r="W462">
        <f t="shared" si="44"/>
        <v>6.9444444444442962E-4</v>
      </c>
      <c r="X462">
        <f t="shared" si="45"/>
        <v>-3.0289917784508381E-3</v>
      </c>
      <c r="Y462">
        <f t="shared" si="45"/>
        <v>-2.3312035917803144E-3</v>
      </c>
      <c r="Z462">
        <f t="shared" si="45"/>
        <v>-2.4117140396210262E-3</v>
      </c>
      <c r="AE462">
        <f>W462-mu-theta*AE461</f>
        <v>-5.3751594678966546E-4</v>
      </c>
      <c r="AF462">
        <f t="shared" si="47"/>
        <v>-4.047215248330017E-3</v>
      </c>
      <c r="AG462">
        <f t="shared" si="47"/>
        <v>-3.1619224763817727E-3</v>
      </c>
      <c r="AK462">
        <f t="shared" si="46"/>
        <v>2.8892339305319049E-7</v>
      </c>
    </row>
    <row r="463" spans="1:37" x14ac:dyDescent="0.3">
      <c r="A463" s="1">
        <v>44573</v>
      </c>
      <c r="B463">
        <v>1.1442000000000001</v>
      </c>
      <c r="C463">
        <v>1.3701000000000001</v>
      </c>
      <c r="D463">
        <v>114.63</v>
      </c>
      <c r="G463">
        <v>1.1442000000000001</v>
      </c>
      <c r="H463">
        <f t="shared" si="43"/>
        <v>1.1364000000000001</v>
      </c>
      <c r="I463">
        <f t="shared" si="43"/>
        <v>1.1324000000000001</v>
      </c>
      <c r="J463">
        <f t="shared" si="43"/>
        <v>1.1358999999999999</v>
      </c>
      <c r="L463">
        <f t="shared" si="42"/>
        <v>7.8000000000000291E-3</v>
      </c>
      <c r="W463">
        <f t="shared" si="44"/>
        <v>-5.638445523941756E-3</v>
      </c>
      <c r="X463">
        <f t="shared" si="45"/>
        <v>6.9444444444442962E-4</v>
      </c>
      <c r="Y463">
        <f t="shared" si="45"/>
        <v>-3.0289917784508381E-3</v>
      </c>
      <c r="Z463">
        <f t="shared" si="45"/>
        <v>-2.3312035917803144E-3</v>
      </c>
      <c r="AE463">
        <f>W463-mu-theta*AE462</f>
        <v>-6.0230564875487736E-3</v>
      </c>
      <c r="AF463">
        <f t="shared" si="47"/>
        <v>-5.3751594678966546E-4</v>
      </c>
      <c r="AG463">
        <f t="shared" si="47"/>
        <v>-4.047215248330017E-3</v>
      </c>
      <c r="AK463">
        <f t="shared" si="46"/>
        <v>3.6277209452203369E-5</v>
      </c>
    </row>
    <row r="464" spans="1:37" x14ac:dyDescent="0.3">
      <c r="A464" s="1">
        <v>44574</v>
      </c>
      <c r="B464">
        <v>1.1453</v>
      </c>
      <c r="C464">
        <v>1.3705000000000001</v>
      </c>
      <c r="D464">
        <v>114.17</v>
      </c>
      <c r="G464">
        <v>1.1453</v>
      </c>
      <c r="H464">
        <f t="shared" si="43"/>
        <v>1.1442000000000001</v>
      </c>
      <c r="I464">
        <f t="shared" si="43"/>
        <v>1.1364000000000001</v>
      </c>
      <c r="J464">
        <f t="shared" si="43"/>
        <v>1.1324000000000001</v>
      </c>
      <c r="L464">
        <f t="shared" si="42"/>
        <v>1.0999999999998789E-3</v>
      </c>
      <c r="W464">
        <f t="shared" si="44"/>
        <v>-4.012911105295244E-3</v>
      </c>
      <c r="X464">
        <f t="shared" si="45"/>
        <v>-5.638445523941756E-3</v>
      </c>
      <c r="Y464">
        <f t="shared" si="45"/>
        <v>6.9444444444442962E-4</v>
      </c>
      <c r="Z464">
        <f t="shared" si="45"/>
        <v>-3.0289917784508381E-3</v>
      </c>
      <c r="AE464">
        <f>W464-mu-theta*AE463</f>
        <v>-5.7219003811403929E-3</v>
      </c>
      <c r="AF464">
        <f t="shared" si="47"/>
        <v>-6.0230564875487736E-3</v>
      </c>
      <c r="AG464">
        <f t="shared" si="47"/>
        <v>-5.3751594678966546E-4</v>
      </c>
      <c r="AK464">
        <f t="shared" si="46"/>
        <v>3.2740143971694573E-5</v>
      </c>
    </row>
    <row r="465" spans="1:37" x14ac:dyDescent="0.3">
      <c r="A465" s="1">
        <v>44575</v>
      </c>
      <c r="B465">
        <v>1.1414</v>
      </c>
      <c r="C465">
        <v>1.3673</v>
      </c>
      <c r="D465">
        <v>114.2</v>
      </c>
      <c r="G465">
        <v>1.1414</v>
      </c>
      <c r="H465">
        <f t="shared" si="43"/>
        <v>1.1453</v>
      </c>
      <c r="I465">
        <f t="shared" si="43"/>
        <v>1.1442000000000001</v>
      </c>
      <c r="J465">
        <f t="shared" si="43"/>
        <v>1.1364000000000001</v>
      </c>
      <c r="L465">
        <f t="shared" si="42"/>
        <v>-3.9000000000000146E-3</v>
      </c>
      <c r="W465">
        <f t="shared" si="44"/>
        <v>2.6276605062626902E-4</v>
      </c>
      <c r="X465">
        <f t="shared" si="45"/>
        <v>-4.012911105295244E-3</v>
      </c>
      <c r="Y465">
        <f t="shared" si="45"/>
        <v>-5.638445523941756E-3</v>
      </c>
      <c r="Z465">
        <f t="shared" si="45"/>
        <v>6.9444444444442962E-4</v>
      </c>
      <c r="AE465">
        <f>W465-mu-theta*AE464</f>
        <v>-1.3735148726031607E-3</v>
      </c>
      <c r="AF465">
        <f t="shared" si="47"/>
        <v>-5.7219003811403929E-3</v>
      </c>
      <c r="AG465">
        <f t="shared" si="47"/>
        <v>-6.0230564875487736E-3</v>
      </c>
      <c r="AK465">
        <f t="shared" si="46"/>
        <v>1.8865431052620767E-6</v>
      </c>
    </row>
    <row r="466" spans="1:37" x14ac:dyDescent="0.3">
      <c r="A466" s="1">
        <v>44578</v>
      </c>
      <c r="B466">
        <v>1.1407</v>
      </c>
      <c r="C466">
        <v>1.3645</v>
      </c>
      <c r="D466">
        <v>114.6</v>
      </c>
      <c r="G466">
        <v>1.1407</v>
      </c>
      <c r="H466">
        <f t="shared" si="43"/>
        <v>1.1414</v>
      </c>
      <c r="I466">
        <f t="shared" si="43"/>
        <v>1.1453</v>
      </c>
      <c r="J466">
        <f t="shared" si="43"/>
        <v>1.1442000000000001</v>
      </c>
      <c r="L466">
        <f t="shared" si="42"/>
        <v>-6.9999999999992291E-4</v>
      </c>
      <c r="W466">
        <f t="shared" si="44"/>
        <v>3.5026269702275962E-3</v>
      </c>
      <c r="X466">
        <f t="shared" si="45"/>
        <v>2.6276605062626902E-4</v>
      </c>
      <c r="Y466">
        <f t="shared" si="45"/>
        <v>-4.012911105295244E-3</v>
      </c>
      <c r="Z466">
        <f t="shared" si="45"/>
        <v>-5.638445523941756E-3</v>
      </c>
      <c r="AE466">
        <f>W466-mu-theta*AE465</f>
        <v>2.9161801368142912E-3</v>
      </c>
      <c r="AF466">
        <f t="shared" si="47"/>
        <v>-1.3735148726031607E-3</v>
      </c>
      <c r="AG466">
        <f t="shared" si="47"/>
        <v>-5.7219003811403929E-3</v>
      </c>
      <c r="AK466">
        <f t="shared" si="46"/>
        <v>8.5041065903502176E-6</v>
      </c>
    </row>
    <row r="467" spans="1:37" x14ac:dyDescent="0.3">
      <c r="A467" s="1">
        <v>44579</v>
      </c>
      <c r="B467">
        <v>1.1325000000000001</v>
      </c>
      <c r="C467">
        <v>1.3593999999999999</v>
      </c>
      <c r="D467">
        <v>114.61</v>
      </c>
      <c r="G467">
        <v>1.1325000000000001</v>
      </c>
      <c r="H467">
        <f t="shared" si="43"/>
        <v>1.1407</v>
      </c>
      <c r="I467">
        <f t="shared" si="43"/>
        <v>1.1414</v>
      </c>
      <c r="J467">
        <f t="shared" si="43"/>
        <v>1.1453</v>
      </c>
      <c r="L467">
        <f t="shared" si="42"/>
        <v>-8.1999999999999851E-3</v>
      </c>
      <c r="W467">
        <f t="shared" si="44"/>
        <v>8.7260034904058608E-5</v>
      </c>
      <c r="X467">
        <f t="shared" si="45"/>
        <v>3.5026269702275962E-3</v>
      </c>
      <c r="Y467">
        <f t="shared" si="45"/>
        <v>2.6276605062626902E-4</v>
      </c>
      <c r="Z467">
        <f t="shared" si="45"/>
        <v>-4.012911105295244E-3</v>
      </c>
      <c r="AE467">
        <f>W467-mu-theta*AE466</f>
        <v>5.3647759853164075E-4</v>
      </c>
      <c r="AF467">
        <f t="shared" si="47"/>
        <v>2.9161801368142912E-3</v>
      </c>
      <c r="AG467">
        <f t="shared" si="47"/>
        <v>-1.3735148726031607E-3</v>
      </c>
      <c r="AK467">
        <f t="shared" si="46"/>
        <v>2.8780821372627629E-7</v>
      </c>
    </row>
    <row r="468" spans="1:37" x14ac:dyDescent="0.3">
      <c r="A468" s="1">
        <v>44580</v>
      </c>
      <c r="B468">
        <v>1.1341000000000001</v>
      </c>
      <c r="C468">
        <v>1.3606</v>
      </c>
      <c r="D468">
        <v>114.32</v>
      </c>
      <c r="G468">
        <v>1.1341000000000001</v>
      </c>
      <c r="H468">
        <f t="shared" si="43"/>
        <v>1.1325000000000001</v>
      </c>
      <c r="I468">
        <f t="shared" si="43"/>
        <v>1.1407</v>
      </c>
      <c r="J468">
        <f t="shared" si="43"/>
        <v>1.1414</v>
      </c>
      <c r="L468">
        <f t="shared" si="42"/>
        <v>1.6000000000000458E-3</v>
      </c>
      <c r="W468">
        <f t="shared" si="44"/>
        <v>-2.5303202163860592E-3</v>
      </c>
      <c r="X468">
        <f t="shared" si="45"/>
        <v>8.7260034904058608E-5</v>
      </c>
      <c r="Y468">
        <f t="shared" si="45"/>
        <v>3.5026269702275962E-3</v>
      </c>
      <c r="Z468">
        <f t="shared" si="45"/>
        <v>2.6276605062626902E-4</v>
      </c>
      <c r="AE468">
        <f>W468-mu-theta*AE467</f>
        <v>-2.6556360843979126E-3</v>
      </c>
      <c r="AF468">
        <f t="shared" si="47"/>
        <v>5.3647759853164075E-4</v>
      </c>
      <c r="AG468">
        <f t="shared" si="47"/>
        <v>2.9161801368142912E-3</v>
      </c>
      <c r="AK468">
        <f t="shared" si="46"/>
        <v>7.0524030127562767E-6</v>
      </c>
    </row>
    <row r="469" spans="1:37" x14ac:dyDescent="0.3">
      <c r="A469" s="1">
        <v>44581</v>
      </c>
      <c r="B469">
        <v>1.131</v>
      </c>
      <c r="C469">
        <v>1.3594999999999999</v>
      </c>
      <c r="D469">
        <v>114.09</v>
      </c>
      <c r="G469">
        <v>1.131</v>
      </c>
      <c r="H469">
        <f t="shared" si="43"/>
        <v>1.1341000000000001</v>
      </c>
      <c r="I469">
        <f t="shared" si="43"/>
        <v>1.1325000000000001</v>
      </c>
      <c r="J469">
        <f t="shared" si="43"/>
        <v>1.1407</v>
      </c>
      <c r="L469">
        <f t="shared" si="42"/>
        <v>-3.1000000000001027E-3</v>
      </c>
      <c r="W469">
        <f t="shared" si="44"/>
        <v>-2.0118964310705894E-3</v>
      </c>
      <c r="X469">
        <f t="shared" si="45"/>
        <v>-2.5303202163860592E-3</v>
      </c>
      <c r="Y469">
        <f t="shared" si="45"/>
        <v>8.7260034904058608E-5</v>
      </c>
      <c r="Z469">
        <f t="shared" si="45"/>
        <v>3.5026269702275962E-3</v>
      </c>
      <c r="AE469">
        <f>W469-mu-theta*AE468</f>
        <v>-2.9078867842053735E-3</v>
      </c>
      <c r="AF469">
        <f t="shared" si="47"/>
        <v>-2.6556360843979126E-3</v>
      </c>
      <c r="AG469">
        <f t="shared" si="47"/>
        <v>5.3647759853164075E-4</v>
      </c>
      <c r="AK469">
        <f t="shared" si="46"/>
        <v>8.4558055497562684E-6</v>
      </c>
    </row>
    <row r="470" spans="1:37" x14ac:dyDescent="0.3">
      <c r="A470" s="1">
        <v>44582</v>
      </c>
      <c r="B470">
        <v>1.1339999999999999</v>
      </c>
      <c r="C470">
        <v>1.3553999999999999</v>
      </c>
      <c r="D470">
        <v>113.68</v>
      </c>
      <c r="G470">
        <v>1.1339999999999999</v>
      </c>
      <c r="H470">
        <f t="shared" si="43"/>
        <v>1.131</v>
      </c>
      <c r="I470">
        <f t="shared" si="43"/>
        <v>1.1341000000000001</v>
      </c>
      <c r="J470">
        <f t="shared" si="43"/>
        <v>1.1325000000000001</v>
      </c>
      <c r="L470">
        <f t="shared" si="42"/>
        <v>2.9999999999998916E-3</v>
      </c>
      <c r="W470">
        <f t="shared" si="44"/>
        <v>-3.5936541327022224E-3</v>
      </c>
      <c r="X470">
        <f t="shared" si="45"/>
        <v>-2.0118964310705894E-3</v>
      </c>
      <c r="Y470">
        <f t="shared" si="45"/>
        <v>-2.5303202163860592E-3</v>
      </c>
      <c r="Z470">
        <f t="shared" si="45"/>
        <v>8.7260034904058608E-5</v>
      </c>
      <c r="AE470">
        <f>W470-mu-theta*AE469</f>
        <v>-4.5505455681623709E-3</v>
      </c>
      <c r="AF470">
        <f t="shared" si="47"/>
        <v>-2.9078867842053735E-3</v>
      </c>
      <c r="AG470">
        <f t="shared" si="47"/>
        <v>-2.6556360843979126E-3</v>
      </c>
      <c r="AK470">
        <f t="shared" si="46"/>
        <v>2.0707464967922194E-5</v>
      </c>
    </row>
    <row r="471" spans="1:37" x14ac:dyDescent="0.3">
      <c r="A471" s="1">
        <v>44585</v>
      </c>
      <c r="B471">
        <v>1.1323000000000001</v>
      </c>
      <c r="C471">
        <v>1.3485</v>
      </c>
      <c r="D471">
        <v>113.92</v>
      </c>
      <c r="G471">
        <v>1.1323000000000001</v>
      </c>
      <c r="H471">
        <f t="shared" si="43"/>
        <v>1.1339999999999999</v>
      </c>
      <c r="I471">
        <f t="shared" si="43"/>
        <v>1.131</v>
      </c>
      <c r="J471">
        <f t="shared" si="43"/>
        <v>1.1341000000000001</v>
      </c>
      <c r="L471">
        <f t="shared" si="42"/>
        <v>-1.6999999999998128E-3</v>
      </c>
      <c r="W471">
        <f t="shared" si="44"/>
        <v>2.1111893033074849E-3</v>
      </c>
      <c r="X471">
        <f t="shared" si="45"/>
        <v>-3.5936541327022224E-3</v>
      </c>
      <c r="Y471">
        <f t="shared" si="45"/>
        <v>-2.0118964310705894E-3</v>
      </c>
      <c r="Z471">
        <f t="shared" si="45"/>
        <v>-2.5303202163860592E-3</v>
      </c>
      <c r="AE471">
        <f>W471-mu-theta*AE470</f>
        <v>7.5770948212390186E-4</v>
      </c>
      <c r="AF471">
        <f t="shared" si="47"/>
        <v>-4.5505455681623709E-3</v>
      </c>
      <c r="AG471">
        <f t="shared" si="47"/>
        <v>-2.9078867842053735E-3</v>
      </c>
      <c r="AK471">
        <f t="shared" si="46"/>
        <v>5.7412365930047159E-7</v>
      </c>
    </row>
    <row r="472" spans="1:37" x14ac:dyDescent="0.3">
      <c r="A472" s="1">
        <v>44586</v>
      </c>
      <c r="B472">
        <v>1.1298999999999999</v>
      </c>
      <c r="C472">
        <v>1.3495999999999999</v>
      </c>
      <c r="D472">
        <v>113.86</v>
      </c>
      <c r="G472">
        <v>1.1298999999999999</v>
      </c>
      <c r="H472">
        <f t="shared" si="43"/>
        <v>1.1323000000000001</v>
      </c>
      <c r="I472">
        <f t="shared" si="43"/>
        <v>1.1339999999999999</v>
      </c>
      <c r="J472">
        <f t="shared" si="43"/>
        <v>1.131</v>
      </c>
      <c r="L472">
        <f t="shared" si="42"/>
        <v>-2.4000000000001798E-3</v>
      </c>
      <c r="W472">
        <f t="shared" si="44"/>
        <v>-5.266853932584469E-4</v>
      </c>
      <c r="X472">
        <f t="shared" si="45"/>
        <v>2.1111893033074849E-3</v>
      </c>
      <c r="Y472">
        <f t="shared" si="45"/>
        <v>-3.5936541327022224E-3</v>
      </c>
      <c r="Z472">
        <f t="shared" si="45"/>
        <v>-2.0118964310705894E-3</v>
      </c>
      <c r="AE472">
        <f>W472-mu-theta*AE471</f>
        <v>-5.9858907582965902E-4</v>
      </c>
      <c r="AF472">
        <f t="shared" si="47"/>
        <v>7.5770948212390186E-4</v>
      </c>
      <c r="AG472">
        <f t="shared" si="47"/>
        <v>-4.5505455681623709E-3</v>
      </c>
      <c r="AK472">
        <f t="shared" si="46"/>
        <v>3.5830888170260525E-7</v>
      </c>
    </row>
    <row r="473" spans="1:37" x14ac:dyDescent="0.3">
      <c r="A473" s="1">
        <v>44587</v>
      </c>
      <c r="B473">
        <v>1.1236999999999999</v>
      </c>
      <c r="C473">
        <v>1.3461000000000001</v>
      </c>
      <c r="D473">
        <v>114.63</v>
      </c>
      <c r="G473">
        <v>1.1236999999999999</v>
      </c>
      <c r="H473">
        <f t="shared" si="43"/>
        <v>1.1298999999999999</v>
      </c>
      <c r="I473">
        <f t="shared" si="43"/>
        <v>1.1323000000000001</v>
      </c>
      <c r="J473">
        <f t="shared" si="43"/>
        <v>1.1339999999999999</v>
      </c>
      <c r="L473">
        <f t="shared" si="42"/>
        <v>-6.1999999999999833E-3</v>
      </c>
      <c r="W473">
        <f t="shared" si="44"/>
        <v>6.7626910240646057E-3</v>
      </c>
      <c r="X473">
        <f t="shared" si="45"/>
        <v>-5.266853932584469E-4</v>
      </c>
      <c r="Y473">
        <f t="shared" si="45"/>
        <v>2.1111893033074849E-3</v>
      </c>
      <c r="Z473">
        <f t="shared" si="45"/>
        <v>-3.5936541327022224E-3</v>
      </c>
      <c r="AE473">
        <f>W473-mu-theta*AE472</f>
        <v>6.3633351274906182E-3</v>
      </c>
      <c r="AF473">
        <f t="shared" si="47"/>
        <v>-5.9858907582965902E-4</v>
      </c>
      <c r="AG473">
        <f t="shared" si="47"/>
        <v>7.5770948212390186E-4</v>
      </c>
      <c r="AK473">
        <f t="shared" si="46"/>
        <v>4.0492033944756041E-5</v>
      </c>
    </row>
    <row r="474" spans="1:37" x14ac:dyDescent="0.3">
      <c r="A474" s="1">
        <v>44588</v>
      </c>
      <c r="B474">
        <v>1.1143000000000001</v>
      </c>
      <c r="C474">
        <v>1.3385</v>
      </c>
      <c r="D474">
        <v>115.34</v>
      </c>
      <c r="G474">
        <v>1.1143000000000001</v>
      </c>
      <c r="H474">
        <f t="shared" si="43"/>
        <v>1.1236999999999999</v>
      </c>
      <c r="I474">
        <f t="shared" si="43"/>
        <v>1.1298999999999999</v>
      </c>
      <c r="J474">
        <f t="shared" si="43"/>
        <v>1.1323000000000001</v>
      </c>
      <c r="L474">
        <f t="shared" si="42"/>
        <v>-9.3999999999998529E-3</v>
      </c>
      <c r="W474">
        <f t="shared" si="44"/>
        <v>6.193841053825421E-3</v>
      </c>
      <c r="X474">
        <f t="shared" si="45"/>
        <v>6.7626910240646057E-3</v>
      </c>
      <c r="Y474">
        <f t="shared" si="45"/>
        <v>-5.266853932584469E-4</v>
      </c>
      <c r="Z474">
        <f t="shared" si="45"/>
        <v>2.1111893033074849E-3</v>
      </c>
      <c r="AE474">
        <f>W474-mu-theta*AE473</f>
        <v>7.4753079235429735E-3</v>
      </c>
      <c r="AF474">
        <f t="shared" si="47"/>
        <v>6.3633351274906182E-3</v>
      </c>
      <c r="AG474">
        <f t="shared" si="47"/>
        <v>-5.9858907582965902E-4</v>
      </c>
      <c r="AK474">
        <f t="shared" si="46"/>
        <v>5.5880228551784364E-5</v>
      </c>
    </row>
    <row r="475" spans="1:37" x14ac:dyDescent="0.3">
      <c r="A475" s="1">
        <v>44589</v>
      </c>
      <c r="B475">
        <v>1.1143000000000001</v>
      </c>
      <c r="C475">
        <v>1.3404</v>
      </c>
      <c r="D475">
        <v>115.24</v>
      </c>
      <c r="G475">
        <v>1.1143000000000001</v>
      </c>
      <c r="H475">
        <f t="shared" si="43"/>
        <v>1.1143000000000001</v>
      </c>
      <c r="I475">
        <f t="shared" si="43"/>
        <v>1.1236999999999999</v>
      </c>
      <c r="J475">
        <f t="shared" si="43"/>
        <v>1.1298999999999999</v>
      </c>
      <c r="L475">
        <f t="shared" si="42"/>
        <v>0</v>
      </c>
      <c r="W475">
        <f t="shared" si="44"/>
        <v>-8.6700190740427016E-4</v>
      </c>
      <c r="X475">
        <f t="shared" si="45"/>
        <v>6.193841053825421E-3</v>
      </c>
      <c r="Y475">
        <f t="shared" si="45"/>
        <v>6.7626910240646057E-3</v>
      </c>
      <c r="Z475">
        <f t="shared" si="45"/>
        <v>-5.266853932584469E-4</v>
      </c>
      <c r="AE475">
        <f>W475-mu-theta*AE474</f>
        <v>6.829294179030573E-4</v>
      </c>
      <c r="AF475">
        <f t="shared" si="47"/>
        <v>7.4753079235429735E-3</v>
      </c>
      <c r="AG475">
        <f t="shared" si="47"/>
        <v>6.3633351274906182E-3</v>
      </c>
      <c r="AK475">
        <f t="shared" si="46"/>
        <v>4.663925898374087E-7</v>
      </c>
    </row>
    <row r="476" spans="1:37" x14ac:dyDescent="0.3">
      <c r="A476" s="1">
        <v>44592</v>
      </c>
      <c r="B476">
        <v>1.1233</v>
      </c>
      <c r="C476">
        <v>1.3445</v>
      </c>
      <c r="D476">
        <v>115.1</v>
      </c>
      <c r="G476">
        <v>1.1233</v>
      </c>
      <c r="H476">
        <f t="shared" si="43"/>
        <v>1.1143000000000001</v>
      </c>
      <c r="I476">
        <f t="shared" si="43"/>
        <v>1.1143000000000001</v>
      </c>
      <c r="J476">
        <f t="shared" si="43"/>
        <v>1.1236999999999999</v>
      </c>
      <c r="L476">
        <f t="shared" si="42"/>
        <v>8.999999999999897E-3</v>
      </c>
      <c r="W476">
        <f t="shared" si="44"/>
        <v>-1.2148559527941738E-3</v>
      </c>
      <c r="X476">
        <f t="shared" si="45"/>
        <v>-8.6700190740427016E-4</v>
      </c>
      <c r="Y476">
        <f t="shared" si="45"/>
        <v>6.193841053825421E-3</v>
      </c>
      <c r="Z476">
        <f t="shared" si="45"/>
        <v>6.7626910240646057E-3</v>
      </c>
      <c r="AE476">
        <f>W476-mu-theta*AE475</f>
        <v>-1.3048138443364048E-3</v>
      </c>
      <c r="AF476">
        <f t="shared" si="47"/>
        <v>6.829294179030573E-4</v>
      </c>
      <c r="AG476">
        <f t="shared" si="47"/>
        <v>7.4753079235429735E-3</v>
      </c>
      <c r="AK476">
        <f t="shared" si="46"/>
        <v>1.7025391683719476E-6</v>
      </c>
    </row>
    <row r="477" spans="1:37" x14ac:dyDescent="0.3">
      <c r="A477" s="1">
        <v>44593</v>
      </c>
      <c r="B477">
        <v>1.1269</v>
      </c>
      <c r="C477">
        <v>1.3520000000000001</v>
      </c>
      <c r="D477">
        <v>114.71</v>
      </c>
      <c r="G477">
        <v>1.1269</v>
      </c>
      <c r="H477">
        <f t="shared" si="43"/>
        <v>1.1233</v>
      </c>
      <c r="I477">
        <f t="shared" si="43"/>
        <v>1.1143000000000001</v>
      </c>
      <c r="J477">
        <f t="shared" si="43"/>
        <v>1.1143000000000001</v>
      </c>
      <c r="L477">
        <f t="shared" si="42"/>
        <v>3.6000000000000476E-3</v>
      </c>
      <c r="W477">
        <f t="shared" si="44"/>
        <v>-3.3883579496090405E-3</v>
      </c>
      <c r="X477">
        <f t="shared" si="45"/>
        <v>-1.2148559527941738E-3</v>
      </c>
      <c r="Y477">
        <f t="shared" si="45"/>
        <v>-8.6700190740427016E-4</v>
      </c>
      <c r="Z477">
        <f t="shared" si="45"/>
        <v>6.193841053825421E-3</v>
      </c>
      <c r="AE477">
        <f>W477-mu-theta*AE476</f>
        <v>-3.9582182404220498E-3</v>
      </c>
      <c r="AF477">
        <f t="shared" si="47"/>
        <v>-1.3048138443364048E-3</v>
      </c>
      <c r="AG477">
        <f t="shared" si="47"/>
        <v>6.829294179030573E-4</v>
      </c>
      <c r="AK477">
        <f t="shared" si="46"/>
        <v>1.5667491638809827E-5</v>
      </c>
    </row>
    <row r="478" spans="1:37" x14ac:dyDescent="0.3">
      <c r="A478" s="1">
        <v>44594</v>
      </c>
      <c r="B478">
        <v>1.1303000000000001</v>
      </c>
      <c r="C478">
        <v>1.3576999999999999</v>
      </c>
      <c r="D478">
        <v>114.44</v>
      </c>
      <c r="G478">
        <v>1.1303000000000001</v>
      </c>
      <c r="H478">
        <f t="shared" si="43"/>
        <v>1.1269</v>
      </c>
      <c r="I478">
        <f t="shared" si="43"/>
        <v>1.1233</v>
      </c>
      <c r="J478">
        <f t="shared" si="43"/>
        <v>1.1143000000000001</v>
      </c>
      <c r="L478">
        <f t="shared" si="42"/>
        <v>3.4000000000000696E-3</v>
      </c>
      <c r="W478">
        <f t="shared" si="44"/>
        <v>-2.3537616598378174E-3</v>
      </c>
      <c r="X478">
        <f t="shared" si="45"/>
        <v>-3.3883579496090405E-3</v>
      </c>
      <c r="Y478">
        <f t="shared" si="45"/>
        <v>-1.2148559527941738E-3</v>
      </c>
      <c r="Z478">
        <f t="shared" si="45"/>
        <v>-8.6700190740427016E-4</v>
      </c>
      <c r="AE478">
        <f>W478-mu-theta*AE477</f>
        <v>-3.5642354343471574E-3</v>
      </c>
      <c r="AF478">
        <f t="shared" si="47"/>
        <v>-3.9582182404220498E-3</v>
      </c>
      <c r="AG478">
        <f t="shared" si="47"/>
        <v>-1.3048138443364048E-3</v>
      </c>
      <c r="AK478">
        <f t="shared" si="46"/>
        <v>1.270377423145587E-5</v>
      </c>
    </row>
    <row r="479" spans="1:37" x14ac:dyDescent="0.3">
      <c r="A479" s="1">
        <v>44595</v>
      </c>
      <c r="B479">
        <v>1.1437999999999999</v>
      </c>
      <c r="C479">
        <v>1.3594999999999999</v>
      </c>
      <c r="D479">
        <v>114.95</v>
      </c>
      <c r="G479">
        <v>1.1437999999999999</v>
      </c>
      <c r="H479">
        <f t="shared" si="43"/>
        <v>1.1303000000000001</v>
      </c>
      <c r="I479">
        <f t="shared" si="43"/>
        <v>1.1269</v>
      </c>
      <c r="J479">
        <f t="shared" si="43"/>
        <v>1.1233</v>
      </c>
      <c r="L479">
        <f t="shared" si="42"/>
        <v>1.3499999999999845E-2</v>
      </c>
      <c r="W479">
        <f t="shared" si="44"/>
        <v>4.4564837469416732E-3</v>
      </c>
      <c r="X479">
        <f t="shared" si="45"/>
        <v>-2.3537616598378174E-3</v>
      </c>
      <c r="Y479">
        <f t="shared" si="45"/>
        <v>-3.3883579496090405E-3</v>
      </c>
      <c r="Z479">
        <f t="shared" si="45"/>
        <v>-1.2148559527941738E-3</v>
      </c>
      <c r="AE479">
        <f>W479-mu-theta*AE478</f>
        <v>3.3411295472278017E-3</v>
      </c>
      <c r="AF479">
        <f t="shared" si="47"/>
        <v>-3.5642354343471574E-3</v>
      </c>
      <c r="AG479">
        <f t="shared" si="47"/>
        <v>-3.9582182404220498E-3</v>
      </c>
      <c r="AK479">
        <f t="shared" si="46"/>
        <v>1.1163146651358656E-5</v>
      </c>
    </row>
    <row r="480" spans="1:37" x14ac:dyDescent="0.3">
      <c r="A480" s="1">
        <v>44596</v>
      </c>
      <c r="B480">
        <v>1.1446000000000001</v>
      </c>
      <c r="C480">
        <v>1.3529</v>
      </c>
      <c r="D480">
        <v>115.2</v>
      </c>
      <c r="G480">
        <v>1.1446000000000001</v>
      </c>
      <c r="H480">
        <f t="shared" si="43"/>
        <v>1.1437999999999999</v>
      </c>
      <c r="I480">
        <f t="shared" si="43"/>
        <v>1.1303000000000001</v>
      </c>
      <c r="J480">
        <f t="shared" si="43"/>
        <v>1.1269</v>
      </c>
      <c r="L480">
        <f t="shared" si="42"/>
        <v>8.0000000000013394E-4</v>
      </c>
      <c r="W480">
        <f t="shared" si="44"/>
        <v>2.1748586341887779E-3</v>
      </c>
      <c r="X480">
        <f t="shared" si="45"/>
        <v>4.4564837469416732E-3</v>
      </c>
      <c r="Y480">
        <f t="shared" si="45"/>
        <v>-2.3537616598378174E-3</v>
      </c>
      <c r="Z480">
        <f t="shared" si="45"/>
        <v>-3.3883579496090405E-3</v>
      </c>
      <c r="AE480">
        <f>W480-mu-theta*AE479</f>
        <v>2.7266720639426457E-3</v>
      </c>
      <c r="AF480">
        <f t="shared" si="47"/>
        <v>3.3411295472278017E-3</v>
      </c>
      <c r="AG480">
        <f t="shared" si="47"/>
        <v>-3.5642354343471574E-3</v>
      </c>
      <c r="AK480">
        <f t="shared" si="46"/>
        <v>7.4347405442852475E-6</v>
      </c>
    </row>
    <row r="481" spans="1:37" x14ac:dyDescent="0.3">
      <c r="A481" s="1">
        <v>44599</v>
      </c>
      <c r="B481">
        <v>1.1442000000000001</v>
      </c>
      <c r="C481">
        <v>1.3533999999999999</v>
      </c>
      <c r="D481">
        <v>115.12</v>
      </c>
      <c r="G481">
        <v>1.1442000000000001</v>
      </c>
      <c r="H481">
        <f t="shared" si="43"/>
        <v>1.1446000000000001</v>
      </c>
      <c r="I481">
        <f t="shared" si="43"/>
        <v>1.1437999999999999</v>
      </c>
      <c r="J481">
        <f t="shared" si="43"/>
        <v>1.1303000000000001</v>
      </c>
      <c r="L481">
        <f t="shared" si="42"/>
        <v>-3.9999999999995595E-4</v>
      </c>
      <c r="W481">
        <f t="shared" si="44"/>
        <v>-6.9444444444442962E-4</v>
      </c>
      <c r="X481">
        <f t="shared" si="45"/>
        <v>2.1748586341887779E-3</v>
      </c>
      <c r="Y481">
        <f t="shared" si="45"/>
        <v>4.4564837469416732E-3</v>
      </c>
      <c r="Z481">
        <f t="shared" si="45"/>
        <v>-2.3537616598378174E-3</v>
      </c>
      <c r="AE481">
        <f>W481-mu-theta*AE480</f>
        <v>-2.9097996200190058E-4</v>
      </c>
      <c r="AF481">
        <f t="shared" si="47"/>
        <v>2.7266720639426457E-3</v>
      </c>
      <c r="AG481">
        <f t="shared" si="47"/>
        <v>3.3411295472278017E-3</v>
      </c>
      <c r="AK481">
        <f t="shared" si="46"/>
        <v>8.4669338286627503E-8</v>
      </c>
    </row>
    <row r="482" spans="1:37" x14ac:dyDescent="0.3">
      <c r="A482" s="1">
        <v>44600</v>
      </c>
      <c r="B482">
        <v>1.1414</v>
      </c>
      <c r="C482">
        <v>1.3541000000000001</v>
      </c>
      <c r="D482">
        <v>115.54</v>
      </c>
      <c r="G482">
        <v>1.1414</v>
      </c>
      <c r="H482">
        <f t="shared" si="43"/>
        <v>1.1442000000000001</v>
      </c>
      <c r="I482">
        <f t="shared" si="43"/>
        <v>1.1446000000000001</v>
      </c>
      <c r="J482">
        <f t="shared" si="43"/>
        <v>1.1437999999999999</v>
      </c>
      <c r="L482">
        <f t="shared" si="42"/>
        <v>-2.8000000000001357E-3</v>
      </c>
      <c r="W482">
        <f t="shared" si="44"/>
        <v>3.6483669214732598E-3</v>
      </c>
      <c r="X482">
        <f t="shared" si="45"/>
        <v>-6.9444444444442962E-4</v>
      </c>
      <c r="Y482">
        <f t="shared" si="45"/>
        <v>2.1748586341887779E-3</v>
      </c>
      <c r="Z482">
        <f t="shared" si="45"/>
        <v>4.4564837469416732E-3</v>
      </c>
      <c r="AE482">
        <f>W482-mu-theta*AE481</f>
        <v>3.3232773321069664E-3</v>
      </c>
      <c r="AF482">
        <f t="shared" si="47"/>
        <v>-2.9097996200190058E-4</v>
      </c>
      <c r="AG482">
        <f t="shared" si="47"/>
        <v>2.7266720639426457E-3</v>
      </c>
      <c r="AK482">
        <f t="shared" si="46"/>
        <v>1.1044172226095996E-5</v>
      </c>
    </row>
    <row r="483" spans="1:37" x14ac:dyDescent="0.3">
      <c r="A483" s="1">
        <v>44601</v>
      </c>
      <c r="B483">
        <v>1.1422000000000001</v>
      </c>
      <c r="C483">
        <v>1.3532</v>
      </c>
      <c r="D483">
        <v>115.49</v>
      </c>
      <c r="G483">
        <v>1.1422000000000001</v>
      </c>
      <c r="H483">
        <f t="shared" si="43"/>
        <v>1.1414</v>
      </c>
      <c r="I483">
        <f t="shared" si="43"/>
        <v>1.1442000000000001</v>
      </c>
      <c r="J483">
        <f t="shared" si="43"/>
        <v>1.1446000000000001</v>
      </c>
      <c r="L483">
        <f t="shared" si="42"/>
        <v>8.0000000000013394E-4</v>
      </c>
      <c r="W483">
        <f t="shared" si="44"/>
        <v>-4.327505625758297E-4</v>
      </c>
      <c r="X483">
        <f t="shared" si="45"/>
        <v>3.6483669214732598E-3</v>
      </c>
      <c r="Y483">
        <f t="shared" si="45"/>
        <v>-6.9444444444442962E-4</v>
      </c>
      <c r="Z483">
        <f t="shared" si="45"/>
        <v>2.1748586341887779E-3</v>
      </c>
      <c r="AE483">
        <f>W483-mu-theta*AE482</f>
        <v>1.1475279301929853E-4</v>
      </c>
      <c r="AF483">
        <f t="shared" si="47"/>
        <v>3.3232773321069664E-3</v>
      </c>
      <c r="AG483">
        <f t="shared" si="47"/>
        <v>-2.9097996200190058E-4</v>
      </c>
      <c r="AK483">
        <f t="shared" si="46"/>
        <v>1.3168203505729971E-8</v>
      </c>
    </row>
    <row r="484" spans="1:37" x14ac:dyDescent="0.3">
      <c r="A484" s="1">
        <v>44602</v>
      </c>
      <c r="B484">
        <v>1.1427</v>
      </c>
      <c r="C484">
        <v>1.3554999999999999</v>
      </c>
      <c r="D484">
        <v>116</v>
      </c>
      <c r="G484">
        <v>1.1427</v>
      </c>
      <c r="H484">
        <f t="shared" si="43"/>
        <v>1.1422000000000001</v>
      </c>
      <c r="I484">
        <f t="shared" si="43"/>
        <v>1.1414</v>
      </c>
      <c r="J484">
        <f t="shared" si="43"/>
        <v>1.1442000000000001</v>
      </c>
      <c r="L484">
        <f t="shared" si="42"/>
        <v>4.9999999999994493E-4</v>
      </c>
      <c r="W484">
        <f t="shared" si="44"/>
        <v>4.4159667503680415E-3</v>
      </c>
      <c r="X484">
        <f t="shared" si="45"/>
        <v>-4.327505625758297E-4</v>
      </c>
      <c r="Y484">
        <f t="shared" si="45"/>
        <v>3.6483669214732598E-3</v>
      </c>
      <c r="Z484">
        <f t="shared" si="45"/>
        <v>-6.9444444444442962E-4</v>
      </c>
      <c r="AE484">
        <f>W484-mu-theta*AE483</f>
        <v>4.1888335350950736E-3</v>
      </c>
      <c r="AF484">
        <f t="shared" si="47"/>
        <v>1.1475279301929853E-4</v>
      </c>
      <c r="AG484">
        <f t="shared" si="47"/>
        <v>3.3232773321069664E-3</v>
      </c>
      <c r="AK484">
        <f t="shared" si="46"/>
        <v>1.7546326384737092E-5</v>
      </c>
    </row>
    <row r="485" spans="1:37" x14ac:dyDescent="0.3">
      <c r="A485" s="1">
        <v>44603</v>
      </c>
      <c r="B485">
        <v>1.1349</v>
      </c>
      <c r="C485">
        <v>1.3560000000000001</v>
      </c>
      <c r="D485">
        <v>115.41</v>
      </c>
      <c r="G485">
        <v>1.1349</v>
      </c>
      <c r="H485">
        <f t="shared" si="43"/>
        <v>1.1427</v>
      </c>
      <c r="I485">
        <f t="shared" si="43"/>
        <v>1.1422000000000001</v>
      </c>
      <c r="J485">
        <f t="shared" si="43"/>
        <v>1.1414</v>
      </c>
      <c r="L485">
        <f t="shared" si="42"/>
        <v>-7.8000000000000291E-3</v>
      </c>
      <c r="W485">
        <f t="shared" si="44"/>
        <v>-5.0862068965517532E-3</v>
      </c>
      <c r="X485">
        <f t="shared" si="45"/>
        <v>4.4159667503680415E-3</v>
      </c>
      <c r="Y485">
        <f t="shared" si="45"/>
        <v>-4.327505625758297E-4</v>
      </c>
      <c r="Z485">
        <f t="shared" si="45"/>
        <v>3.6483669214732598E-3</v>
      </c>
      <c r="AE485">
        <f>W485-mu-theta*AE484</f>
        <v>-4.3297316347710585E-3</v>
      </c>
      <c r="AF485">
        <f t="shared" si="47"/>
        <v>4.1888335350950736E-3</v>
      </c>
      <c r="AG485">
        <f t="shared" si="47"/>
        <v>1.1475279301929853E-4</v>
      </c>
      <c r="AK485">
        <f t="shared" si="46"/>
        <v>1.8746576029137261E-5</v>
      </c>
    </row>
    <row r="486" spans="1:37" x14ac:dyDescent="0.3">
      <c r="A486" s="1">
        <v>44606</v>
      </c>
      <c r="B486">
        <v>1.1305000000000001</v>
      </c>
      <c r="C486">
        <v>1.3526</v>
      </c>
      <c r="D486">
        <v>115.53</v>
      </c>
      <c r="G486">
        <v>1.1305000000000001</v>
      </c>
      <c r="H486">
        <f t="shared" si="43"/>
        <v>1.1349</v>
      </c>
      <c r="I486">
        <f t="shared" si="43"/>
        <v>1.1427</v>
      </c>
      <c r="J486">
        <f t="shared" si="43"/>
        <v>1.1422000000000001</v>
      </c>
      <c r="L486">
        <f t="shared" si="42"/>
        <v>-4.3999999999999595E-3</v>
      </c>
      <c r="W486">
        <f t="shared" si="44"/>
        <v>1.0397712503249679E-3</v>
      </c>
      <c r="X486">
        <f t="shared" si="45"/>
        <v>-5.0862068965517532E-3</v>
      </c>
      <c r="Y486">
        <f t="shared" si="45"/>
        <v>4.4159667503680415E-3</v>
      </c>
      <c r="Z486">
        <f t="shared" si="45"/>
        <v>-4.327505625758297E-4</v>
      </c>
      <c r="AE486">
        <f>W486-mu-theta*AE485</f>
        <v>-2.6039729145952415E-4</v>
      </c>
      <c r="AF486">
        <f t="shared" si="47"/>
        <v>-4.3297316347710585E-3</v>
      </c>
      <c r="AG486">
        <f t="shared" si="47"/>
        <v>4.1888335350950736E-3</v>
      </c>
      <c r="AK486">
        <f t="shared" si="46"/>
        <v>6.7806749399456366E-8</v>
      </c>
    </row>
    <row r="487" spans="1:37" x14ac:dyDescent="0.3">
      <c r="A487" s="1">
        <v>44607</v>
      </c>
      <c r="B487">
        <v>1.1355999999999999</v>
      </c>
      <c r="C487">
        <v>1.3532999999999999</v>
      </c>
      <c r="D487">
        <v>115.62</v>
      </c>
      <c r="G487">
        <v>1.1355999999999999</v>
      </c>
      <c r="H487">
        <f t="shared" si="43"/>
        <v>1.1305000000000001</v>
      </c>
      <c r="I487">
        <f t="shared" si="43"/>
        <v>1.1349</v>
      </c>
      <c r="J487">
        <f t="shared" si="43"/>
        <v>1.1427</v>
      </c>
      <c r="L487">
        <f t="shared" si="42"/>
        <v>5.0999999999998824E-3</v>
      </c>
      <c r="W487">
        <f t="shared" si="44"/>
        <v>7.7901843676969975E-4</v>
      </c>
      <c r="X487">
        <f t="shared" si="45"/>
        <v>1.0397712503249679E-3</v>
      </c>
      <c r="Y487">
        <f t="shared" si="45"/>
        <v>-5.0862068965517532E-3</v>
      </c>
      <c r="Z487">
        <f t="shared" si="45"/>
        <v>4.4159667503680415E-3</v>
      </c>
      <c r="AE487">
        <f>W487-mu-theta*AE486</f>
        <v>4.6131244529967551E-4</v>
      </c>
      <c r="AF487">
        <f t="shared" si="47"/>
        <v>-2.6039729145952415E-4</v>
      </c>
      <c r="AG487">
        <f t="shared" si="47"/>
        <v>-4.3297316347710585E-3</v>
      </c>
      <c r="AK487">
        <f t="shared" si="46"/>
        <v>2.1280917218836612E-7</v>
      </c>
    </row>
    <row r="488" spans="1:37" x14ac:dyDescent="0.3">
      <c r="A488" s="1">
        <v>44608</v>
      </c>
      <c r="B488">
        <v>1.1373</v>
      </c>
      <c r="C488">
        <v>1.3583000000000001</v>
      </c>
      <c r="D488">
        <v>115.46</v>
      </c>
      <c r="G488">
        <v>1.1373</v>
      </c>
      <c r="H488">
        <f t="shared" si="43"/>
        <v>1.1355999999999999</v>
      </c>
      <c r="I488">
        <f t="shared" si="43"/>
        <v>1.1305000000000001</v>
      </c>
      <c r="J488">
        <f t="shared" si="43"/>
        <v>1.1349</v>
      </c>
      <c r="L488">
        <f t="shared" si="42"/>
        <v>1.7000000000000348E-3</v>
      </c>
      <c r="W488">
        <f t="shared" si="44"/>
        <v>-1.3838436256703927E-3</v>
      </c>
      <c r="X488">
        <f t="shared" si="45"/>
        <v>7.7901843676969975E-4</v>
      </c>
      <c r="Y488">
        <f t="shared" si="45"/>
        <v>1.0397712503249679E-3</v>
      </c>
      <c r="Z488">
        <f t="shared" si="45"/>
        <v>-5.0862068965517532E-3</v>
      </c>
      <c r="AE488">
        <f>W488-mu-theta*AE487</f>
        <v>-1.5273066749922389E-3</v>
      </c>
      <c r="AF488">
        <f t="shared" si="47"/>
        <v>4.6131244529967551E-4</v>
      </c>
      <c r="AG488">
        <f t="shared" si="47"/>
        <v>-2.6039729145952415E-4</v>
      </c>
      <c r="AK488">
        <f t="shared" si="46"/>
        <v>2.3326656794758485E-6</v>
      </c>
    </row>
    <row r="489" spans="1:37" x14ac:dyDescent="0.3">
      <c r="A489" s="1">
        <v>44609</v>
      </c>
      <c r="B489">
        <v>1.1359999999999999</v>
      </c>
      <c r="C489">
        <v>1.3613999999999999</v>
      </c>
      <c r="D489">
        <v>114.93</v>
      </c>
      <c r="G489">
        <v>1.1359999999999999</v>
      </c>
      <c r="H489">
        <f t="shared" si="43"/>
        <v>1.1373</v>
      </c>
      <c r="I489">
        <f t="shared" si="43"/>
        <v>1.1355999999999999</v>
      </c>
      <c r="J489">
        <f t="shared" si="43"/>
        <v>1.1305000000000001</v>
      </c>
      <c r="L489">
        <f t="shared" si="42"/>
        <v>-1.3000000000000789E-3</v>
      </c>
      <c r="W489">
        <f t="shared" si="44"/>
        <v>-4.5903343149141431E-3</v>
      </c>
      <c r="X489">
        <f t="shared" si="45"/>
        <v>-1.3838436256703927E-3</v>
      </c>
      <c r="Y489">
        <f t="shared" si="45"/>
        <v>7.7901843676969975E-4</v>
      </c>
      <c r="Z489">
        <f t="shared" si="45"/>
        <v>1.0397712503249679E-3</v>
      </c>
      <c r="AE489">
        <f>W489-mu-theta*AE488</f>
        <v>-5.2139112225964681E-3</v>
      </c>
      <c r="AF489">
        <f t="shared" si="47"/>
        <v>-1.5273066749922389E-3</v>
      </c>
      <c r="AG489">
        <f t="shared" si="47"/>
        <v>4.6131244529967551E-4</v>
      </c>
      <c r="AK489">
        <f t="shared" si="46"/>
        <v>2.7184870237117396E-5</v>
      </c>
    </row>
    <row r="490" spans="1:37" x14ac:dyDescent="0.3">
      <c r="A490" s="1">
        <v>44610</v>
      </c>
      <c r="B490">
        <v>1.1321000000000001</v>
      </c>
      <c r="C490">
        <v>1.359</v>
      </c>
      <c r="D490">
        <v>115</v>
      </c>
      <c r="G490">
        <v>1.1321000000000001</v>
      </c>
      <c r="H490">
        <f t="shared" si="43"/>
        <v>1.1359999999999999</v>
      </c>
      <c r="I490">
        <f t="shared" si="43"/>
        <v>1.1373</v>
      </c>
      <c r="J490">
        <f t="shared" si="43"/>
        <v>1.1355999999999999</v>
      </c>
      <c r="L490">
        <f t="shared" si="42"/>
        <v>-3.8999999999997925E-3</v>
      </c>
      <c r="W490">
        <f t="shared" si="44"/>
        <v>6.0906638823625837E-4</v>
      </c>
      <c r="X490">
        <f t="shared" si="45"/>
        <v>-4.5903343149141431E-3</v>
      </c>
      <c r="Y490">
        <f t="shared" si="45"/>
        <v>-1.3838436256703927E-3</v>
      </c>
      <c r="Z490">
        <f t="shared" si="45"/>
        <v>7.7901843676969975E-4</v>
      </c>
      <c r="AE490">
        <f>W490-mu-theta*AE489</f>
        <v>-9.0457031799599428E-4</v>
      </c>
      <c r="AF490">
        <f t="shared" si="47"/>
        <v>-5.2139112225964681E-3</v>
      </c>
      <c r="AG490">
        <f t="shared" si="47"/>
        <v>-1.5273066749922389E-3</v>
      </c>
      <c r="AK490">
        <f t="shared" si="46"/>
        <v>8.1824746019937425E-7</v>
      </c>
    </row>
    <row r="491" spans="1:37" x14ac:dyDescent="0.3">
      <c r="A491" s="1">
        <v>44613</v>
      </c>
      <c r="B491">
        <v>1.131</v>
      </c>
      <c r="C491">
        <v>1.3597999999999999</v>
      </c>
      <c r="D491">
        <v>114.74</v>
      </c>
      <c r="G491">
        <v>1.131</v>
      </c>
      <c r="H491">
        <f t="shared" si="43"/>
        <v>1.1321000000000001</v>
      </c>
      <c r="I491">
        <f t="shared" si="43"/>
        <v>1.1359999999999999</v>
      </c>
      <c r="J491">
        <f t="shared" si="43"/>
        <v>1.1373</v>
      </c>
      <c r="L491">
        <f t="shared" si="42"/>
        <v>-1.1000000000001009E-3</v>
      </c>
      <c r="W491">
        <f t="shared" si="44"/>
        <v>-2.2608695652174358E-3</v>
      </c>
      <c r="X491">
        <f t="shared" si="45"/>
        <v>6.0906638823625837E-4</v>
      </c>
      <c r="Y491">
        <f t="shared" si="45"/>
        <v>-4.5903343149141431E-3</v>
      </c>
      <c r="Z491">
        <f t="shared" si="45"/>
        <v>-1.3838436256703927E-3</v>
      </c>
      <c r="AE491">
        <f>W491-mu-theta*AE490</f>
        <v>-2.7340987506798684E-3</v>
      </c>
      <c r="AF491">
        <f t="shared" si="47"/>
        <v>-9.0457031799599428E-4</v>
      </c>
      <c r="AG491">
        <f t="shared" si="47"/>
        <v>-5.2139112225964681E-3</v>
      </c>
      <c r="AK491">
        <f t="shared" si="46"/>
        <v>7.4752959784692171E-6</v>
      </c>
    </row>
    <row r="492" spans="1:37" x14ac:dyDescent="0.3">
      <c r="A492" s="1">
        <v>44614</v>
      </c>
      <c r="B492">
        <v>1.1325000000000001</v>
      </c>
      <c r="C492">
        <v>1.3582000000000001</v>
      </c>
      <c r="D492">
        <v>115.08</v>
      </c>
      <c r="G492">
        <v>1.1325000000000001</v>
      </c>
      <c r="H492">
        <f t="shared" si="43"/>
        <v>1.131</v>
      </c>
      <c r="I492">
        <f t="shared" si="43"/>
        <v>1.1321000000000001</v>
      </c>
      <c r="J492">
        <f t="shared" si="43"/>
        <v>1.1359999999999999</v>
      </c>
      <c r="L492">
        <f t="shared" si="42"/>
        <v>1.5000000000000568E-3</v>
      </c>
      <c r="W492">
        <f t="shared" si="44"/>
        <v>2.9632211957469358E-3</v>
      </c>
      <c r="X492">
        <f t="shared" si="45"/>
        <v>-2.2608695652174358E-3</v>
      </c>
      <c r="Y492">
        <f t="shared" si="45"/>
        <v>6.0906638823625837E-4</v>
      </c>
      <c r="Z492">
        <f t="shared" si="45"/>
        <v>-4.5903343149141431E-3</v>
      </c>
      <c r="AE492">
        <f>W492-mu-theta*AE491</f>
        <v>2.0482875401660046E-3</v>
      </c>
      <c r="AF492">
        <f t="shared" si="47"/>
        <v>-2.7340987506798684E-3</v>
      </c>
      <c r="AG492">
        <f t="shared" si="47"/>
        <v>-9.0457031799599428E-4</v>
      </c>
      <c r="AK492">
        <f t="shared" si="46"/>
        <v>4.1954818471993016E-6</v>
      </c>
    </row>
    <row r="493" spans="1:37" x14ac:dyDescent="0.3">
      <c r="A493" s="1">
        <v>44615</v>
      </c>
      <c r="B493">
        <v>1.1309</v>
      </c>
      <c r="C493">
        <v>1.3542000000000001</v>
      </c>
      <c r="D493">
        <v>114.97</v>
      </c>
      <c r="G493">
        <v>1.1309</v>
      </c>
      <c r="H493">
        <f t="shared" si="43"/>
        <v>1.1325000000000001</v>
      </c>
      <c r="I493">
        <f t="shared" si="43"/>
        <v>1.131</v>
      </c>
      <c r="J493">
        <f t="shared" si="43"/>
        <v>1.1321000000000001</v>
      </c>
      <c r="L493">
        <f t="shared" si="42"/>
        <v>-1.6000000000000458E-3</v>
      </c>
      <c r="W493">
        <f t="shared" si="44"/>
        <v>-9.558567952728487E-4</v>
      </c>
      <c r="X493">
        <f t="shared" si="45"/>
        <v>2.9632211957469358E-3</v>
      </c>
      <c r="Y493">
        <f t="shared" si="45"/>
        <v>-2.2608695652174358E-3</v>
      </c>
      <c r="Z493">
        <f t="shared" si="45"/>
        <v>6.0906638823625837E-4</v>
      </c>
      <c r="AE493">
        <f>W493-mu-theta*AE492</f>
        <v>-7.1617521516640324E-4</v>
      </c>
      <c r="AF493">
        <f t="shared" si="47"/>
        <v>2.0482875401660046E-3</v>
      </c>
      <c r="AG493">
        <f t="shared" si="47"/>
        <v>-2.7340987506798684E-3</v>
      </c>
      <c r="AK493">
        <f t="shared" si="46"/>
        <v>5.1290693881864396E-7</v>
      </c>
    </row>
    <row r="494" spans="1:37" x14ac:dyDescent="0.3">
      <c r="A494" s="1">
        <v>44616</v>
      </c>
      <c r="B494">
        <v>1.1191</v>
      </c>
      <c r="C494">
        <v>1.3374999999999999</v>
      </c>
      <c r="D494">
        <v>115.52</v>
      </c>
      <c r="G494">
        <v>1.1191</v>
      </c>
      <c r="H494">
        <f t="shared" si="43"/>
        <v>1.1309</v>
      </c>
      <c r="I494">
        <f t="shared" si="43"/>
        <v>1.1325000000000001</v>
      </c>
      <c r="J494">
        <f t="shared" si="43"/>
        <v>1.131</v>
      </c>
      <c r="L494">
        <f t="shared" si="42"/>
        <v>-1.1800000000000033E-2</v>
      </c>
      <c r="W494">
        <f t="shared" si="44"/>
        <v>4.7838566582586511E-3</v>
      </c>
      <c r="X494">
        <f t="shared" si="45"/>
        <v>-9.558567952728487E-4</v>
      </c>
      <c r="Y494">
        <f t="shared" si="45"/>
        <v>2.9632211957469358E-3</v>
      </c>
      <c r="Z494">
        <f t="shared" si="45"/>
        <v>-2.2608695652174358E-3</v>
      </c>
      <c r="AE494">
        <f>W494-mu-theta*AE493</f>
        <v>4.3561118487598048E-3</v>
      </c>
      <c r="AF494">
        <f t="shared" si="47"/>
        <v>-7.1617521516640324E-4</v>
      </c>
      <c r="AG494">
        <f t="shared" si="47"/>
        <v>2.0482875401660046E-3</v>
      </c>
      <c r="AK494">
        <f t="shared" si="46"/>
        <v>1.8975710438905564E-5</v>
      </c>
    </row>
    <row r="495" spans="1:37" x14ac:dyDescent="0.3">
      <c r="A495" s="1">
        <v>44617</v>
      </c>
      <c r="B495">
        <v>1.1267</v>
      </c>
      <c r="C495">
        <v>1.3405</v>
      </c>
      <c r="D495">
        <v>115.56</v>
      </c>
      <c r="G495">
        <v>1.1267</v>
      </c>
      <c r="H495">
        <f t="shared" si="43"/>
        <v>1.1191</v>
      </c>
      <c r="I495">
        <f t="shared" si="43"/>
        <v>1.1309</v>
      </c>
      <c r="J495">
        <f t="shared" si="43"/>
        <v>1.1325000000000001</v>
      </c>
      <c r="L495">
        <f t="shared" si="42"/>
        <v>7.6000000000000512E-3</v>
      </c>
      <c r="W495">
        <f t="shared" si="44"/>
        <v>3.4626038781168851E-4</v>
      </c>
      <c r="X495">
        <f t="shared" si="45"/>
        <v>4.7838566582586511E-3</v>
      </c>
      <c r="Y495">
        <f t="shared" si="45"/>
        <v>-9.558567952728487E-4</v>
      </c>
      <c r="Z495">
        <f t="shared" si="45"/>
        <v>2.9632211957469358E-3</v>
      </c>
      <c r="AE495">
        <f>W495-mu-theta*AE494</f>
        <v>1.1431217827508635E-3</v>
      </c>
      <c r="AF495">
        <f t="shared" si="47"/>
        <v>4.3561118487598048E-3</v>
      </c>
      <c r="AG495">
        <f t="shared" si="47"/>
        <v>-7.1617521516640324E-4</v>
      </c>
      <c r="AK495">
        <f t="shared" si="46"/>
        <v>1.3067274101995123E-6</v>
      </c>
    </row>
    <row r="496" spans="1:37" x14ac:dyDescent="0.3">
      <c r="A496" s="1">
        <v>44620</v>
      </c>
      <c r="B496">
        <v>1.1218999999999999</v>
      </c>
      <c r="C496">
        <v>1.3419000000000001</v>
      </c>
      <c r="D496">
        <v>114.99</v>
      </c>
      <c r="G496">
        <v>1.1218999999999999</v>
      </c>
      <c r="H496">
        <f t="shared" si="43"/>
        <v>1.1267</v>
      </c>
      <c r="I496">
        <f t="shared" si="43"/>
        <v>1.1191</v>
      </c>
      <c r="J496">
        <f t="shared" si="43"/>
        <v>1.1309</v>
      </c>
      <c r="L496">
        <f t="shared" si="42"/>
        <v>-4.8000000000001375E-3</v>
      </c>
      <c r="W496">
        <f t="shared" si="44"/>
        <v>-4.9325025960540621E-3</v>
      </c>
      <c r="X496">
        <f t="shared" si="45"/>
        <v>3.4626038781168851E-4</v>
      </c>
      <c r="Y496">
        <f t="shared" si="45"/>
        <v>4.7838566582586511E-3</v>
      </c>
      <c r="Z496">
        <f t="shared" si="45"/>
        <v>-9.558567952728487E-4</v>
      </c>
      <c r="AE496">
        <f>W496-mu-theta*AE495</f>
        <v>-4.9113558876150354E-3</v>
      </c>
      <c r="AF496">
        <f t="shared" si="47"/>
        <v>1.1431217827508635E-3</v>
      </c>
      <c r="AG496">
        <f t="shared" si="47"/>
        <v>4.3561118487598048E-3</v>
      </c>
      <c r="AK496">
        <f t="shared" si="46"/>
        <v>2.4121416654810871E-5</v>
      </c>
    </row>
    <row r="497" spans="1:37" x14ac:dyDescent="0.3">
      <c r="A497" s="1">
        <v>44621</v>
      </c>
      <c r="B497">
        <v>1.1126</v>
      </c>
      <c r="C497">
        <v>1.3321000000000001</v>
      </c>
      <c r="D497">
        <v>114.89</v>
      </c>
      <c r="G497">
        <v>1.1126</v>
      </c>
      <c r="H497">
        <f t="shared" si="43"/>
        <v>1.1218999999999999</v>
      </c>
      <c r="I497">
        <f t="shared" si="43"/>
        <v>1.1267</v>
      </c>
      <c r="J497">
        <f t="shared" si="43"/>
        <v>1.1191</v>
      </c>
      <c r="L497">
        <f t="shared" si="42"/>
        <v>-9.2999999999998639E-3</v>
      </c>
      <c r="W497">
        <f t="shared" si="44"/>
        <v>-8.6964083833371872E-4</v>
      </c>
      <c r="X497">
        <f t="shared" si="45"/>
        <v>-4.9325025960540621E-3</v>
      </c>
      <c r="Y497">
        <f t="shared" si="45"/>
        <v>3.4626038781168851E-4</v>
      </c>
      <c r="Z497">
        <f t="shared" si="45"/>
        <v>4.7838566582586511E-3</v>
      </c>
      <c r="AE497">
        <f>W497-mu-theta*AE496</f>
        <v>-2.3102313751093687E-3</v>
      </c>
      <c r="AF497">
        <f t="shared" si="47"/>
        <v>-4.9113558876150354E-3</v>
      </c>
      <c r="AG497">
        <f t="shared" si="47"/>
        <v>1.1431217827508635E-3</v>
      </c>
      <c r="AK497">
        <f t="shared" si="46"/>
        <v>5.3371690065397251E-6</v>
      </c>
    </row>
    <row r="498" spans="1:37" x14ac:dyDescent="0.3">
      <c r="A498" s="1">
        <v>44622</v>
      </c>
      <c r="B498">
        <v>1.1121000000000001</v>
      </c>
      <c r="C498">
        <v>1.3403</v>
      </c>
      <c r="D498">
        <v>115.5</v>
      </c>
      <c r="G498">
        <v>1.1121000000000001</v>
      </c>
      <c r="H498">
        <f t="shared" si="43"/>
        <v>1.1126</v>
      </c>
      <c r="I498">
        <f t="shared" si="43"/>
        <v>1.1218999999999999</v>
      </c>
      <c r="J498">
        <f t="shared" si="43"/>
        <v>1.1267</v>
      </c>
      <c r="L498">
        <f t="shared" si="42"/>
        <v>-4.9999999999994493E-4</v>
      </c>
      <c r="W498">
        <f t="shared" si="44"/>
        <v>5.3094264078683909E-3</v>
      </c>
      <c r="X498">
        <f t="shared" si="45"/>
        <v>-8.6964083833371872E-4</v>
      </c>
      <c r="Y498">
        <f t="shared" si="45"/>
        <v>-4.9325025960540621E-3</v>
      </c>
      <c r="Z498">
        <f t="shared" si="45"/>
        <v>3.4626038781168851E-4</v>
      </c>
      <c r="AE498">
        <f>W498-mu-theta*AE497</f>
        <v>4.4968273819014047E-3</v>
      </c>
      <c r="AF498">
        <f t="shared" si="47"/>
        <v>-2.3102313751093687E-3</v>
      </c>
      <c r="AG498">
        <f t="shared" si="47"/>
        <v>-4.9113558876150354E-3</v>
      </c>
      <c r="AK498">
        <f t="shared" si="46"/>
        <v>2.022145650261824E-5</v>
      </c>
    </row>
    <row r="499" spans="1:37" x14ac:dyDescent="0.3">
      <c r="A499" s="1">
        <v>44623</v>
      </c>
      <c r="B499">
        <v>1.1064000000000001</v>
      </c>
      <c r="C499">
        <v>1.3346</v>
      </c>
      <c r="D499">
        <v>115.46</v>
      </c>
      <c r="G499">
        <v>1.1064000000000001</v>
      </c>
      <c r="H499">
        <f t="shared" si="43"/>
        <v>1.1121000000000001</v>
      </c>
      <c r="I499">
        <f t="shared" si="43"/>
        <v>1.1126</v>
      </c>
      <c r="J499">
        <f t="shared" si="43"/>
        <v>1.1218999999999999</v>
      </c>
      <c r="L499">
        <f t="shared" si="42"/>
        <v>-5.7000000000000384E-3</v>
      </c>
      <c r="W499">
        <f t="shared" si="44"/>
        <v>-3.4632034632040048E-4</v>
      </c>
      <c r="X499">
        <f t="shared" si="45"/>
        <v>5.3094264078683909E-3</v>
      </c>
      <c r="Y499">
        <f t="shared" si="45"/>
        <v>-8.6964083833371872E-4</v>
      </c>
      <c r="Z499">
        <f t="shared" si="45"/>
        <v>-4.9325025960540621E-3</v>
      </c>
      <c r="AE499">
        <f>W499-mu-theta*AE498</f>
        <v>4.8451410904974733E-4</v>
      </c>
      <c r="AF499">
        <f t="shared" si="47"/>
        <v>4.4968273819014047E-3</v>
      </c>
      <c r="AG499">
        <f t="shared" si="47"/>
        <v>-2.3102313751093687E-3</v>
      </c>
      <c r="AK499">
        <f t="shared" si="46"/>
        <v>2.3475392186827044E-7</v>
      </c>
    </row>
    <row r="500" spans="1:37" x14ac:dyDescent="0.3">
      <c r="A500" s="1">
        <v>44624</v>
      </c>
      <c r="B500">
        <v>1.0926</v>
      </c>
      <c r="C500">
        <v>1.3225</v>
      </c>
      <c r="D500">
        <v>114.78</v>
      </c>
      <c r="G500">
        <v>1.0926</v>
      </c>
      <c r="H500">
        <f t="shared" si="43"/>
        <v>1.1064000000000001</v>
      </c>
      <c r="I500">
        <f t="shared" si="43"/>
        <v>1.1121000000000001</v>
      </c>
      <c r="J500">
        <f t="shared" si="43"/>
        <v>1.1126</v>
      </c>
      <c r="L500">
        <f t="shared" si="42"/>
        <v>-1.3800000000000034E-2</v>
      </c>
      <c r="W500">
        <f t="shared" si="44"/>
        <v>-5.8894855361163404E-3</v>
      </c>
      <c r="X500">
        <f t="shared" si="45"/>
        <v>-3.4632034632040048E-4</v>
      </c>
      <c r="Y500">
        <f t="shared" si="45"/>
        <v>5.3094264078683909E-3</v>
      </c>
      <c r="Z500">
        <f t="shared" si="45"/>
        <v>-8.6964083833371872E-4</v>
      </c>
      <c r="AE500">
        <f>W500-mu-theta*AE499</f>
        <v>-6.027346989743082E-3</v>
      </c>
      <c r="AF500">
        <f t="shared" si="47"/>
        <v>4.8451410904974733E-4</v>
      </c>
      <c r="AG500">
        <f t="shared" si="47"/>
        <v>4.4968273819014047E-3</v>
      </c>
      <c r="AK500">
        <f t="shared" si="46"/>
        <v>3.6328911734764992E-5</v>
      </c>
    </row>
    <row r="501" spans="1:37" x14ac:dyDescent="0.3">
      <c r="A501" s="1">
        <v>44627</v>
      </c>
      <c r="B501">
        <v>1.0851999999999999</v>
      </c>
      <c r="C501">
        <v>1.3102</v>
      </c>
      <c r="D501">
        <v>115.29</v>
      </c>
      <c r="G501">
        <v>1.0851999999999999</v>
      </c>
      <c r="H501">
        <f t="shared" si="43"/>
        <v>1.0926</v>
      </c>
      <c r="I501">
        <f t="shared" si="43"/>
        <v>1.1064000000000001</v>
      </c>
      <c r="J501">
        <f t="shared" si="43"/>
        <v>1.1121000000000001</v>
      </c>
      <c r="L501">
        <f t="shared" si="42"/>
        <v>-7.4000000000000732E-3</v>
      </c>
      <c r="W501">
        <f t="shared" si="44"/>
        <v>4.4432828018819053E-3</v>
      </c>
      <c r="X501">
        <f t="shared" si="45"/>
        <v>-5.8894855361163404E-3</v>
      </c>
      <c r="Y501">
        <f t="shared" si="45"/>
        <v>-3.4632034632040048E-4</v>
      </c>
      <c r="Z501">
        <f t="shared" si="45"/>
        <v>5.3094264078683909E-3</v>
      </c>
      <c r="AE501">
        <f>W501-mu-theta*AE500</f>
        <v>2.7332576667604401E-3</v>
      </c>
      <c r="AF501">
        <f t="shared" si="47"/>
        <v>-6.027346989743082E-3</v>
      </c>
      <c r="AG501">
        <f t="shared" si="47"/>
        <v>4.8451410904974733E-4</v>
      </c>
      <c r="AK501">
        <f t="shared" si="46"/>
        <v>7.4706974729047248E-6</v>
      </c>
    </row>
    <row r="502" spans="1:37" x14ac:dyDescent="0.3">
      <c r="A502" s="1">
        <v>44628</v>
      </c>
      <c r="B502">
        <v>1.0899000000000001</v>
      </c>
      <c r="C502">
        <v>1.3103</v>
      </c>
      <c r="D502">
        <v>115.66</v>
      </c>
      <c r="G502">
        <v>1.0899000000000001</v>
      </c>
      <c r="H502">
        <f t="shared" si="43"/>
        <v>1.0851999999999999</v>
      </c>
      <c r="I502">
        <f t="shared" si="43"/>
        <v>1.0926</v>
      </c>
      <c r="J502">
        <f t="shared" si="43"/>
        <v>1.1064000000000001</v>
      </c>
      <c r="L502">
        <f t="shared" si="42"/>
        <v>4.7000000000001485E-3</v>
      </c>
      <c r="W502">
        <f t="shared" si="44"/>
        <v>3.2092982912654204E-3</v>
      </c>
      <c r="X502">
        <f t="shared" si="45"/>
        <v>4.4432828018819053E-3</v>
      </c>
      <c r="Y502">
        <f t="shared" si="45"/>
        <v>-5.8894855361163404E-3</v>
      </c>
      <c r="Z502">
        <f t="shared" si="45"/>
        <v>-3.4632034632040048E-4</v>
      </c>
      <c r="AE502">
        <f>W502-mu-theta*AE501</f>
        <v>3.6143527409099228E-3</v>
      </c>
      <c r="AF502">
        <f t="shared" si="47"/>
        <v>2.7332576667604401E-3</v>
      </c>
      <c r="AG502">
        <f t="shared" si="47"/>
        <v>-6.027346989743082E-3</v>
      </c>
      <c r="AK502">
        <f t="shared" si="46"/>
        <v>1.3063545735723071E-5</v>
      </c>
    </row>
    <row r="503" spans="1:37" x14ac:dyDescent="0.3">
      <c r="A503" s="1">
        <v>44629</v>
      </c>
      <c r="B503">
        <v>1.1074999999999999</v>
      </c>
      <c r="C503">
        <v>1.3179000000000001</v>
      </c>
      <c r="D503">
        <v>115.82</v>
      </c>
      <c r="G503">
        <v>1.1074999999999999</v>
      </c>
      <c r="H503">
        <f t="shared" si="43"/>
        <v>1.0899000000000001</v>
      </c>
      <c r="I503">
        <f t="shared" si="43"/>
        <v>1.0851999999999999</v>
      </c>
      <c r="J503">
        <f t="shared" si="43"/>
        <v>1.0926</v>
      </c>
      <c r="L503">
        <f t="shared" si="42"/>
        <v>1.7599999999999838E-2</v>
      </c>
      <c r="W503">
        <f t="shared" si="44"/>
        <v>1.3833650354486996E-3</v>
      </c>
      <c r="X503">
        <f t="shared" si="45"/>
        <v>3.2092982912654204E-3</v>
      </c>
      <c r="Y503">
        <f t="shared" si="45"/>
        <v>4.4432828018819053E-3</v>
      </c>
      <c r="Z503">
        <f t="shared" si="45"/>
        <v>-5.8894855361163404E-3</v>
      </c>
      <c r="AE503">
        <f>W503-mu-theta*AE502</f>
        <v>2.001142953009081E-3</v>
      </c>
      <c r="AF503">
        <f t="shared" si="47"/>
        <v>3.6143527409099228E-3</v>
      </c>
      <c r="AG503">
        <f t="shared" si="47"/>
        <v>2.7332576667604401E-3</v>
      </c>
      <c r="AK503">
        <f t="shared" si="46"/>
        <v>4.0045731183779044E-6</v>
      </c>
    </row>
    <row r="504" spans="1:37" x14ac:dyDescent="0.3">
      <c r="A504" s="1">
        <v>44630</v>
      </c>
      <c r="B504">
        <v>1.0983000000000001</v>
      </c>
      <c r="C504">
        <v>1.3083</v>
      </c>
      <c r="D504">
        <v>116.13</v>
      </c>
      <c r="G504">
        <v>1.0983000000000001</v>
      </c>
      <c r="H504">
        <f t="shared" si="43"/>
        <v>1.1074999999999999</v>
      </c>
      <c r="I504">
        <f t="shared" si="43"/>
        <v>1.0899000000000001</v>
      </c>
      <c r="J504">
        <f t="shared" si="43"/>
        <v>1.0851999999999999</v>
      </c>
      <c r="L504">
        <f t="shared" si="42"/>
        <v>-9.1999999999998749E-3</v>
      </c>
      <c r="W504">
        <f t="shared" si="44"/>
        <v>2.6765670868589388E-3</v>
      </c>
      <c r="X504">
        <f t="shared" si="45"/>
        <v>1.3833650354486996E-3</v>
      </c>
      <c r="Y504">
        <f t="shared" si="45"/>
        <v>3.2092982912654204E-3</v>
      </c>
      <c r="Z504">
        <f t="shared" si="45"/>
        <v>4.4432828018819053E-3</v>
      </c>
      <c r="AE504">
        <f>W504-mu-theta*AE503</f>
        <v>2.904866512680656E-3</v>
      </c>
      <c r="AF504">
        <f t="shared" si="47"/>
        <v>2.001142953009081E-3</v>
      </c>
      <c r="AG504">
        <f t="shared" si="47"/>
        <v>3.6143527409099228E-3</v>
      </c>
      <c r="AK504">
        <f t="shared" si="46"/>
        <v>8.4382494564934761E-6</v>
      </c>
    </row>
    <row r="505" spans="1:37" x14ac:dyDescent="0.3">
      <c r="A505" s="1">
        <v>44631</v>
      </c>
      <c r="B505">
        <v>1.0909</v>
      </c>
      <c r="C505">
        <v>1.3036000000000001</v>
      </c>
      <c r="D505">
        <v>117.28</v>
      </c>
      <c r="G505">
        <v>1.0909</v>
      </c>
      <c r="H505">
        <f t="shared" si="43"/>
        <v>1.0983000000000001</v>
      </c>
      <c r="I505">
        <f t="shared" si="43"/>
        <v>1.1074999999999999</v>
      </c>
      <c r="J505">
        <f t="shared" si="43"/>
        <v>1.0899000000000001</v>
      </c>
      <c r="L505">
        <f t="shared" si="42"/>
        <v>-7.4000000000000732E-3</v>
      </c>
      <c r="W505">
        <f t="shared" si="44"/>
        <v>9.9026952553173658E-3</v>
      </c>
      <c r="X505">
        <f t="shared" si="45"/>
        <v>2.6765670868589388E-3</v>
      </c>
      <c r="Y505">
        <f t="shared" si="45"/>
        <v>1.3833650354486996E-3</v>
      </c>
      <c r="Z505">
        <f t="shared" si="45"/>
        <v>3.2092982912654204E-3</v>
      </c>
      <c r="AE505">
        <f>W505-mu-theta*AE504</f>
        <v>1.0349181361885418E-2</v>
      </c>
      <c r="AF505">
        <f t="shared" si="47"/>
        <v>2.904866512680656E-3</v>
      </c>
      <c r="AG505">
        <f t="shared" si="47"/>
        <v>2.001142953009081E-3</v>
      </c>
      <c r="AK505">
        <f t="shared" si="46"/>
        <v>1.0710555486119652E-4</v>
      </c>
    </row>
    <row r="506" spans="1:37" x14ac:dyDescent="0.3">
      <c r="A506" s="1">
        <v>44634</v>
      </c>
      <c r="B506">
        <v>1.0939000000000001</v>
      </c>
      <c r="C506">
        <v>1.3</v>
      </c>
      <c r="D506">
        <v>118.18</v>
      </c>
      <c r="G506">
        <v>1.0939000000000001</v>
      </c>
      <c r="H506">
        <f t="shared" si="43"/>
        <v>1.0909</v>
      </c>
      <c r="I506">
        <f t="shared" si="43"/>
        <v>1.0983000000000001</v>
      </c>
      <c r="J506">
        <f t="shared" si="43"/>
        <v>1.1074999999999999</v>
      </c>
      <c r="L506">
        <f t="shared" si="42"/>
        <v>3.0000000000001137E-3</v>
      </c>
      <c r="W506">
        <f t="shared" si="44"/>
        <v>7.6739427012278792E-3</v>
      </c>
      <c r="X506">
        <f t="shared" si="45"/>
        <v>9.9026952553173658E-3</v>
      </c>
      <c r="Y506">
        <f t="shared" si="45"/>
        <v>2.6765670868589388E-3</v>
      </c>
      <c r="Z506">
        <f t="shared" si="45"/>
        <v>1.3833650354486996E-3</v>
      </c>
      <c r="AE506">
        <f>W506-mu-theta*AE505</f>
        <v>9.9177155222962173E-3</v>
      </c>
      <c r="AF506">
        <f t="shared" si="47"/>
        <v>1.0349181361885418E-2</v>
      </c>
      <c r="AG506">
        <f t="shared" si="47"/>
        <v>2.904866512680656E-3</v>
      </c>
      <c r="AK506">
        <f t="shared" si="46"/>
        <v>9.8361081181195327E-5</v>
      </c>
    </row>
    <row r="507" spans="1:37" x14ac:dyDescent="0.3">
      <c r="A507" s="1">
        <v>44635</v>
      </c>
      <c r="B507">
        <v>1.0951</v>
      </c>
      <c r="C507">
        <v>1.3038000000000001</v>
      </c>
      <c r="D507">
        <v>118.28</v>
      </c>
      <c r="G507">
        <v>1.0951</v>
      </c>
      <c r="H507">
        <f t="shared" si="43"/>
        <v>1.0939000000000001</v>
      </c>
      <c r="I507">
        <f t="shared" si="43"/>
        <v>1.0909</v>
      </c>
      <c r="J507">
        <f t="shared" si="43"/>
        <v>1.0983000000000001</v>
      </c>
      <c r="L507">
        <f t="shared" si="42"/>
        <v>1.1999999999998678E-3</v>
      </c>
      <c r="W507">
        <f t="shared" si="44"/>
        <v>8.4616686410555347E-4</v>
      </c>
      <c r="X507">
        <f t="shared" si="45"/>
        <v>7.6739427012278792E-3</v>
      </c>
      <c r="Y507">
        <f t="shared" si="45"/>
        <v>9.9026952553173658E-3</v>
      </c>
      <c r="Z507">
        <f t="shared" si="45"/>
        <v>2.6765670868589388E-3</v>
      </c>
      <c r="AE507">
        <f>W507-mu-theta*AE506</f>
        <v>2.9857705524917594E-3</v>
      </c>
      <c r="AF507">
        <f t="shared" si="47"/>
        <v>9.9177155222962173E-3</v>
      </c>
      <c r="AG507">
        <f t="shared" si="47"/>
        <v>1.0349181361885418E-2</v>
      </c>
      <c r="AK507">
        <f t="shared" si="46"/>
        <v>8.9148257921269467E-6</v>
      </c>
    </row>
    <row r="508" spans="1:37" x14ac:dyDescent="0.3">
      <c r="A508" s="1">
        <v>44636</v>
      </c>
      <c r="B508">
        <v>1.1032</v>
      </c>
      <c r="C508">
        <v>1.3145</v>
      </c>
      <c r="D508">
        <v>118.72</v>
      </c>
      <c r="G508">
        <v>1.1032</v>
      </c>
      <c r="H508">
        <f t="shared" si="43"/>
        <v>1.0951</v>
      </c>
      <c r="I508">
        <f t="shared" si="43"/>
        <v>1.0939000000000001</v>
      </c>
      <c r="J508">
        <f t="shared" si="43"/>
        <v>1.0909</v>
      </c>
      <c r="L508">
        <f t="shared" si="42"/>
        <v>8.0999999999999961E-3</v>
      </c>
      <c r="W508">
        <f t="shared" si="44"/>
        <v>3.7199864727764432E-3</v>
      </c>
      <c r="X508">
        <f t="shared" si="45"/>
        <v>8.4616686410555347E-4</v>
      </c>
      <c r="Y508">
        <f t="shared" si="45"/>
        <v>7.6739427012278792E-3</v>
      </c>
      <c r="Z508">
        <f t="shared" si="45"/>
        <v>9.9026952553173658E-3</v>
      </c>
      <c r="AE508">
        <f>W508-mu-theta*AE507</f>
        <v>4.1860053044974919E-3</v>
      </c>
      <c r="AF508">
        <f t="shared" si="47"/>
        <v>2.9857705524917594E-3</v>
      </c>
      <c r="AG508">
        <f t="shared" si="47"/>
        <v>9.9177155222962173E-3</v>
      </c>
      <c r="AK508">
        <f t="shared" si="46"/>
        <v>1.752264040928114E-5</v>
      </c>
    </row>
    <row r="509" spans="1:37" x14ac:dyDescent="0.3">
      <c r="A509" s="1">
        <v>44637</v>
      </c>
      <c r="B509">
        <v>1.1089</v>
      </c>
      <c r="C509">
        <v>1.3146</v>
      </c>
      <c r="D509">
        <v>118.59</v>
      </c>
      <c r="G509">
        <v>1.1089</v>
      </c>
      <c r="H509">
        <f t="shared" si="43"/>
        <v>1.1032</v>
      </c>
      <c r="I509">
        <f t="shared" si="43"/>
        <v>1.0951</v>
      </c>
      <c r="J509">
        <f t="shared" si="43"/>
        <v>1.0939000000000001</v>
      </c>
      <c r="L509">
        <f t="shared" si="42"/>
        <v>5.7000000000000384E-3</v>
      </c>
      <c r="W509">
        <f t="shared" si="44"/>
        <v>-1.0950134770889104E-3</v>
      </c>
      <c r="X509">
        <f t="shared" si="45"/>
        <v>3.7199864727764432E-3</v>
      </c>
      <c r="Y509">
        <f t="shared" si="45"/>
        <v>8.4616686410555347E-4</v>
      </c>
      <c r="Z509">
        <f t="shared" si="45"/>
        <v>7.6739427012278792E-3</v>
      </c>
      <c r="AE509">
        <f>W509-mu-theta*AE508</f>
        <v>-3.3922103721749038E-4</v>
      </c>
      <c r="AF509">
        <f t="shared" si="47"/>
        <v>4.1860053044974919E-3</v>
      </c>
      <c r="AG509">
        <f t="shared" si="47"/>
        <v>2.9857705524917594E-3</v>
      </c>
      <c r="AK509">
        <f t="shared" si="46"/>
        <v>1.1507091209090999E-7</v>
      </c>
    </row>
    <row r="510" spans="1:37" x14ac:dyDescent="0.3">
      <c r="A510" s="1">
        <v>44638</v>
      </c>
      <c r="B510">
        <v>1.1054999999999999</v>
      </c>
      <c r="C510">
        <v>1.3180000000000001</v>
      </c>
      <c r="D510">
        <v>119.17</v>
      </c>
      <c r="G510">
        <v>1.1054999999999999</v>
      </c>
      <c r="H510">
        <f t="shared" si="43"/>
        <v>1.1089</v>
      </c>
      <c r="I510">
        <f t="shared" si="43"/>
        <v>1.1032</v>
      </c>
      <c r="J510">
        <f t="shared" si="43"/>
        <v>1.0951</v>
      </c>
      <c r="L510">
        <f t="shared" si="42"/>
        <v>-3.4000000000000696E-3</v>
      </c>
      <c r="W510">
        <f t="shared" si="44"/>
        <v>4.890800236107583E-3</v>
      </c>
      <c r="X510">
        <f t="shared" si="45"/>
        <v>-1.0950134770889104E-3</v>
      </c>
      <c r="Y510">
        <f t="shared" si="45"/>
        <v>3.7199864727764432E-3</v>
      </c>
      <c r="Z510">
        <f t="shared" si="45"/>
        <v>8.4616686410555347E-4</v>
      </c>
      <c r="AE510">
        <f>W510-mu-theta*AE509</f>
        <v>4.5540637664931429E-3</v>
      </c>
      <c r="AF510">
        <f t="shared" si="47"/>
        <v>-3.3922103721749038E-4</v>
      </c>
      <c r="AG510">
        <f t="shared" si="47"/>
        <v>4.1860053044974919E-3</v>
      </c>
      <c r="AK510">
        <f t="shared" si="46"/>
        <v>2.0739496789285713E-5</v>
      </c>
    </row>
    <row r="511" spans="1:37" x14ac:dyDescent="0.3">
      <c r="A511" s="1">
        <v>44641</v>
      </c>
      <c r="B511">
        <v>1.1013999999999999</v>
      </c>
      <c r="C511">
        <v>1.3165</v>
      </c>
      <c r="D511">
        <v>119.47</v>
      </c>
      <c r="G511">
        <v>1.1013999999999999</v>
      </c>
      <c r="H511">
        <f t="shared" si="43"/>
        <v>1.1054999999999999</v>
      </c>
      <c r="I511">
        <f t="shared" si="43"/>
        <v>1.1089</v>
      </c>
      <c r="J511">
        <f t="shared" si="43"/>
        <v>1.1032</v>
      </c>
      <c r="L511">
        <f t="shared" si="42"/>
        <v>-4.0999999999999925E-3</v>
      </c>
      <c r="W511">
        <f t="shared" si="44"/>
        <v>2.5174121003608053E-3</v>
      </c>
      <c r="X511">
        <f t="shared" si="45"/>
        <v>4.890800236107583E-3</v>
      </c>
      <c r="Y511">
        <f t="shared" si="45"/>
        <v>-1.0950134770889104E-3</v>
      </c>
      <c r="Z511">
        <f t="shared" si="45"/>
        <v>3.7199864727764432E-3</v>
      </c>
      <c r="AE511">
        <f>W511-mu-theta*AE510</f>
        <v>3.3620651805065763E-3</v>
      </c>
      <c r="AF511">
        <f t="shared" si="47"/>
        <v>4.5540637664931429E-3</v>
      </c>
      <c r="AG511">
        <f t="shared" si="47"/>
        <v>-3.3922103721749038E-4</v>
      </c>
      <c r="AK511">
        <f t="shared" si="46"/>
        <v>1.1303482277974717E-5</v>
      </c>
    </row>
    <row r="512" spans="1:37" x14ac:dyDescent="0.3">
      <c r="A512" s="1">
        <v>44642</v>
      </c>
      <c r="B512">
        <v>1.1027</v>
      </c>
      <c r="C512">
        <v>1.3263</v>
      </c>
      <c r="D512">
        <v>120.8</v>
      </c>
      <c r="G512">
        <v>1.1027</v>
      </c>
      <c r="H512">
        <f t="shared" si="43"/>
        <v>1.1013999999999999</v>
      </c>
      <c r="I512">
        <f t="shared" si="43"/>
        <v>1.1054999999999999</v>
      </c>
      <c r="J512">
        <f t="shared" si="43"/>
        <v>1.1089</v>
      </c>
      <c r="L512">
        <f t="shared" si="42"/>
        <v>1.3000000000000789E-3</v>
      </c>
      <c r="W512">
        <f t="shared" si="44"/>
        <v>1.1132501883317974E-2</v>
      </c>
      <c r="X512">
        <f t="shared" si="45"/>
        <v>2.5174121003608053E-3</v>
      </c>
      <c r="Y512">
        <f t="shared" si="45"/>
        <v>4.890800236107583E-3</v>
      </c>
      <c r="Z512">
        <f t="shared" si="45"/>
        <v>-1.0950134770889104E-3</v>
      </c>
      <c r="AE512">
        <f>W512-mu-theta*AE511</f>
        <v>1.1689369819270705E-2</v>
      </c>
      <c r="AF512">
        <f t="shared" si="47"/>
        <v>3.3620651805065763E-3</v>
      </c>
      <c r="AG512">
        <f t="shared" si="47"/>
        <v>4.5540637664931429E-3</v>
      </c>
      <c r="AK512">
        <f t="shared" si="46"/>
        <v>1.3664136677167684E-4</v>
      </c>
    </row>
    <row r="513" spans="1:37" x14ac:dyDescent="0.3">
      <c r="A513" s="1">
        <v>44643</v>
      </c>
      <c r="B513">
        <v>1.1004</v>
      </c>
      <c r="C513">
        <v>1.3203</v>
      </c>
      <c r="D513">
        <v>121.15</v>
      </c>
      <c r="G513">
        <v>1.1004</v>
      </c>
      <c r="H513">
        <f t="shared" si="43"/>
        <v>1.1027</v>
      </c>
      <c r="I513">
        <f t="shared" si="43"/>
        <v>1.1013999999999999</v>
      </c>
      <c r="J513">
        <f t="shared" si="43"/>
        <v>1.1054999999999999</v>
      </c>
      <c r="L513">
        <f t="shared" si="42"/>
        <v>-2.2999999999999687E-3</v>
      </c>
      <c r="W513">
        <f t="shared" si="44"/>
        <v>2.8973509933775542E-3</v>
      </c>
      <c r="X513">
        <f t="shared" si="45"/>
        <v>1.1132501883317974E-2</v>
      </c>
      <c r="Y513">
        <f t="shared" si="45"/>
        <v>2.5174121003608053E-3</v>
      </c>
      <c r="Z513">
        <f t="shared" si="45"/>
        <v>4.890800236107583E-3</v>
      </c>
      <c r="AE513">
        <f>W513-mu-theta*AE512</f>
        <v>5.4646865543590915E-3</v>
      </c>
      <c r="AF513">
        <f t="shared" si="47"/>
        <v>1.1689369819270705E-2</v>
      </c>
      <c r="AG513">
        <f t="shared" si="47"/>
        <v>3.3620651805065763E-3</v>
      </c>
      <c r="AK513">
        <f t="shared" si="46"/>
        <v>2.9862799137393039E-5</v>
      </c>
    </row>
    <row r="514" spans="1:37" x14ac:dyDescent="0.3">
      <c r="A514" s="1">
        <v>44644</v>
      </c>
      <c r="B514">
        <v>1.0995999999999999</v>
      </c>
      <c r="C514">
        <v>1.3183</v>
      </c>
      <c r="D514">
        <v>122.33</v>
      </c>
      <c r="G514">
        <v>1.0995999999999999</v>
      </c>
      <c r="H514">
        <f t="shared" si="43"/>
        <v>1.1004</v>
      </c>
      <c r="I514">
        <f t="shared" si="43"/>
        <v>1.1027</v>
      </c>
      <c r="J514">
        <f t="shared" si="43"/>
        <v>1.1013999999999999</v>
      </c>
      <c r="L514">
        <f t="shared" si="42"/>
        <v>-8.0000000000013394E-4</v>
      </c>
      <c r="W514">
        <f t="shared" si="44"/>
        <v>9.7399917457696456E-3</v>
      </c>
      <c r="X514">
        <f t="shared" si="45"/>
        <v>2.8973509933775542E-3</v>
      </c>
      <c r="Y514">
        <f t="shared" si="45"/>
        <v>1.1132501883317974E-2</v>
      </c>
      <c r="Z514">
        <f t="shared" si="45"/>
        <v>2.5174121003608053E-3</v>
      </c>
      <c r="AE514">
        <f>W514-mu-theta*AE513</f>
        <v>1.0804497192681919E-2</v>
      </c>
      <c r="AF514">
        <f t="shared" si="47"/>
        <v>5.4646865543590915E-3</v>
      </c>
      <c r="AG514">
        <f t="shared" si="47"/>
        <v>1.1689369819270705E-2</v>
      </c>
      <c r="AK514">
        <f t="shared" si="46"/>
        <v>1.1673715958667146E-4</v>
      </c>
    </row>
    <row r="515" spans="1:37" x14ac:dyDescent="0.3">
      <c r="A515" s="1">
        <v>44645</v>
      </c>
      <c r="B515">
        <v>1.0981000000000001</v>
      </c>
      <c r="C515">
        <v>1.3188</v>
      </c>
      <c r="D515">
        <v>122.06</v>
      </c>
      <c r="G515">
        <v>1.0981000000000001</v>
      </c>
      <c r="H515">
        <f t="shared" si="43"/>
        <v>1.0995999999999999</v>
      </c>
      <c r="I515">
        <f t="shared" si="43"/>
        <v>1.1004</v>
      </c>
      <c r="J515">
        <f t="shared" si="43"/>
        <v>1.1027</v>
      </c>
      <c r="L515">
        <f t="shared" si="42"/>
        <v>-1.4999999999998348E-3</v>
      </c>
      <c r="W515">
        <f t="shared" si="44"/>
        <v>-2.2071446088448954E-3</v>
      </c>
      <c r="X515">
        <f t="shared" si="45"/>
        <v>9.7399917457696456E-3</v>
      </c>
      <c r="Y515">
        <f t="shared" si="45"/>
        <v>2.8973509933775542E-3</v>
      </c>
      <c r="Z515">
        <f t="shared" si="45"/>
        <v>1.1132501883317974E-2</v>
      </c>
      <c r="AE515">
        <f>W515-mu-theta*AE514</f>
        <v>1.4655546680210048E-4</v>
      </c>
      <c r="AF515">
        <f t="shared" si="47"/>
        <v>1.0804497192681919E-2</v>
      </c>
      <c r="AG515">
        <f t="shared" si="47"/>
        <v>5.4646865543590915E-3</v>
      </c>
      <c r="AK515">
        <f t="shared" si="46"/>
        <v>2.1478504849581577E-8</v>
      </c>
    </row>
    <row r="516" spans="1:37" x14ac:dyDescent="0.3">
      <c r="A516" s="1">
        <v>44648</v>
      </c>
      <c r="B516">
        <v>1.0978000000000001</v>
      </c>
      <c r="C516">
        <v>1.3084</v>
      </c>
      <c r="D516">
        <v>123.91</v>
      </c>
      <c r="G516">
        <v>1.0978000000000001</v>
      </c>
      <c r="H516">
        <f t="shared" si="43"/>
        <v>1.0981000000000001</v>
      </c>
      <c r="I516">
        <f t="shared" si="43"/>
        <v>1.0995999999999999</v>
      </c>
      <c r="J516">
        <f t="shared" si="43"/>
        <v>1.1004</v>
      </c>
      <c r="L516">
        <f t="shared" si="42"/>
        <v>-2.9999999999996696E-4</v>
      </c>
      <c r="W516">
        <f t="shared" si="44"/>
        <v>1.515648041946579E-2</v>
      </c>
      <c r="X516">
        <f t="shared" si="45"/>
        <v>-2.2071446088448954E-3</v>
      </c>
      <c r="Y516">
        <f t="shared" si="45"/>
        <v>9.7399917457696456E-3</v>
      </c>
      <c r="Z516">
        <f t="shared" si="45"/>
        <v>2.8973509933775542E-3</v>
      </c>
      <c r="AE516">
        <f>W516-mu-theta*AE515</f>
        <v>1.4937025348418752E-2</v>
      </c>
      <c r="AF516">
        <f t="shared" si="47"/>
        <v>1.4655546680210048E-4</v>
      </c>
      <c r="AG516">
        <f t="shared" si="47"/>
        <v>1.0804497192681919E-2</v>
      </c>
      <c r="AK516">
        <f t="shared" si="46"/>
        <v>2.2311472625930433E-4</v>
      </c>
    </row>
    <row r="517" spans="1:37" x14ac:dyDescent="0.3">
      <c r="A517" s="1">
        <v>44649</v>
      </c>
      <c r="B517">
        <v>1.1085</v>
      </c>
      <c r="C517">
        <v>1.3084</v>
      </c>
      <c r="D517">
        <v>122.84</v>
      </c>
      <c r="G517">
        <v>1.1085</v>
      </c>
      <c r="H517">
        <f t="shared" si="43"/>
        <v>1.0978000000000001</v>
      </c>
      <c r="I517">
        <f t="shared" si="43"/>
        <v>1.0981000000000001</v>
      </c>
      <c r="J517">
        <f t="shared" si="43"/>
        <v>1.0995999999999999</v>
      </c>
      <c r="L517">
        <f t="shared" si="42"/>
        <v>1.0699999999999932E-2</v>
      </c>
      <c r="W517">
        <f t="shared" si="44"/>
        <v>-8.6352998143813513E-3</v>
      </c>
      <c r="X517">
        <f t="shared" si="45"/>
        <v>1.515648041946579E-2</v>
      </c>
      <c r="Y517">
        <f t="shared" si="45"/>
        <v>-2.2071446088448954E-3</v>
      </c>
      <c r="Z517">
        <f t="shared" si="45"/>
        <v>9.7399917457696456E-3</v>
      </c>
      <c r="AE517">
        <f>W517-mu-theta*AE516</f>
        <v>-5.283880257216508E-3</v>
      </c>
      <c r="AF517">
        <f t="shared" si="47"/>
        <v>1.4937025348418752E-2</v>
      </c>
      <c r="AG517">
        <f t="shared" si="47"/>
        <v>1.4655546680210048E-4</v>
      </c>
      <c r="AK517">
        <f t="shared" si="46"/>
        <v>2.7919390572602392E-5</v>
      </c>
    </row>
    <row r="518" spans="1:37" x14ac:dyDescent="0.3">
      <c r="A518" s="1">
        <v>44650</v>
      </c>
      <c r="B518">
        <v>1.1155999999999999</v>
      </c>
      <c r="C518">
        <v>1.3130999999999999</v>
      </c>
      <c r="D518">
        <v>121.8</v>
      </c>
      <c r="G518">
        <v>1.1155999999999999</v>
      </c>
      <c r="H518">
        <f t="shared" si="43"/>
        <v>1.1085</v>
      </c>
      <c r="I518">
        <f t="shared" si="43"/>
        <v>1.0978000000000001</v>
      </c>
      <c r="J518">
        <f t="shared" si="43"/>
        <v>1.0981000000000001</v>
      </c>
      <c r="L518">
        <f t="shared" ref="L518:L581" si="48">G518-H518</f>
        <v>7.0999999999998842E-3</v>
      </c>
      <c r="W518">
        <f t="shared" si="44"/>
        <v>-8.4662976229241804E-3</v>
      </c>
      <c r="X518">
        <f t="shared" si="45"/>
        <v>-8.6352998143813513E-3</v>
      </c>
      <c r="Y518">
        <f t="shared" si="45"/>
        <v>1.515648041946579E-2</v>
      </c>
      <c r="Z518">
        <f t="shared" si="45"/>
        <v>-2.2071446088448954E-3</v>
      </c>
      <c r="AE518">
        <f>W518-mu-theta*AE517</f>
        <v>-9.9968270075151983E-3</v>
      </c>
      <c r="AF518">
        <f t="shared" si="47"/>
        <v>-5.283880257216508E-3</v>
      </c>
      <c r="AG518">
        <f t="shared" si="47"/>
        <v>1.4937025348418752E-2</v>
      </c>
      <c r="AK518">
        <f t="shared" si="46"/>
        <v>9.9936550218185277E-5</v>
      </c>
    </row>
    <row r="519" spans="1:37" x14ac:dyDescent="0.3">
      <c r="A519" s="1">
        <v>44651</v>
      </c>
      <c r="B519">
        <v>1.1065</v>
      </c>
      <c r="C519">
        <v>1.3132999999999999</v>
      </c>
      <c r="D519">
        <v>121.66</v>
      </c>
      <c r="G519">
        <v>1.1065</v>
      </c>
      <c r="H519">
        <f t="shared" ref="H519:J582" si="49">G518</f>
        <v>1.1155999999999999</v>
      </c>
      <c r="I519">
        <f t="shared" si="49"/>
        <v>1.1085</v>
      </c>
      <c r="J519">
        <f t="shared" si="49"/>
        <v>1.0978000000000001</v>
      </c>
      <c r="L519">
        <f t="shared" si="48"/>
        <v>-9.099999999999886E-3</v>
      </c>
      <c r="W519">
        <f t="shared" ref="W519:W582" si="50">(D519-D518)/D518</f>
        <v>-1.1494252873563266E-3</v>
      </c>
      <c r="X519">
        <f t="shared" si="45"/>
        <v>-8.4662976229241804E-3</v>
      </c>
      <c r="Y519">
        <f t="shared" si="45"/>
        <v>-8.6352998143813513E-3</v>
      </c>
      <c r="Z519">
        <f t="shared" si="45"/>
        <v>1.515648041946579E-2</v>
      </c>
      <c r="AE519">
        <f>W519-mu-theta*AE518</f>
        <v>-3.817805065441114E-3</v>
      </c>
      <c r="AF519">
        <f t="shared" si="47"/>
        <v>-9.9968270075151983E-3</v>
      </c>
      <c r="AG519">
        <f t="shared" si="47"/>
        <v>-5.283880257216508E-3</v>
      </c>
      <c r="AK519">
        <f t="shared" si="46"/>
        <v>1.4575635517707829E-5</v>
      </c>
    </row>
    <row r="520" spans="1:37" x14ac:dyDescent="0.3">
      <c r="A520" s="1">
        <v>44652</v>
      </c>
      <c r="B520">
        <v>1.1052999999999999</v>
      </c>
      <c r="C520">
        <v>1.3111999999999999</v>
      </c>
      <c r="D520">
        <v>122.49</v>
      </c>
      <c r="G520">
        <v>1.1052999999999999</v>
      </c>
      <c r="H520">
        <f t="shared" si="49"/>
        <v>1.1065</v>
      </c>
      <c r="I520">
        <f t="shared" si="49"/>
        <v>1.1155999999999999</v>
      </c>
      <c r="J520">
        <f t="shared" si="49"/>
        <v>1.1085</v>
      </c>
      <c r="L520">
        <f t="shared" si="48"/>
        <v>-1.2000000000000899E-3</v>
      </c>
      <c r="W520">
        <f t="shared" si="50"/>
        <v>6.8222916324182006E-3</v>
      </c>
      <c r="X520">
        <f t="shared" ref="X520:Z583" si="51">W519</f>
        <v>-1.1494252873563266E-3</v>
      </c>
      <c r="Y520">
        <f t="shared" si="51"/>
        <v>-8.4662976229241804E-3</v>
      </c>
      <c r="Z520">
        <f t="shared" si="51"/>
        <v>-8.6352998143813513E-3</v>
      </c>
      <c r="AE520">
        <f>W520-mu-theta*AE519</f>
        <v>5.6457179197743259E-3</v>
      </c>
      <c r="AF520">
        <f t="shared" si="47"/>
        <v>-3.817805065441114E-3</v>
      </c>
      <c r="AG520">
        <f t="shared" si="47"/>
        <v>-9.9968270075151983E-3</v>
      </c>
      <c r="AK520">
        <f t="shared" ref="AK520:AK583" si="52">POWER(AE520,2)</f>
        <v>3.1874130829660941E-5</v>
      </c>
    </row>
    <row r="521" spans="1:37" x14ac:dyDescent="0.3">
      <c r="A521" s="1">
        <v>44655</v>
      </c>
      <c r="B521">
        <v>1.097</v>
      </c>
      <c r="C521">
        <v>1.3112999999999999</v>
      </c>
      <c r="D521">
        <v>122.78</v>
      </c>
      <c r="G521">
        <v>1.097</v>
      </c>
      <c r="H521">
        <f t="shared" si="49"/>
        <v>1.1052999999999999</v>
      </c>
      <c r="I521">
        <f t="shared" si="49"/>
        <v>1.1065</v>
      </c>
      <c r="J521">
        <f t="shared" si="49"/>
        <v>1.1155999999999999</v>
      </c>
      <c r="L521">
        <f t="shared" si="48"/>
        <v>-8.2999999999999741E-3</v>
      </c>
      <c r="W521">
        <f t="shared" si="50"/>
        <v>2.3675402073639177E-3</v>
      </c>
      <c r="X521">
        <f t="shared" si="51"/>
        <v>6.8222916324182006E-3</v>
      </c>
      <c r="Y521">
        <f t="shared" si="51"/>
        <v>-1.1494252873563266E-3</v>
      </c>
      <c r="Z521">
        <f t="shared" si="51"/>
        <v>-8.4662976229241804E-3</v>
      </c>
      <c r="AE521">
        <f>W521-mu-theta*AE520</f>
        <v>3.4757521973979404E-3</v>
      </c>
      <c r="AF521">
        <f t="shared" ref="AF521:AG584" si="53">AE520</f>
        <v>5.6457179197743259E-3</v>
      </c>
      <c r="AG521">
        <f t="shared" si="53"/>
        <v>-3.817805065441114E-3</v>
      </c>
      <c r="AK521">
        <f t="shared" si="52"/>
        <v>1.2080853337716611E-5</v>
      </c>
    </row>
    <row r="522" spans="1:37" x14ac:dyDescent="0.3">
      <c r="A522" s="1">
        <v>44656</v>
      </c>
      <c r="B522">
        <v>1.0903</v>
      </c>
      <c r="C522">
        <v>1.3068</v>
      </c>
      <c r="D522">
        <v>123.6</v>
      </c>
      <c r="G522">
        <v>1.0903</v>
      </c>
      <c r="H522">
        <f t="shared" si="49"/>
        <v>1.097</v>
      </c>
      <c r="I522">
        <f t="shared" si="49"/>
        <v>1.1052999999999999</v>
      </c>
      <c r="J522">
        <f t="shared" si="49"/>
        <v>1.1065</v>
      </c>
      <c r="L522">
        <f t="shared" si="48"/>
        <v>-6.6999999999999282E-3</v>
      </c>
      <c r="W522">
        <f t="shared" si="50"/>
        <v>6.6786121518162007E-3</v>
      </c>
      <c r="X522">
        <f t="shared" si="51"/>
        <v>2.3675402073639177E-3</v>
      </c>
      <c r="Y522">
        <f t="shared" si="51"/>
        <v>6.8222916324182006E-3</v>
      </c>
      <c r="Z522">
        <f t="shared" si="51"/>
        <v>-1.1494252873563266E-3</v>
      </c>
      <c r="AE522">
        <f>W522-mu-theta*AE521</f>
        <v>7.262927632534162E-3</v>
      </c>
      <c r="AF522">
        <f t="shared" si="53"/>
        <v>3.4757521973979404E-3</v>
      </c>
      <c r="AG522">
        <f t="shared" si="53"/>
        <v>5.6457179197743259E-3</v>
      </c>
      <c r="AK522">
        <f t="shared" si="52"/>
        <v>5.2750117795428286E-5</v>
      </c>
    </row>
    <row r="523" spans="1:37" x14ac:dyDescent="0.3">
      <c r="A523" s="1">
        <v>44657</v>
      </c>
      <c r="B523">
        <v>1.0892999999999999</v>
      </c>
      <c r="C523">
        <v>1.3068</v>
      </c>
      <c r="D523">
        <v>123.79</v>
      </c>
      <c r="G523">
        <v>1.0892999999999999</v>
      </c>
      <c r="H523">
        <f t="shared" si="49"/>
        <v>1.0903</v>
      </c>
      <c r="I523">
        <f t="shared" si="49"/>
        <v>1.097</v>
      </c>
      <c r="J523">
        <f t="shared" si="49"/>
        <v>1.1052999999999999</v>
      </c>
      <c r="L523">
        <f t="shared" si="48"/>
        <v>-1.0000000000001119E-3</v>
      </c>
      <c r="W523">
        <f t="shared" si="50"/>
        <v>1.5372168284790611E-3</v>
      </c>
      <c r="X523">
        <f t="shared" si="51"/>
        <v>6.6786121518162007E-3</v>
      </c>
      <c r="Y523">
        <f t="shared" si="51"/>
        <v>2.3675402073639177E-3</v>
      </c>
      <c r="Z523">
        <f t="shared" si="51"/>
        <v>6.8222916324182006E-3</v>
      </c>
      <c r="AE523">
        <f>W523-mu-theta*AE522</f>
        <v>3.0358730152163669E-3</v>
      </c>
      <c r="AF523">
        <f t="shared" si="53"/>
        <v>7.262927632534162E-3</v>
      </c>
      <c r="AG523">
        <f t="shared" si="53"/>
        <v>3.4757521973979404E-3</v>
      </c>
      <c r="AK523">
        <f t="shared" si="52"/>
        <v>9.2165249645189154E-6</v>
      </c>
    </row>
    <row r="524" spans="1:37" x14ac:dyDescent="0.3">
      <c r="A524" s="1">
        <v>44658</v>
      </c>
      <c r="B524">
        <v>1.0878000000000001</v>
      </c>
      <c r="C524">
        <v>1.3072999999999999</v>
      </c>
      <c r="D524">
        <v>123.92</v>
      </c>
      <c r="G524">
        <v>1.0878000000000001</v>
      </c>
      <c r="H524">
        <f t="shared" si="49"/>
        <v>1.0892999999999999</v>
      </c>
      <c r="I524">
        <f t="shared" si="49"/>
        <v>1.0903</v>
      </c>
      <c r="J524">
        <f t="shared" si="49"/>
        <v>1.097</v>
      </c>
      <c r="L524">
        <f t="shared" si="48"/>
        <v>-1.4999999999998348E-3</v>
      </c>
      <c r="W524">
        <f t="shared" si="50"/>
        <v>1.0501656030373653E-3</v>
      </c>
      <c r="X524">
        <f t="shared" si="51"/>
        <v>1.5372168284790611E-3</v>
      </c>
      <c r="Y524">
        <f t="shared" si="51"/>
        <v>6.6786121518162007E-3</v>
      </c>
      <c r="Z524">
        <f t="shared" si="51"/>
        <v>2.3675402073639177E-3</v>
      </c>
      <c r="AE524">
        <f>W524-mu-theta*AE523</f>
        <v>1.5282807112382171E-3</v>
      </c>
      <c r="AF524">
        <f t="shared" si="53"/>
        <v>3.0358730152163669E-3</v>
      </c>
      <c r="AG524">
        <f t="shared" si="53"/>
        <v>7.262927632534162E-3</v>
      </c>
      <c r="AK524">
        <f t="shared" si="52"/>
        <v>2.3356419323427906E-6</v>
      </c>
    </row>
    <row r="525" spans="1:37" x14ac:dyDescent="0.3">
      <c r="A525" s="1">
        <v>44659</v>
      </c>
      <c r="B525">
        <v>1.0875999999999999</v>
      </c>
      <c r="C525">
        <v>1.3030999999999999</v>
      </c>
      <c r="D525">
        <v>124.32</v>
      </c>
      <c r="G525">
        <v>1.0875999999999999</v>
      </c>
      <c r="H525">
        <f t="shared" si="49"/>
        <v>1.0878000000000001</v>
      </c>
      <c r="I525">
        <f t="shared" si="49"/>
        <v>1.0892999999999999</v>
      </c>
      <c r="J525">
        <f t="shared" si="49"/>
        <v>1.0903</v>
      </c>
      <c r="L525">
        <f t="shared" si="48"/>
        <v>-2.0000000000020002E-4</v>
      </c>
      <c r="W525">
        <f t="shared" si="50"/>
        <v>3.2278889606196857E-3</v>
      </c>
      <c r="X525">
        <f t="shared" si="51"/>
        <v>1.0501656030373653E-3</v>
      </c>
      <c r="Y525">
        <f t="shared" si="51"/>
        <v>1.5372168284790611E-3</v>
      </c>
      <c r="Z525">
        <f t="shared" si="51"/>
        <v>6.6786121518162007E-3</v>
      </c>
      <c r="AE525">
        <f>W525-mu-theta*AE524</f>
        <v>3.3420248882365436E-3</v>
      </c>
      <c r="AF525">
        <f t="shared" si="53"/>
        <v>1.5282807112382171E-3</v>
      </c>
      <c r="AG525">
        <f t="shared" si="53"/>
        <v>3.0358730152163669E-3</v>
      </c>
      <c r="AK525">
        <f t="shared" si="52"/>
        <v>1.1169130353592482E-5</v>
      </c>
    </row>
    <row r="526" spans="1:37" x14ac:dyDescent="0.3">
      <c r="A526" s="1">
        <v>44662</v>
      </c>
      <c r="B526">
        <v>1.0883</v>
      </c>
      <c r="C526">
        <v>1.3028999999999999</v>
      </c>
      <c r="D526">
        <v>125.35</v>
      </c>
      <c r="G526">
        <v>1.0883</v>
      </c>
      <c r="H526">
        <f t="shared" si="49"/>
        <v>1.0875999999999999</v>
      </c>
      <c r="I526">
        <f t="shared" si="49"/>
        <v>1.0878000000000001</v>
      </c>
      <c r="J526">
        <f t="shared" si="49"/>
        <v>1.0892999999999999</v>
      </c>
      <c r="L526">
        <f t="shared" si="48"/>
        <v>7.0000000000014495E-4</v>
      </c>
      <c r="W526">
        <f t="shared" si="50"/>
        <v>8.2850707850707951E-3</v>
      </c>
      <c r="X526">
        <f t="shared" si="51"/>
        <v>3.2278889606196857E-3</v>
      </c>
      <c r="Y526">
        <f t="shared" si="51"/>
        <v>1.0501656030373653E-3</v>
      </c>
      <c r="Z526">
        <f t="shared" si="51"/>
        <v>1.5372168284790611E-3</v>
      </c>
      <c r="AE526">
        <f>W526-mu-theta*AE525</f>
        <v>8.8371003776996308E-3</v>
      </c>
      <c r="AF526">
        <f t="shared" si="53"/>
        <v>3.3420248882365436E-3</v>
      </c>
      <c r="AG526">
        <f t="shared" si="53"/>
        <v>1.5282807112382171E-3</v>
      </c>
      <c r="AK526">
        <f t="shared" si="52"/>
        <v>7.8094343085538957E-5</v>
      </c>
    </row>
    <row r="527" spans="1:37" x14ac:dyDescent="0.3">
      <c r="A527" s="1">
        <v>44663</v>
      </c>
      <c r="B527">
        <v>1.0826</v>
      </c>
      <c r="C527">
        <v>1.2997000000000001</v>
      </c>
      <c r="D527">
        <v>125.35</v>
      </c>
      <c r="G527">
        <v>1.0826</v>
      </c>
      <c r="H527">
        <f t="shared" si="49"/>
        <v>1.0883</v>
      </c>
      <c r="I527">
        <f t="shared" si="49"/>
        <v>1.0875999999999999</v>
      </c>
      <c r="J527">
        <f t="shared" si="49"/>
        <v>1.0878000000000001</v>
      </c>
      <c r="L527">
        <f t="shared" si="48"/>
        <v>-5.7000000000000384E-3</v>
      </c>
      <c r="W527">
        <f t="shared" si="50"/>
        <v>0</v>
      </c>
      <c r="X527">
        <f t="shared" si="51"/>
        <v>8.2850707850707951E-3</v>
      </c>
      <c r="Y527">
        <f t="shared" si="51"/>
        <v>3.2278889606196857E-3</v>
      </c>
      <c r="Z527">
        <f t="shared" si="51"/>
        <v>1.0501656030373653E-3</v>
      </c>
      <c r="AE527">
        <f>W527-mu-theta*AE526</f>
        <v>1.8787099349363867E-3</v>
      </c>
      <c r="AF527">
        <f t="shared" si="53"/>
        <v>8.8371003776996308E-3</v>
      </c>
      <c r="AG527">
        <f t="shared" si="53"/>
        <v>3.3420248882365436E-3</v>
      </c>
      <c r="AK527">
        <f t="shared" si="52"/>
        <v>3.5295510196286822E-6</v>
      </c>
    </row>
    <row r="528" spans="1:37" x14ac:dyDescent="0.3">
      <c r="A528" s="1">
        <v>44664</v>
      </c>
      <c r="B528">
        <v>1.0885</v>
      </c>
      <c r="C528">
        <v>1.3115000000000001</v>
      </c>
      <c r="D528">
        <v>125.66</v>
      </c>
      <c r="G528">
        <v>1.0885</v>
      </c>
      <c r="H528">
        <f t="shared" si="49"/>
        <v>1.0826</v>
      </c>
      <c r="I528">
        <f t="shared" si="49"/>
        <v>1.0883</v>
      </c>
      <c r="J528">
        <f t="shared" si="49"/>
        <v>1.0875999999999999</v>
      </c>
      <c r="L528">
        <f t="shared" si="48"/>
        <v>5.9000000000000163E-3</v>
      </c>
      <c r="W528">
        <f t="shared" si="50"/>
        <v>2.4730753889110673E-3</v>
      </c>
      <c r="X528">
        <f t="shared" si="51"/>
        <v>0</v>
      </c>
      <c r="Y528">
        <f t="shared" si="51"/>
        <v>8.2850707850707951E-3</v>
      </c>
      <c r="Z528">
        <f t="shared" si="51"/>
        <v>3.2278889606196857E-3</v>
      </c>
      <c r="AE528">
        <f>W528-mu-theta*AE527</f>
        <v>2.6718157161111388E-3</v>
      </c>
      <c r="AF528">
        <f t="shared" si="53"/>
        <v>1.8787099349363867E-3</v>
      </c>
      <c r="AG528">
        <f t="shared" si="53"/>
        <v>8.8371003776996308E-3</v>
      </c>
      <c r="AK528">
        <f t="shared" si="52"/>
        <v>7.1385992208584779E-6</v>
      </c>
    </row>
    <row r="529" spans="1:37" x14ac:dyDescent="0.3">
      <c r="A529" s="1">
        <v>44665</v>
      </c>
      <c r="B529">
        <v>1.0827</v>
      </c>
      <c r="C529">
        <v>1.3065</v>
      </c>
      <c r="D529">
        <v>125.86</v>
      </c>
      <c r="G529">
        <v>1.0827</v>
      </c>
      <c r="H529">
        <f t="shared" si="49"/>
        <v>1.0885</v>
      </c>
      <c r="I529">
        <f t="shared" si="49"/>
        <v>1.0826</v>
      </c>
      <c r="J529">
        <f t="shared" si="49"/>
        <v>1.0883</v>
      </c>
      <c r="L529">
        <f t="shared" si="48"/>
        <v>-5.8000000000000274E-3</v>
      </c>
      <c r="W529">
        <f t="shared" si="50"/>
        <v>1.5915963711602963E-3</v>
      </c>
      <c r="X529">
        <f t="shared" si="51"/>
        <v>2.4730753889110673E-3</v>
      </c>
      <c r="Y529">
        <f t="shared" si="51"/>
        <v>0</v>
      </c>
      <c r="Z529">
        <f t="shared" si="51"/>
        <v>8.2850707850707951E-3</v>
      </c>
      <c r="AE529">
        <f>W529-mu-theta*AE528</f>
        <v>1.9818168429503063E-3</v>
      </c>
      <c r="AF529">
        <f t="shared" si="53"/>
        <v>2.6718157161111388E-3</v>
      </c>
      <c r="AG529">
        <f t="shared" si="53"/>
        <v>1.8787099349363867E-3</v>
      </c>
      <c r="AK529">
        <f t="shared" si="52"/>
        <v>3.9275979990015191E-6</v>
      </c>
    </row>
    <row r="530" spans="1:37" x14ac:dyDescent="0.3">
      <c r="A530" s="1">
        <v>44666</v>
      </c>
      <c r="B530">
        <v>1.0806</v>
      </c>
      <c r="C530">
        <v>1.3058000000000001</v>
      </c>
      <c r="D530">
        <v>126.35</v>
      </c>
      <c r="G530">
        <v>1.0806</v>
      </c>
      <c r="H530">
        <f t="shared" si="49"/>
        <v>1.0827</v>
      </c>
      <c r="I530">
        <f t="shared" si="49"/>
        <v>1.0885</v>
      </c>
      <c r="J530">
        <f t="shared" si="49"/>
        <v>1.0826</v>
      </c>
      <c r="L530">
        <f t="shared" si="48"/>
        <v>-2.0999999999999908E-3</v>
      </c>
      <c r="W530">
        <f t="shared" si="50"/>
        <v>3.8932146829810496E-3</v>
      </c>
      <c r="X530">
        <f t="shared" si="51"/>
        <v>1.5915963711602963E-3</v>
      </c>
      <c r="Y530">
        <f t="shared" si="51"/>
        <v>2.4730753889110673E-3</v>
      </c>
      <c r="Z530">
        <f t="shared" si="51"/>
        <v>0</v>
      </c>
      <c r="AE530">
        <f>W530-mu-theta*AE529</f>
        <v>4.1168481910446924E-3</v>
      </c>
      <c r="AF530">
        <f t="shared" si="53"/>
        <v>1.9818168429503063E-3</v>
      </c>
      <c r="AG530">
        <f t="shared" si="53"/>
        <v>2.6718157161111388E-3</v>
      </c>
      <c r="AK530">
        <f t="shared" si="52"/>
        <v>1.6948439028107957E-5</v>
      </c>
    </row>
    <row r="531" spans="1:37" x14ac:dyDescent="0.3">
      <c r="A531" s="1">
        <v>44669</v>
      </c>
      <c r="B531">
        <v>1.0780000000000001</v>
      </c>
      <c r="C531">
        <v>1.3008</v>
      </c>
      <c r="D531">
        <v>126.97</v>
      </c>
      <c r="G531">
        <v>1.0780000000000001</v>
      </c>
      <c r="H531">
        <f t="shared" si="49"/>
        <v>1.0806</v>
      </c>
      <c r="I531">
        <f t="shared" si="49"/>
        <v>1.0827</v>
      </c>
      <c r="J531">
        <f t="shared" si="49"/>
        <v>1.0885</v>
      </c>
      <c r="L531">
        <f t="shared" si="48"/>
        <v>-2.5999999999999357E-3</v>
      </c>
      <c r="W531">
        <f t="shared" si="50"/>
        <v>4.9070043529877688E-3</v>
      </c>
      <c r="X531">
        <f t="shared" si="51"/>
        <v>3.8932146829810496E-3</v>
      </c>
      <c r="Y531">
        <f t="shared" si="51"/>
        <v>1.5915963711602963E-3</v>
      </c>
      <c r="Z531">
        <f t="shared" si="51"/>
        <v>2.4730753889110673E-3</v>
      </c>
      <c r="AE531">
        <f>W531-mu-theta*AE530</f>
        <v>5.6461001372582796E-3</v>
      </c>
      <c r="AF531">
        <f t="shared" si="53"/>
        <v>4.1168481910446924E-3</v>
      </c>
      <c r="AG531">
        <f t="shared" si="53"/>
        <v>1.9818168429503063E-3</v>
      </c>
      <c r="AK531">
        <f t="shared" si="52"/>
        <v>3.1878446759947967E-5</v>
      </c>
    </row>
    <row r="532" spans="1:37" x14ac:dyDescent="0.3">
      <c r="A532" s="1">
        <v>44670</v>
      </c>
      <c r="B532">
        <v>1.0786</v>
      </c>
      <c r="C532">
        <v>1.2996000000000001</v>
      </c>
      <c r="D532">
        <v>128.9</v>
      </c>
      <c r="G532">
        <v>1.0786</v>
      </c>
      <c r="H532">
        <f t="shared" si="49"/>
        <v>1.0780000000000001</v>
      </c>
      <c r="I532">
        <f t="shared" si="49"/>
        <v>1.0806</v>
      </c>
      <c r="J532">
        <f t="shared" si="49"/>
        <v>1.0827</v>
      </c>
      <c r="L532">
        <f t="shared" si="48"/>
        <v>5.9999999999993392E-4</v>
      </c>
      <c r="W532">
        <f t="shared" si="50"/>
        <v>1.5200441049066763E-2</v>
      </c>
      <c r="X532">
        <f t="shared" si="51"/>
        <v>4.9070043529877688E-3</v>
      </c>
      <c r="Y532">
        <f t="shared" si="51"/>
        <v>3.8932146829810496E-3</v>
      </c>
      <c r="Z532">
        <f t="shared" si="51"/>
        <v>1.5915963711602963E-3</v>
      </c>
      <c r="AE532">
        <f>W532-mu-theta*AE531</f>
        <v>1.6308745318164727E-2</v>
      </c>
      <c r="AF532">
        <f t="shared" si="53"/>
        <v>5.6461001372582796E-3</v>
      </c>
      <c r="AG532">
        <f t="shared" si="53"/>
        <v>4.1168481910446924E-3</v>
      </c>
      <c r="AK532">
        <f t="shared" si="52"/>
        <v>2.6597517385275988E-4</v>
      </c>
    </row>
    <row r="533" spans="1:37" x14ac:dyDescent="0.3">
      <c r="A533" s="1">
        <v>44671</v>
      </c>
      <c r="B533">
        <v>1.085</v>
      </c>
      <c r="C533">
        <v>1.3066</v>
      </c>
      <c r="D533">
        <v>127.88</v>
      </c>
      <c r="G533">
        <v>1.085</v>
      </c>
      <c r="H533">
        <f t="shared" si="49"/>
        <v>1.0786</v>
      </c>
      <c r="I533">
        <f t="shared" si="49"/>
        <v>1.0780000000000001</v>
      </c>
      <c r="J533">
        <f t="shared" si="49"/>
        <v>1.0806</v>
      </c>
      <c r="L533">
        <f t="shared" si="48"/>
        <v>6.3999999999999613E-3</v>
      </c>
      <c r="W533">
        <f t="shared" si="50"/>
        <v>-7.9131109387122582E-3</v>
      </c>
      <c r="X533">
        <f t="shared" si="51"/>
        <v>1.5200441049066763E-2</v>
      </c>
      <c r="Y533">
        <f t="shared" si="51"/>
        <v>4.9070043529877688E-3</v>
      </c>
      <c r="Z533">
        <f t="shared" si="51"/>
        <v>3.8932146829810496E-3</v>
      </c>
      <c r="AE533">
        <f>W533-mu-theta*AE532</f>
        <v>-4.2305159641209825E-3</v>
      </c>
      <c r="AF533">
        <f t="shared" si="53"/>
        <v>1.6308745318164727E-2</v>
      </c>
      <c r="AG533">
        <f t="shared" si="53"/>
        <v>5.6461001372582796E-3</v>
      </c>
      <c r="AK533">
        <f t="shared" si="52"/>
        <v>1.7897265322682487E-5</v>
      </c>
    </row>
    <row r="534" spans="1:37" x14ac:dyDescent="0.3">
      <c r="A534" s="1">
        <v>44672</v>
      </c>
      <c r="B534">
        <v>1.0835999999999999</v>
      </c>
      <c r="C534">
        <v>1.3028</v>
      </c>
      <c r="D534">
        <v>128.38999999999999</v>
      </c>
      <c r="G534">
        <v>1.0835999999999999</v>
      </c>
      <c r="H534">
        <f t="shared" si="49"/>
        <v>1.085</v>
      </c>
      <c r="I534">
        <f t="shared" si="49"/>
        <v>1.0786</v>
      </c>
      <c r="J534">
        <f t="shared" si="49"/>
        <v>1.0780000000000001</v>
      </c>
      <c r="L534">
        <f t="shared" si="48"/>
        <v>-1.4000000000000679E-3</v>
      </c>
      <c r="W534">
        <f t="shared" si="50"/>
        <v>3.9881138567406235E-3</v>
      </c>
      <c r="X534">
        <f t="shared" si="51"/>
        <v>-7.9131109387122582E-3</v>
      </c>
      <c r="Y534">
        <f t="shared" si="51"/>
        <v>1.5200441049066763E-2</v>
      </c>
      <c r="Z534">
        <f t="shared" si="51"/>
        <v>4.9070043529877688E-3</v>
      </c>
      <c r="AE534">
        <f>W534-mu-theta*AE533</f>
        <v>2.7118990313614319E-3</v>
      </c>
      <c r="AF534">
        <f t="shared" si="53"/>
        <v>-4.2305159641209825E-3</v>
      </c>
      <c r="AG534">
        <f t="shared" si="53"/>
        <v>1.6308745318164727E-2</v>
      </c>
      <c r="AK534">
        <f t="shared" si="52"/>
        <v>7.3543963562990731E-6</v>
      </c>
    </row>
    <row r="535" spans="1:37" x14ac:dyDescent="0.3">
      <c r="A535" s="1">
        <v>44673</v>
      </c>
      <c r="B535">
        <v>1.0793999999999999</v>
      </c>
      <c r="C535">
        <v>1.2837000000000001</v>
      </c>
      <c r="D535">
        <v>128.56</v>
      </c>
      <c r="G535">
        <v>1.0793999999999999</v>
      </c>
      <c r="H535">
        <f t="shared" si="49"/>
        <v>1.0835999999999999</v>
      </c>
      <c r="I535">
        <f t="shared" si="49"/>
        <v>1.085</v>
      </c>
      <c r="J535">
        <f t="shared" si="49"/>
        <v>1.0786</v>
      </c>
      <c r="L535">
        <f t="shared" si="48"/>
        <v>-4.1999999999999815E-3</v>
      </c>
      <c r="W535">
        <f t="shared" si="50"/>
        <v>1.3240906612665779E-3</v>
      </c>
      <c r="X535">
        <f t="shared" si="51"/>
        <v>3.9881138567406235E-3</v>
      </c>
      <c r="Y535">
        <f t="shared" si="51"/>
        <v>-7.9131109387122582E-3</v>
      </c>
      <c r="Z535">
        <f t="shared" si="51"/>
        <v>1.5200441049066763E-2</v>
      </c>
      <c r="AE535">
        <f>W535-mu-theta*AE534</f>
        <v>1.7239884789818712E-3</v>
      </c>
      <c r="AF535">
        <f t="shared" si="53"/>
        <v>2.7118990313614319E-3</v>
      </c>
      <c r="AG535">
        <f t="shared" si="53"/>
        <v>-4.2305159641209825E-3</v>
      </c>
      <c r="AK535">
        <f t="shared" si="52"/>
        <v>2.9721362756622255E-6</v>
      </c>
    </row>
    <row r="536" spans="1:37" x14ac:dyDescent="0.3">
      <c r="A536" s="1">
        <v>44676</v>
      </c>
      <c r="B536">
        <v>1.0710999999999999</v>
      </c>
      <c r="C536">
        <v>1.274</v>
      </c>
      <c r="D536">
        <v>128.12</v>
      </c>
      <c r="G536">
        <v>1.0710999999999999</v>
      </c>
      <c r="H536">
        <f t="shared" si="49"/>
        <v>1.0793999999999999</v>
      </c>
      <c r="I536">
        <f t="shared" si="49"/>
        <v>1.0835999999999999</v>
      </c>
      <c r="J536">
        <f t="shared" si="49"/>
        <v>1.085</v>
      </c>
      <c r="L536">
        <f t="shared" si="48"/>
        <v>-8.2999999999999741E-3</v>
      </c>
      <c r="W536">
        <f t="shared" si="50"/>
        <v>-3.4225264467952531E-3</v>
      </c>
      <c r="X536">
        <f t="shared" si="51"/>
        <v>1.3240906612665779E-3</v>
      </c>
      <c r="Y536">
        <f t="shared" si="51"/>
        <v>3.9881138567406235E-3</v>
      </c>
      <c r="Z536">
        <f t="shared" si="51"/>
        <v>-7.9131109387122582E-3</v>
      </c>
      <c r="AE536">
        <f>W536-mu-theta*AE535</f>
        <v>-3.2611406408463747E-3</v>
      </c>
      <c r="AF536">
        <f t="shared" si="53"/>
        <v>1.7239884789818712E-3</v>
      </c>
      <c r="AG536">
        <f t="shared" si="53"/>
        <v>2.7118990313614319E-3</v>
      </c>
      <c r="AK536">
        <f t="shared" si="52"/>
        <v>1.0635038279379904E-5</v>
      </c>
    </row>
    <row r="537" spans="1:37" x14ac:dyDescent="0.3">
      <c r="A537" s="1">
        <v>44677</v>
      </c>
      <c r="B537">
        <v>1.0636000000000001</v>
      </c>
      <c r="C537">
        <v>1.2572000000000001</v>
      </c>
      <c r="D537">
        <v>127.22</v>
      </c>
      <c r="G537">
        <v>1.0636000000000001</v>
      </c>
      <c r="H537">
        <f t="shared" si="49"/>
        <v>1.0710999999999999</v>
      </c>
      <c r="I537">
        <f t="shared" si="49"/>
        <v>1.0793999999999999</v>
      </c>
      <c r="J537">
        <f t="shared" si="49"/>
        <v>1.0835999999999999</v>
      </c>
      <c r="L537">
        <f t="shared" si="48"/>
        <v>-7.4999999999998401E-3</v>
      </c>
      <c r="W537">
        <f t="shared" si="50"/>
        <v>-7.0246643771464693E-3</v>
      </c>
      <c r="X537">
        <f t="shared" si="51"/>
        <v>-3.4225264467952531E-3</v>
      </c>
      <c r="Y537">
        <f t="shared" si="51"/>
        <v>1.3240906612665779E-3</v>
      </c>
      <c r="Z537">
        <f t="shared" si="51"/>
        <v>3.9881138567406235E-3</v>
      </c>
      <c r="AE537">
        <f>W537-mu-theta*AE536</f>
        <v>-8.0668421655145268E-3</v>
      </c>
      <c r="AF537">
        <f t="shared" si="53"/>
        <v>-3.2611406408463747E-3</v>
      </c>
      <c r="AG537">
        <f t="shared" si="53"/>
        <v>1.7239884789818712E-3</v>
      </c>
      <c r="AK537">
        <f t="shared" si="52"/>
        <v>6.5073942523323106E-5</v>
      </c>
    </row>
    <row r="538" spans="1:37" x14ac:dyDescent="0.3">
      <c r="A538" s="1">
        <v>44678</v>
      </c>
      <c r="B538">
        <v>1.0555000000000001</v>
      </c>
      <c r="C538">
        <v>1.2547999999999999</v>
      </c>
      <c r="D538">
        <v>128.41999999999999</v>
      </c>
      <c r="G538">
        <v>1.0555000000000001</v>
      </c>
      <c r="H538">
        <f t="shared" si="49"/>
        <v>1.0636000000000001</v>
      </c>
      <c r="I538">
        <f t="shared" si="49"/>
        <v>1.0710999999999999</v>
      </c>
      <c r="J538">
        <f t="shared" si="49"/>
        <v>1.0793999999999999</v>
      </c>
      <c r="L538">
        <f t="shared" si="48"/>
        <v>-8.0999999999999961E-3</v>
      </c>
      <c r="W538">
        <f t="shared" si="50"/>
        <v>9.4324791699417435E-3</v>
      </c>
      <c r="X538">
        <f t="shared" si="51"/>
        <v>-7.0246643771464693E-3</v>
      </c>
      <c r="Y538">
        <f t="shared" si="51"/>
        <v>-3.4225264467952531E-3</v>
      </c>
      <c r="Z538">
        <f t="shared" si="51"/>
        <v>1.3240906612665779E-3</v>
      </c>
      <c r="AE538">
        <f>W538-mu-theta*AE537</f>
        <v>7.2300571308804868E-3</v>
      </c>
      <c r="AF538">
        <f t="shared" si="53"/>
        <v>-8.0668421655145268E-3</v>
      </c>
      <c r="AG538">
        <f t="shared" si="53"/>
        <v>-3.2611406408463747E-3</v>
      </c>
      <c r="AK538">
        <f t="shared" si="52"/>
        <v>5.2273726115795779E-5</v>
      </c>
    </row>
    <row r="539" spans="1:37" x14ac:dyDescent="0.3">
      <c r="A539" s="1">
        <v>44679</v>
      </c>
      <c r="B539">
        <v>1.0494000000000001</v>
      </c>
      <c r="C539">
        <v>1.2456</v>
      </c>
      <c r="D539">
        <v>130.85</v>
      </c>
      <c r="G539">
        <v>1.0494000000000001</v>
      </c>
      <c r="H539">
        <f t="shared" si="49"/>
        <v>1.0555000000000001</v>
      </c>
      <c r="I539">
        <f t="shared" si="49"/>
        <v>1.0636000000000001</v>
      </c>
      <c r="J539">
        <f t="shared" si="49"/>
        <v>1.0710999999999999</v>
      </c>
      <c r="L539">
        <f t="shared" si="48"/>
        <v>-6.0999999999999943E-3</v>
      </c>
      <c r="W539">
        <f t="shared" si="50"/>
        <v>1.8922286248247992E-2</v>
      </c>
      <c r="X539">
        <f t="shared" si="51"/>
        <v>9.4324791699417435E-3</v>
      </c>
      <c r="Y539">
        <f t="shared" si="51"/>
        <v>-7.0246643771464693E-3</v>
      </c>
      <c r="Z539">
        <f t="shared" si="51"/>
        <v>-3.4225264467952531E-3</v>
      </c>
      <c r="AE539">
        <f>W539-mu-theta*AE538</f>
        <v>2.0413006484247341E-2</v>
      </c>
      <c r="AF539">
        <f t="shared" si="53"/>
        <v>7.2300571308804868E-3</v>
      </c>
      <c r="AG539">
        <f t="shared" si="53"/>
        <v>-8.0668421655145268E-3</v>
      </c>
      <c r="AK539">
        <f t="shared" si="52"/>
        <v>4.1669083372592402E-4</v>
      </c>
    </row>
    <row r="540" spans="1:37" x14ac:dyDescent="0.3">
      <c r="A540" s="1">
        <v>44680</v>
      </c>
      <c r="B540">
        <v>1.0541</v>
      </c>
      <c r="C540">
        <v>1.2571000000000001</v>
      </c>
      <c r="D540">
        <v>129.83000000000001</v>
      </c>
      <c r="G540">
        <v>1.0541</v>
      </c>
      <c r="H540">
        <f t="shared" si="49"/>
        <v>1.0494000000000001</v>
      </c>
      <c r="I540">
        <f t="shared" si="49"/>
        <v>1.0555000000000001</v>
      </c>
      <c r="J540">
        <f t="shared" si="49"/>
        <v>1.0636000000000001</v>
      </c>
      <c r="L540">
        <f t="shared" si="48"/>
        <v>4.6999999999999265E-3</v>
      </c>
      <c r="W540">
        <f t="shared" si="50"/>
        <v>-7.7951853267098341E-3</v>
      </c>
      <c r="X540">
        <f t="shared" si="51"/>
        <v>1.8922286248247992E-2</v>
      </c>
      <c r="Y540">
        <f t="shared" si="51"/>
        <v>9.4324791699417435E-3</v>
      </c>
      <c r="Z540">
        <f t="shared" si="51"/>
        <v>-7.0246643771464693E-3</v>
      </c>
      <c r="AE540">
        <f>W540-mu-theta*AE539</f>
        <v>-3.1216953918620427E-3</v>
      </c>
      <c r="AF540">
        <f t="shared" si="53"/>
        <v>2.0413006484247341E-2</v>
      </c>
      <c r="AG540">
        <f t="shared" si="53"/>
        <v>7.2300571308804868E-3</v>
      </c>
      <c r="AK540">
        <f t="shared" si="52"/>
        <v>9.7449821195727119E-6</v>
      </c>
    </row>
    <row r="541" spans="1:37" x14ac:dyDescent="0.3">
      <c r="A541" s="1">
        <v>44683</v>
      </c>
      <c r="B541">
        <v>1.0504</v>
      </c>
      <c r="C541">
        <v>1.2491000000000001</v>
      </c>
      <c r="D541">
        <v>130.13999999999999</v>
      </c>
      <c r="G541">
        <v>1.0504</v>
      </c>
      <c r="H541">
        <f t="shared" si="49"/>
        <v>1.0541</v>
      </c>
      <c r="I541">
        <f t="shared" si="49"/>
        <v>1.0494000000000001</v>
      </c>
      <c r="J541">
        <f t="shared" si="49"/>
        <v>1.0555000000000001</v>
      </c>
      <c r="L541">
        <f t="shared" si="48"/>
        <v>-3.7000000000000366E-3</v>
      </c>
      <c r="W541">
        <f t="shared" si="50"/>
        <v>2.3877378109833924E-3</v>
      </c>
      <c r="X541">
        <f t="shared" si="51"/>
        <v>-7.7951853267098341E-3</v>
      </c>
      <c r="Y541">
        <f t="shared" si="51"/>
        <v>1.8922286248247992E-2</v>
      </c>
      <c r="Z541">
        <f t="shared" si="51"/>
        <v>9.4324791699417435E-3</v>
      </c>
      <c r="AE541">
        <f>W541-mu-theta*AE540</f>
        <v>1.3792263973558528E-3</v>
      </c>
      <c r="AF541">
        <f t="shared" si="53"/>
        <v>-3.1216953918620427E-3</v>
      </c>
      <c r="AG541">
        <f t="shared" si="53"/>
        <v>2.0413006484247341E-2</v>
      </c>
      <c r="AK541">
        <f t="shared" si="52"/>
        <v>1.9022654551632045E-6</v>
      </c>
    </row>
    <row r="542" spans="1:37" x14ac:dyDescent="0.3">
      <c r="A542" s="1">
        <v>44684</v>
      </c>
      <c r="B542">
        <v>1.052</v>
      </c>
      <c r="C542">
        <v>1.2498</v>
      </c>
      <c r="D542">
        <v>130.1</v>
      </c>
      <c r="G542">
        <v>1.052</v>
      </c>
      <c r="H542">
        <f t="shared" si="49"/>
        <v>1.0504</v>
      </c>
      <c r="I542">
        <f t="shared" si="49"/>
        <v>1.0541</v>
      </c>
      <c r="J542">
        <f t="shared" si="49"/>
        <v>1.0494000000000001</v>
      </c>
      <c r="L542">
        <f t="shared" si="48"/>
        <v>1.6000000000000458E-3</v>
      </c>
      <c r="W542">
        <f t="shared" si="50"/>
        <v>-3.073613032118645E-4</v>
      </c>
      <c r="X542">
        <f t="shared" si="51"/>
        <v>2.3877378109833924E-3</v>
      </c>
      <c r="Y542">
        <f t="shared" si="51"/>
        <v>-7.7951853267098341E-3</v>
      </c>
      <c r="Z542">
        <f t="shared" si="51"/>
        <v>1.8922286248247992E-2</v>
      </c>
      <c r="AE542">
        <f>W542-mu-theta*AE541</f>
        <v>-2.2921167433522519E-4</v>
      </c>
      <c r="AF542">
        <f t="shared" si="53"/>
        <v>1.3792263973558528E-3</v>
      </c>
      <c r="AG542">
        <f t="shared" si="53"/>
        <v>-3.1216953918620427E-3</v>
      </c>
      <c r="AK542">
        <f t="shared" si="52"/>
        <v>5.2537991651557328E-8</v>
      </c>
    </row>
    <row r="543" spans="1:37" x14ac:dyDescent="0.3">
      <c r="A543" s="1">
        <v>44685</v>
      </c>
      <c r="B543">
        <v>1.0621</v>
      </c>
      <c r="C543">
        <v>1.2621</v>
      </c>
      <c r="D543">
        <v>129.07</v>
      </c>
      <c r="G543">
        <v>1.0621</v>
      </c>
      <c r="H543">
        <f t="shared" si="49"/>
        <v>1.052</v>
      </c>
      <c r="I543">
        <f t="shared" si="49"/>
        <v>1.0504</v>
      </c>
      <c r="J543">
        <f t="shared" si="49"/>
        <v>1.0541</v>
      </c>
      <c r="L543">
        <f t="shared" si="48"/>
        <v>1.0099999999999998E-2</v>
      </c>
      <c r="W543">
        <f t="shared" si="50"/>
        <v>-7.9169869331283723E-3</v>
      </c>
      <c r="X543">
        <f t="shared" si="51"/>
        <v>-3.073613032118645E-4</v>
      </c>
      <c r="Y543">
        <f t="shared" si="51"/>
        <v>2.3877378109833924E-3</v>
      </c>
      <c r="Z543">
        <f t="shared" si="51"/>
        <v>-7.7951853267098341E-3</v>
      </c>
      <c r="AE543">
        <f>W543-mu-theta*AE542</f>
        <v>-8.2271637568406691E-3</v>
      </c>
      <c r="AF543">
        <f t="shared" si="53"/>
        <v>-2.2921167433522519E-4</v>
      </c>
      <c r="AG543">
        <f t="shared" si="53"/>
        <v>1.3792263973558528E-3</v>
      </c>
      <c r="AK543">
        <f t="shared" si="52"/>
        <v>6.7686223481872672E-5</v>
      </c>
    </row>
    <row r="544" spans="1:37" x14ac:dyDescent="0.3">
      <c r="A544" s="1">
        <v>44686</v>
      </c>
      <c r="B544">
        <v>1.054</v>
      </c>
      <c r="C544">
        <v>1.2363999999999999</v>
      </c>
      <c r="D544">
        <v>130.13</v>
      </c>
      <c r="G544">
        <v>1.054</v>
      </c>
      <c r="H544">
        <f t="shared" si="49"/>
        <v>1.0621</v>
      </c>
      <c r="I544">
        <f t="shared" si="49"/>
        <v>1.052</v>
      </c>
      <c r="J544">
        <f t="shared" si="49"/>
        <v>1.0504</v>
      </c>
      <c r="L544">
        <f t="shared" si="48"/>
        <v>-8.0999999999999961E-3</v>
      </c>
      <c r="W544">
        <f t="shared" si="50"/>
        <v>8.2125978151390902E-3</v>
      </c>
      <c r="X544">
        <f t="shared" si="51"/>
        <v>-7.9169869331283723E-3</v>
      </c>
      <c r="Y544">
        <f t="shared" si="51"/>
        <v>-3.073613032118645E-4</v>
      </c>
      <c r="Z544">
        <f t="shared" si="51"/>
        <v>2.3877378109833924E-3</v>
      </c>
      <c r="AE544">
        <f>W544-mu-theta*AE543</f>
        <v>5.9714692097954034E-3</v>
      </c>
      <c r="AF544">
        <f t="shared" si="53"/>
        <v>-8.2271637568406691E-3</v>
      </c>
      <c r="AG544">
        <f t="shared" si="53"/>
        <v>-2.2921167433522519E-4</v>
      </c>
      <c r="AK544">
        <f t="shared" si="52"/>
        <v>3.5658444523534542E-5</v>
      </c>
    </row>
    <row r="545" spans="1:37" x14ac:dyDescent="0.3">
      <c r="A545" s="1">
        <v>44687</v>
      </c>
      <c r="B545">
        <v>1.0550999999999999</v>
      </c>
      <c r="C545">
        <v>1.2337</v>
      </c>
      <c r="D545">
        <v>130.56</v>
      </c>
      <c r="G545">
        <v>1.0550999999999999</v>
      </c>
      <c r="H545">
        <f t="shared" si="49"/>
        <v>1.054</v>
      </c>
      <c r="I545">
        <f t="shared" si="49"/>
        <v>1.0621</v>
      </c>
      <c r="J545">
        <f t="shared" si="49"/>
        <v>1.052</v>
      </c>
      <c r="L545">
        <f t="shared" si="48"/>
        <v>1.0999999999998789E-3</v>
      </c>
      <c r="W545">
        <f t="shared" si="50"/>
        <v>3.3043879197725877E-3</v>
      </c>
      <c r="X545">
        <f t="shared" si="51"/>
        <v>8.2125978151390902E-3</v>
      </c>
      <c r="Y545">
        <f t="shared" si="51"/>
        <v>-7.9169869331283723E-3</v>
      </c>
      <c r="Z545">
        <f t="shared" si="51"/>
        <v>-3.073613032118645E-4</v>
      </c>
      <c r="AE545">
        <f>W545-mu-theta*AE544</f>
        <v>4.4912462966999259E-3</v>
      </c>
      <c r="AF545">
        <f t="shared" si="53"/>
        <v>5.9714692097954034E-3</v>
      </c>
      <c r="AG545">
        <f t="shared" si="53"/>
        <v>-8.2271637568406691E-3</v>
      </c>
      <c r="AK545">
        <f t="shared" si="52"/>
        <v>2.01712932976208E-5</v>
      </c>
    </row>
    <row r="546" spans="1:37" x14ac:dyDescent="0.3">
      <c r="A546" s="1">
        <v>44690</v>
      </c>
      <c r="B546">
        <v>1.0555000000000001</v>
      </c>
      <c r="C546">
        <v>1.2331000000000001</v>
      </c>
      <c r="D546">
        <v>130.25</v>
      </c>
      <c r="G546">
        <v>1.0555000000000001</v>
      </c>
      <c r="H546">
        <f t="shared" si="49"/>
        <v>1.0550999999999999</v>
      </c>
      <c r="I546">
        <f t="shared" si="49"/>
        <v>1.054</v>
      </c>
      <c r="J546">
        <f t="shared" si="49"/>
        <v>1.0621</v>
      </c>
      <c r="L546">
        <f t="shared" si="48"/>
        <v>4.0000000000017799E-4</v>
      </c>
      <c r="W546">
        <f t="shared" si="50"/>
        <v>-2.3743872549019784E-3</v>
      </c>
      <c r="X546">
        <f t="shared" si="51"/>
        <v>3.3043879197725877E-3</v>
      </c>
      <c r="Y546">
        <f t="shared" si="51"/>
        <v>8.2125978151390902E-3</v>
      </c>
      <c r="Z546">
        <f t="shared" si="51"/>
        <v>-7.9169869331283723E-3</v>
      </c>
      <c r="AE546">
        <f>W546-mu-theta*AE545</f>
        <v>-1.5449002452656961E-3</v>
      </c>
      <c r="AF546">
        <f t="shared" si="53"/>
        <v>4.4912462966999259E-3</v>
      </c>
      <c r="AG546">
        <f t="shared" si="53"/>
        <v>5.9714692097954034E-3</v>
      </c>
      <c r="AK546">
        <f t="shared" si="52"/>
        <v>2.3867167678220081E-6</v>
      </c>
    </row>
    <row r="547" spans="1:37" x14ac:dyDescent="0.3">
      <c r="A547" s="1">
        <v>44691</v>
      </c>
      <c r="B547">
        <v>1.0527</v>
      </c>
      <c r="C547">
        <v>1.2322</v>
      </c>
      <c r="D547">
        <v>130.43</v>
      </c>
      <c r="G547">
        <v>1.0527</v>
      </c>
      <c r="H547">
        <f t="shared" si="49"/>
        <v>1.0555000000000001</v>
      </c>
      <c r="I547">
        <f t="shared" si="49"/>
        <v>1.0550999999999999</v>
      </c>
      <c r="J547">
        <f t="shared" si="49"/>
        <v>1.054</v>
      </c>
      <c r="L547">
        <f t="shared" si="48"/>
        <v>-2.8000000000001357E-3</v>
      </c>
      <c r="W547">
        <f t="shared" si="50"/>
        <v>1.3819577735125284E-3</v>
      </c>
      <c r="X547">
        <f t="shared" si="51"/>
        <v>-2.3743872549019784E-3</v>
      </c>
      <c r="Y547">
        <f t="shared" si="51"/>
        <v>3.3043879197725877E-3</v>
      </c>
      <c r="Z547">
        <f t="shared" si="51"/>
        <v>8.2125978151390902E-3</v>
      </c>
      <c r="AE547">
        <f>W547-mu-theta*AE546</f>
        <v>7.5413323649780196E-4</v>
      </c>
      <c r="AF547">
        <f t="shared" si="53"/>
        <v>-1.5449002452656961E-3</v>
      </c>
      <c r="AG547">
        <f t="shared" si="53"/>
        <v>4.4912462966999259E-3</v>
      </c>
      <c r="AK547">
        <f t="shared" si="52"/>
        <v>5.6871693839064967E-7</v>
      </c>
    </row>
    <row r="548" spans="1:37" x14ac:dyDescent="0.3">
      <c r="A548" s="1">
        <v>44692</v>
      </c>
      <c r="B548">
        <v>1.0510999999999999</v>
      </c>
      <c r="C548">
        <v>1.2250000000000001</v>
      </c>
      <c r="D548">
        <v>129.96</v>
      </c>
      <c r="G548">
        <v>1.0510999999999999</v>
      </c>
      <c r="H548">
        <f t="shared" si="49"/>
        <v>1.0527</v>
      </c>
      <c r="I548">
        <f t="shared" si="49"/>
        <v>1.0555000000000001</v>
      </c>
      <c r="J548">
        <f t="shared" si="49"/>
        <v>1.0550999999999999</v>
      </c>
      <c r="L548">
        <f t="shared" si="48"/>
        <v>-1.6000000000000458E-3</v>
      </c>
      <c r="W548">
        <f t="shared" si="50"/>
        <v>-3.6034654604002059E-3</v>
      </c>
      <c r="X548">
        <f t="shared" si="51"/>
        <v>1.3819577735125284E-3</v>
      </c>
      <c r="Y548">
        <f t="shared" si="51"/>
        <v>-2.3743872549019784E-3</v>
      </c>
      <c r="Z548">
        <f t="shared" si="51"/>
        <v>3.3043879197725877E-3</v>
      </c>
      <c r="AE548">
        <f>W548-mu-theta*AE547</f>
        <v>-3.6762325587298564E-3</v>
      </c>
      <c r="AF548">
        <f t="shared" si="53"/>
        <v>7.5413323649780196E-4</v>
      </c>
      <c r="AG548">
        <f t="shared" si="53"/>
        <v>-1.5449002452656961E-3</v>
      </c>
      <c r="AK548">
        <f t="shared" si="52"/>
        <v>1.3514685825865467E-5</v>
      </c>
    </row>
    <row r="549" spans="1:37" x14ac:dyDescent="0.3">
      <c r="A549" s="1">
        <v>44693</v>
      </c>
      <c r="B549">
        <v>1.0379</v>
      </c>
      <c r="C549">
        <v>1.2199</v>
      </c>
      <c r="D549">
        <v>128.32</v>
      </c>
      <c r="G549">
        <v>1.0379</v>
      </c>
      <c r="H549">
        <f t="shared" si="49"/>
        <v>1.0510999999999999</v>
      </c>
      <c r="I549">
        <f t="shared" si="49"/>
        <v>1.0527</v>
      </c>
      <c r="J549">
        <f t="shared" si="49"/>
        <v>1.0555000000000001</v>
      </c>
      <c r="L549">
        <f t="shared" si="48"/>
        <v>-1.3199999999999878E-2</v>
      </c>
      <c r="W549">
        <f t="shared" si="50"/>
        <v>-1.261926746691301E-2</v>
      </c>
      <c r="X549">
        <f t="shared" si="51"/>
        <v>-3.6034654604002059E-3</v>
      </c>
      <c r="Y549">
        <f t="shared" si="51"/>
        <v>1.3819577735125284E-3</v>
      </c>
      <c r="Z549">
        <f t="shared" si="51"/>
        <v>-2.3743872549019784E-3</v>
      </c>
      <c r="AE549">
        <f>W549-mu-theta*AE548</f>
        <v>-1.3761661219331554E-2</v>
      </c>
      <c r="AF549">
        <f t="shared" si="53"/>
        <v>-3.6762325587298564E-3</v>
      </c>
      <c r="AG549">
        <f t="shared" si="53"/>
        <v>7.5413323649780196E-4</v>
      </c>
      <c r="AK549">
        <f t="shared" si="52"/>
        <v>1.8938331951565403E-4</v>
      </c>
    </row>
    <row r="550" spans="1:37" x14ac:dyDescent="0.3">
      <c r="A550" s="1">
        <v>44694</v>
      </c>
      <c r="B550">
        <v>1.0410999999999999</v>
      </c>
      <c r="C550">
        <v>1.2261</v>
      </c>
      <c r="D550">
        <v>129.19</v>
      </c>
      <c r="G550">
        <v>1.0410999999999999</v>
      </c>
      <c r="H550">
        <f t="shared" si="49"/>
        <v>1.0379</v>
      </c>
      <c r="I550">
        <f t="shared" si="49"/>
        <v>1.0510999999999999</v>
      </c>
      <c r="J550">
        <f t="shared" si="49"/>
        <v>1.0527</v>
      </c>
      <c r="L550">
        <f t="shared" si="48"/>
        <v>3.1999999999998696E-3</v>
      </c>
      <c r="W550">
        <f t="shared" si="50"/>
        <v>6.7799251870324546E-3</v>
      </c>
      <c r="X550">
        <f t="shared" si="51"/>
        <v>-1.261926746691301E-2</v>
      </c>
      <c r="Y550">
        <f t="shared" si="51"/>
        <v>-3.6034654604002059E-3</v>
      </c>
      <c r="Z550">
        <f t="shared" si="51"/>
        <v>1.3819577735125284E-3</v>
      </c>
      <c r="AE550">
        <f>W550-mu-theta*AE549</f>
        <v>3.2025985618222359E-3</v>
      </c>
      <c r="AF550">
        <f t="shared" si="53"/>
        <v>-1.3761661219331554E-2</v>
      </c>
      <c r="AG550">
        <f t="shared" si="53"/>
        <v>-3.6762325587298564E-3</v>
      </c>
      <c r="AK550">
        <f t="shared" si="52"/>
        <v>1.0256637548185855E-5</v>
      </c>
    </row>
    <row r="551" spans="1:37" x14ac:dyDescent="0.3">
      <c r="A551" s="1">
        <v>44697</v>
      </c>
      <c r="B551">
        <v>1.0430999999999999</v>
      </c>
      <c r="C551">
        <v>1.2317</v>
      </c>
      <c r="D551">
        <v>129.16</v>
      </c>
      <c r="G551">
        <v>1.0430999999999999</v>
      </c>
      <c r="H551">
        <f t="shared" si="49"/>
        <v>1.0410999999999999</v>
      </c>
      <c r="I551">
        <f t="shared" si="49"/>
        <v>1.0379</v>
      </c>
      <c r="J551">
        <f t="shared" si="49"/>
        <v>1.0510999999999999</v>
      </c>
      <c r="L551">
        <f t="shared" si="48"/>
        <v>2.0000000000000018E-3</v>
      </c>
      <c r="W551">
        <f t="shared" si="50"/>
        <v>-2.3221611579844523E-4</v>
      </c>
      <c r="X551">
        <f t="shared" si="51"/>
        <v>6.7799251870324546E-3</v>
      </c>
      <c r="Y551">
        <f t="shared" si="51"/>
        <v>-1.261926746691301E-2</v>
      </c>
      <c r="Z551">
        <f t="shared" si="51"/>
        <v>-3.6034654604002059E-3</v>
      </c>
      <c r="AE551">
        <f>W551-mu-theta*AE550</f>
        <v>2.8615167058064592E-4</v>
      </c>
      <c r="AF551">
        <f t="shared" si="53"/>
        <v>3.2025985618222359E-3</v>
      </c>
      <c r="AG551">
        <f t="shared" si="53"/>
        <v>-1.3761661219331554E-2</v>
      </c>
      <c r="AK551">
        <f t="shared" si="52"/>
        <v>8.1882778576094498E-8</v>
      </c>
    </row>
    <row r="552" spans="1:37" x14ac:dyDescent="0.3">
      <c r="A552" s="1">
        <v>44698</v>
      </c>
      <c r="B552">
        <v>1.0547</v>
      </c>
      <c r="C552">
        <v>1.2490000000000001</v>
      </c>
      <c r="D552">
        <v>129.38999999999999</v>
      </c>
      <c r="G552">
        <v>1.0547</v>
      </c>
      <c r="H552">
        <f t="shared" si="49"/>
        <v>1.0430999999999999</v>
      </c>
      <c r="I552">
        <f t="shared" si="49"/>
        <v>1.0410999999999999</v>
      </c>
      <c r="J552">
        <f t="shared" si="49"/>
        <v>1.0379</v>
      </c>
      <c r="L552">
        <f t="shared" si="48"/>
        <v>1.1600000000000055E-2</v>
      </c>
      <c r="W552">
        <f t="shared" si="50"/>
        <v>1.7807370703003234E-3</v>
      </c>
      <c r="X552">
        <f t="shared" si="51"/>
        <v>-2.3221611579844523E-4</v>
      </c>
      <c r="Y552">
        <f t="shared" si="51"/>
        <v>6.7799251870324546E-3</v>
      </c>
      <c r="Z552">
        <f t="shared" si="51"/>
        <v>-1.261926746691301E-2</v>
      </c>
      <c r="AE552">
        <f>W552-mu-theta*AE551</f>
        <v>1.5949848191269839E-3</v>
      </c>
      <c r="AF552">
        <f t="shared" si="53"/>
        <v>2.8615167058064592E-4</v>
      </c>
      <c r="AG552">
        <f t="shared" si="53"/>
        <v>3.2025985618222359E-3</v>
      </c>
      <c r="AK552">
        <f t="shared" si="52"/>
        <v>2.5439765732455376E-6</v>
      </c>
    </row>
    <row r="553" spans="1:37" x14ac:dyDescent="0.3">
      <c r="A553" s="1">
        <v>44699</v>
      </c>
      <c r="B553">
        <v>1.0466</v>
      </c>
      <c r="C553">
        <v>1.2338</v>
      </c>
      <c r="D553">
        <v>128.22</v>
      </c>
      <c r="G553">
        <v>1.0466</v>
      </c>
      <c r="H553">
        <f t="shared" si="49"/>
        <v>1.0547</v>
      </c>
      <c r="I553">
        <f t="shared" si="49"/>
        <v>1.0430999999999999</v>
      </c>
      <c r="J553">
        <f t="shared" si="49"/>
        <v>1.0410999999999999</v>
      </c>
      <c r="L553">
        <f t="shared" si="48"/>
        <v>-8.0999999999999961E-3</v>
      </c>
      <c r="W553">
        <f t="shared" si="50"/>
        <v>-9.0424298632041707E-3</v>
      </c>
      <c r="X553">
        <f t="shared" si="51"/>
        <v>1.7807370703003234E-3</v>
      </c>
      <c r="Y553">
        <f t="shared" si="51"/>
        <v>-2.3221611579844523E-4</v>
      </c>
      <c r="Z553">
        <f t="shared" si="51"/>
        <v>6.7799251870324546E-3</v>
      </c>
      <c r="AE553">
        <f>W553-mu-theta*AE552</f>
        <v>-8.9121895110244684E-3</v>
      </c>
      <c r="AF553">
        <f t="shared" si="53"/>
        <v>1.5949848191269839E-3</v>
      </c>
      <c r="AG553">
        <f t="shared" si="53"/>
        <v>2.8615167058064592E-4</v>
      </c>
      <c r="AK553">
        <f t="shared" si="52"/>
        <v>7.9427121880414558E-5</v>
      </c>
    </row>
    <row r="554" spans="1:37" x14ac:dyDescent="0.3">
      <c r="A554" s="1">
        <v>44700</v>
      </c>
      <c r="B554">
        <v>1.0586</v>
      </c>
      <c r="C554">
        <v>1.246</v>
      </c>
      <c r="D554">
        <v>127.8</v>
      </c>
      <c r="G554">
        <v>1.0586</v>
      </c>
      <c r="H554">
        <f t="shared" si="49"/>
        <v>1.0466</v>
      </c>
      <c r="I554">
        <f t="shared" si="49"/>
        <v>1.0547</v>
      </c>
      <c r="J554">
        <f t="shared" si="49"/>
        <v>1.0430999999999999</v>
      </c>
      <c r="L554">
        <f t="shared" si="48"/>
        <v>1.2000000000000011E-2</v>
      </c>
      <c r="W554">
        <f t="shared" si="50"/>
        <v>-3.2756200280767566E-3</v>
      </c>
      <c r="X554">
        <f t="shared" si="51"/>
        <v>-9.0424298632041707E-3</v>
      </c>
      <c r="Y554">
        <f t="shared" si="51"/>
        <v>1.7807370703003234E-3</v>
      </c>
      <c r="Z554">
        <f t="shared" si="51"/>
        <v>-2.3221611579844523E-4</v>
      </c>
      <c r="AE554">
        <f>W554-mu-theta*AE553</f>
        <v>-5.6821349331705948E-3</v>
      </c>
      <c r="AF554">
        <f t="shared" si="53"/>
        <v>-8.9121895110244684E-3</v>
      </c>
      <c r="AG554">
        <f t="shared" si="53"/>
        <v>1.5949848191269839E-3</v>
      </c>
      <c r="AK554">
        <f t="shared" si="52"/>
        <v>3.2286657398757598E-5</v>
      </c>
    </row>
    <row r="555" spans="1:37" x14ac:dyDescent="0.3">
      <c r="A555" s="1">
        <v>44701</v>
      </c>
      <c r="B555">
        <v>1.056</v>
      </c>
      <c r="C555">
        <v>1.2486999999999999</v>
      </c>
      <c r="D555">
        <v>127.85</v>
      </c>
      <c r="G555">
        <v>1.056</v>
      </c>
      <c r="H555">
        <f t="shared" si="49"/>
        <v>1.0586</v>
      </c>
      <c r="I555">
        <f t="shared" si="49"/>
        <v>1.0466</v>
      </c>
      <c r="J555">
        <f t="shared" si="49"/>
        <v>1.0547</v>
      </c>
      <c r="L555">
        <f t="shared" si="48"/>
        <v>-2.5999999999999357E-3</v>
      </c>
      <c r="W555">
        <f t="shared" si="50"/>
        <v>3.9123630672924226E-4</v>
      </c>
      <c r="X555">
        <f t="shared" si="51"/>
        <v>-3.2756200280767566E-3</v>
      </c>
      <c r="Y555">
        <f t="shared" si="51"/>
        <v>-9.0424298632041707E-3</v>
      </c>
      <c r="Z555">
        <f t="shared" si="51"/>
        <v>1.7807370703003234E-3</v>
      </c>
      <c r="AE555">
        <f>W555-mu-theta*AE554</f>
        <v>-1.2354440135192554E-3</v>
      </c>
      <c r="AF555">
        <f t="shared" si="53"/>
        <v>-5.6821349331705948E-3</v>
      </c>
      <c r="AG555">
        <f t="shared" si="53"/>
        <v>-8.9121895110244684E-3</v>
      </c>
      <c r="AK555">
        <f t="shared" si="52"/>
        <v>1.5263219105405662E-6</v>
      </c>
    </row>
    <row r="556" spans="1:37" x14ac:dyDescent="0.3">
      <c r="A556" s="1">
        <v>44704</v>
      </c>
      <c r="B556">
        <v>1.0689</v>
      </c>
      <c r="C556">
        <v>1.2587999999999999</v>
      </c>
      <c r="D556">
        <v>127.87</v>
      </c>
      <c r="G556">
        <v>1.0689</v>
      </c>
      <c r="H556">
        <f t="shared" si="49"/>
        <v>1.056</v>
      </c>
      <c r="I556">
        <f t="shared" si="49"/>
        <v>1.0586</v>
      </c>
      <c r="J556">
        <f t="shared" si="49"/>
        <v>1.0466</v>
      </c>
      <c r="L556">
        <f t="shared" si="48"/>
        <v>1.2899999999999912E-2</v>
      </c>
      <c r="W556">
        <f t="shared" si="50"/>
        <v>1.5643332029730334E-4</v>
      </c>
      <c r="X556">
        <f t="shared" si="51"/>
        <v>3.9123630672924226E-4</v>
      </c>
      <c r="Y556">
        <f t="shared" si="51"/>
        <v>-3.2756200280767566E-3</v>
      </c>
      <c r="Z556">
        <f t="shared" si="51"/>
        <v>-9.0424298632041707E-3</v>
      </c>
      <c r="AE556">
        <f>W556-mu-theta*AE555</f>
        <v>-3.966789583963482E-4</v>
      </c>
      <c r="AF556">
        <f t="shared" si="53"/>
        <v>-1.2354440135192554E-3</v>
      </c>
      <c r="AG556">
        <f t="shared" si="53"/>
        <v>-5.6821349331705948E-3</v>
      </c>
      <c r="AK556">
        <f t="shared" si="52"/>
        <v>1.5735419603441174E-7</v>
      </c>
    </row>
    <row r="557" spans="1:37" x14ac:dyDescent="0.3">
      <c r="A557" s="1">
        <v>44705</v>
      </c>
      <c r="B557">
        <v>1.0733999999999999</v>
      </c>
      <c r="C557">
        <v>1.2528999999999999</v>
      </c>
      <c r="D557">
        <v>126.8</v>
      </c>
      <c r="G557">
        <v>1.0733999999999999</v>
      </c>
      <c r="H557">
        <f t="shared" si="49"/>
        <v>1.0689</v>
      </c>
      <c r="I557">
        <f t="shared" si="49"/>
        <v>1.056</v>
      </c>
      <c r="J557">
        <f t="shared" si="49"/>
        <v>1.0586</v>
      </c>
      <c r="L557">
        <f t="shared" si="48"/>
        <v>4.4999999999999485E-3</v>
      </c>
      <c r="W557">
        <f t="shared" si="50"/>
        <v>-8.3678736216470425E-3</v>
      </c>
      <c r="X557">
        <f t="shared" si="51"/>
        <v>1.5643332029730334E-4</v>
      </c>
      <c r="Y557">
        <f t="shared" si="51"/>
        <v>3.9123630672924226E-4</v>
      </c>
      <c r="Z557">
        <f t="shared" si="51"/>
        <v>-3.2756200280767566E-3</v>
      </c>
      <c r="AE557">
        <f>W557-mu-theta*AE556</f>
        <v>-8.7184822017873555E-3</v>
      </c>
      <c r="AF557">
        <f t="shared" si="53"/>
        <v>-3.966789583963482E-4</v>
      </c>
      <c r="AG557">
        <f t="shared" si="53"/>
        <v>-1.2354440135192554E-3</v>
      </c>
      <c r="AK557">
        <f t="shared" si="52"/>
        <v>7.6011931902882893E-5</v>
      </c>
    </row>
    <row r="558" spans="1:37" x14ac:dyDescent="0.3">
      <c r="A558" s="1">
        <v>44706</v>
      </c>
      <c r="B558">
        <v>1.0680000000000001</v>
      </c>
      <c r="C558">
        <v>1.2564</v>
      </c>
      <c r="D558">
        <v>127.31</v>
      </c>
      <c r="G558">
        <v>1.0680000000000001</v>
      </c>
      <c r="H558">
        <f t="shared" si="49"/>
        <v>1.0733999999999999</v>
      </c>
      <c r="I558">
        <f t="shared" si="49"/>
        <v>1.0689</v>
      </c>
      <c r="J558">
        <f t="shared" si="49"/>
        <v>1.056</v>
      </c>
      <c r="L558">
        <f t="shared" si="48"/>
        <v>-5.3999999999998494E-3</v>
      </c>
      <c r="W558">
        <f t="shared" si="50"/>
        <v>4.0220820189274852E-3</v>
      </c>
      <c r="X558">
        <f t="shared" si="51"/>
        <v>-8.3678736216470425E-3</v>
      </c>
      <c r="Y558">
        <f t="shared" si="51"/>
        <v>1.5643332029730334E-4</v>
      </c>
      <c r="Z558">
        <f t="shared" si="51"/>
        <v>3.9123630672924226E-4</v>
      </c>
      <c r="AE558">
        <f>W558-mu-theta*AE557</f>
        <v>1.662334019915091E-3</v>
      </c>
      <c r="AF558">
        <f t="shared" si="53"/>
        <v>-8.7184822017873555E-3</v>
      </c>
      <c r="AG558">
        <f t="shared" si="53"/>
        <v>-3.966789583963482E-4</v>
      </c>
      <c r="AK558">
        <f t="shared" si="52"/>
        <v>2.763354393767066E-6</v>
      </c>
    </row>
    <row r="559" spans="1:37" x14ac:dyDescent="0.3">
      <c r="A559" s="1">
        <v>44707</v>
      </c>
      <c r="B559">
        <v>1.0724</v>
      </c>
      <c r="C559">
        <v>1.2594000000000001</v>
      </c>
      <c r="D559">
        <v>127.14</v>
      </c>
      <c r="G559">
        <v>1.0724</v>
      </c>
      <c r="H559">
        <f t="shared" si="49"/>
        <v>1.0680000000000001</v>
      </c>
      <c r="I559">
        <f t="shared" si="49"/>
        <v>1.0733999999999999</v>
      </c>
      <c r="J559">
        <f t="shared" si="49"/>
        <v>1.0689</v>
      </c>
      <c r="L559">
        <f t="shared" si="48"/>
        <v>4.3999999999999595E-3</v>
      </c>
      <c r="W559">
        <f t="shared" si="50"/>
        <v>-1.3353232267693167E-3</v>
      </c>
      <c r="X559">
        <f t="shared" si="51"/>
        <v>4.0220820189274852E-3</v>
      </c>
      <c r="Y559">
        <f t="shared" si="51"/>
        <v>-8.3678736216470425E-3</v>
      </c>
      <c r="Z559">
        <f t="shared" si="51"/>
        <v>1.5643332029730334E-4</v>
      </c>
      <c r="AE559">
        <f>W559-mu-theta*AE558</f>
        <v>-1.1888227047471738E-3</v>
      </c>
      <c r="AF559">
        <f t="shared" si="53"/>
        <v>1.662334019915091E-3</v>
      </c>
      <c r="AG559">
        <f t="shared" si="53"/>
        <v>-8.7184822017873555E-3</v>
      </c>
      <c r="AK559">
        <f t="shared" si="52"/>
        <v>1.4132994233223858E-6</v>
      </c>
    </row>
    <row r="560" spans="1:37" x14ac:dyDescent="0.3">
      <c r="A560" s="1">
        <v>44708</v>
      </c>
      <c r="B560">
        <v>1.0727</v>
      </c>
      <c r="C560">
        <v>1.2616000000000001</v>
      </c>
      <c r="D560">
        <v>127.11</v>
      </c>
      <c r="G560">
        <v>1.0727</v>
      </c>
      <c r="H560">
        <f t="shared" si="49"/>
        <v>1.0724</v>
      </c>
      <c r="I560">
        <f t="shared" si="49"/>
        <v>1.0680000000000001</v>
      </c>
      <c r="J560">
        <f t="shared" si="49"/>
        <v>1.0733999999999999</v>
      </c>
      <c r="L560">
        <f t="shared" si="48"/>
        <v>2.9999999999996696E-4</v>
      </c>
      <c r="W560">
        <f t="shared" si="50"/>
        <v>-2.3596035865975412E-4</v>
      </c>
      <c r="X560">
        <f t="shared" si="51"/>
        <v>-1.3353232267693167E-3</v>
      </c>
      <c r="Y560">
        <f t="shared" si="51"/>
        <v>4.0220820189274852E-3</v>
      </c>
      <c r="Z560">
        <f t="shared" si="51"/>
        <v>-8.3678736216470425E-3</v>
      </c>
      <c r="AE560">
        <f>W560-mu-theta*AE559</f>
        <v>-7.7781681857545196E-4</v>
      </c>
      <c r="AF560">
        <f t="shared" si="53"/>
        <v>-1.1888227047471738E-3</v>
      </c>
      <c r="AG560">
        <f t="shared" si="53"/>
        <v>1.662334019915091E-3</v>
      </c>
      <c r="AK560">
        <f t="shared" si="52"/>
        <v>6.0499900325883751E-7</v>
      </c>
    </row>
    <row r="561" spans="1:37" x14ac:dyDescent="0.3">
      <c r="A561" s="1">
        <v>44711</v>
      </c>
      <c r="B561">
        <v>1.0777000000000001</v>
      </c>
      <c r="C561">
        <v>1.2649999999999999</v>
      </c>
      <c r="D561">
        <v>127.55</v>
      </c>
      <c r="G561">
        <v>1.0777000000000001</v>
      </c>
      <c r="H561">
        <f t="shared" si="49"/>
        <v>1.0727</v>
      </c>
      <c r="I561">
        <f t="shared" si="49"/>
        <v>1.0724</v>
      </c>
      <c r="J561">
        <f t="shared" si="49"/>
        <v>1.0680000000000001</v>
      </c>
      <c r="L561">
        <f t="shared" si="48"/>
        <v>5.0000000000001155E-3</v>
      </c>
      <c r="W561">
        <f t="shared" si="50"/>
        <v>3.4615687200062759E-3</v>
      </c>
      <c r="X561">
        <f t="shared" si="51"/>
        <v>-2.3596035865975412E-4</v>
      </c>
      <c r="Y561">
        <f t="shared" si="51"/>
        <v>-1.3353232267693167E-3</v>
      </c>
      <c r="Z561">
        <f t="shared" si="51"/>
        <v>4.0220820189274852E-3</v>
      </c>
      <c r="AE561">
        <f>W561-mu-theta*AE560</f>
        <v>3.0189417303321227E-3</v>
      </c>
      <c r="AF561">
        <f t="shared" si="53"/>
        <v>-7.7781681857545196E-4</v>
      </c>
      <c r="AG561">
        <f t="shared" si="53"/>
        <v>-1.1888227047471738E-3</v>
      </c>
      <c r="AK561">
        <f t="shared" si="52"/>
        <v>9.1140091711407106E-6</v>
      </c>
    </row>
    <row r="562" spans="1:37" x14ac:dyDescent="0.3">
      <c r="A562" s="1">
        <v>44712</v>
      </c>
      <c r="B562">
        <v>1.0732999999999999</v>
      </c>
      <c r="C562">
        <v>1.26</v>
      </c>
      <c r="D562">
        <v>128.68</v>
      </c>
      <c r="G562">
        <v>1.0732999999999999</v>
      </c>
      <c r="H562">
        <f t="shared" si="49"/>
        <v>1.0777000000000001</v>
      </c>
      <c r="I562">
        <f t="shared" si="49"/>
        <v>1.0727</v>
      </c>
      <c r="J562">
        <f t="shared" si="49"/>
        <v>1.0724</v>
      </c>
      <c r="L562">
        <f t="shared" si="48"/>
        <v>-4.4000000000001815E-3</v>
      </c>
      <c r="W562">
        <f t="shared" si="50"/>
        <v>8.8592708741670693E-3</v>
      </c>
      <c r="X562">
        <f t="shared" si="51"/>
        <v>3.4615687200062759E-3</v>
      </c>
      <c r="Y562">
        <f t="shared" si="51"/>
        <v>-2.3596035865975412E-4</v>
      </c>
      <c r="Z562">
        <f t="shared" si="51"/>
        <v>-1.3353232267693167E-3</v>
      </c>
      <c r="AE562">
        <f>W562-mu-theta*AE561</f>
        <v>9.3332982491112979E-3</v>
      </c>
      <c r="AF562">
        <f t="shared" si="53"/>
        <v>3.0189417303321227E-3</v>
      </c>
      <c r="AG562">
        <f t="shared" si="53"/>
        <v>-7.7781681857545196E-4</v>
      </c>
      <c r="AK562">
        <f t="shared" si="52"/>
        <v>8.7110456206864018E-5</v>
      </c>
    </row>
    <row r="563" spans="1:37" x14ac:dyDescent="0.3">
      <c r="A563" s="1">
        <v>44713</v>
      </c>
      <c r="B563">
        <v>1.0646</v>
      </c>
      <c r="C563">
        <v>1.2482</v>
      </c>
      <c r="D563">
        <v>130.11000000000001</v>
      </c>
      <c r="G563">
        <v>1.0646</v>
      </c>
      <c r="H563">
        <f t="shared" si="49"/>
        <v>1.0732999999999999</v>
      </c>
      <c r="I563">
        <f t="shared" si="49"/>
        <v>1.0777000000000001</v>
      </c>
      <c r="J563">
        <f t="shared" si="49"/>
        <v>1.0727</v>
      </c>
      <c r="L563">
        <f t="shared" si="48"/>
        <v>-8.69999999999993E-3</v>
      </c>
      <c r="W563">
        <f t="shared" si="50"/>
        <v>1.111283804787074E-2</v>
      </c>
      <c r="X563">
        <f t="shared" si="51"/>
        <v>8.8592708741670693E-3</v>
      </c>
      <c r="Y563">
        <f t="shared" si="51"/>
        <v>3.4615687200062759E-3</v>
      </c>
      <c r="Z563">
        <f t="shared" si="51"/>
        <v>-2.3596035865975412E-4</v>
      </c>
      <c r="AE563">
        <f>W563-mu-theta*AE562</f>
        <v>1.3111345420196114E-2</v>
      </c>
      <c r="AF563">
        <f t="shared" si="53"/>
        <v>9.3332982491112979E-3</v>
      </c>
      <c r="AG563">
        <f t="shared" si="53"/>
        <v>3.0189417303321227E-3</v>
      </c>
      <c r="AK563">
        <f t="shared" si="52"/>
        <v>1.7190737872769762E-4</v>
      </c>
    </row>
    <row r="564" spans="1:37" x14ac:dyDescent="0.3">
      <c r="A564" s="1">
        <v>44714</v>
      </c>
      <c r="B564">
        <v>1.0745</v>
      </c>
      <c r="C564">
        <v>1.2576000000000001</v>
      </c>
      <c r="D564">
        <v>129.83000000000001</v>
      </c>
      <c r="G564">
        <v>1.0745</v>
      </c>
      <c r="H564">
        <f t="shared" si="49"/>
        <v>1.0646</v>
      </c>
      <c r="I564">
        <f t="shared" si="49"/>
        <v>1.0732999999999999</v>
      </c>
      <c r="J564">
        <f t="shared" si="49"/>
        <v>1.0777000000000001</v>
      </c>
      <c r="L564">
        <f t="shared" si="48"/>
        <v>9.9000000000000199E-3</v>
      </c>
      <c r="W564">
        <f t="shared" si="50"/>
        <v>-2.1520252094381761E-3</v>
      </c>
      <c r="X564">
        <f t="shared" si="51"/>
        <v>1.111283804787074E-2</v>
      </c>
      <c r="Y564">
        <f t="shared" si="51"/>
        <v>8.8592708741670693E-3</v>
      </c>
      <c r="Z564">
        <f t="shared" si="51"/>
        <v>3.4615687200062759E-3</v>
      </c>
      <c r="AE564">
        <f>W564-mu-theta*AE563</f>
        <v>7.5861902502858021E-4</v>
      </c>
      <c r="AF564">
        <f t="shared" si="53"/>
        <v>1.3111345420196114E-2</v>
      </c>
      <c r="AG564">
        <f t="shared" si="53"/>
        <v>9.3332982491112979E-3</v>
      </c>
      <c r="AK564">
        <f t="shared" si="52"/>
        <v>5.7550282513531363E-7</v>
      </c>
    </row>
    <row r="565" spans="1:37" x14ac:dyDescent="0.3">
      <c r="A565" s="1">
        <v>44715</v>
      </c>
      <c r="B565">
        <v>1.0718000000000001</v>
      </c>
      <c r="C565">
        <v>1.2484999999999999</v>
      </c>
      <c r="D565">
        <v>130.86000000000001</v>
      </c>
      <c r="G565">
        <v>1.0718000000000001</v>
      </c>
      <c r="H565">
        <f t="shared" si="49"/>
        <v>1.0745</v>
      </c>
      <c r="I565">
        <f t="shared" si="49"/>
        <v>1.0646</v>
      </c>
      <c r="J565">
        <f t="shared" si="49"/>
        <v>1.0732999999999999</v>
      </c>
      <c r="L565">
        <f t="shared" si="48"/>
        <v>-2.6999999999999247E-3</v>
      </c>
      <c r="W565">
        <f t="shared" si="50"/>
        <v>7.9334514364938838E-3</v>
      </c>
      <c r="X565">
        <f t="shared" si="51"/>
        <v>-2.1520252094381761E-3</v>
      </c>
      <c r="Y565">
        <f t="shared" si="51"/>
        <v>1.111283804787074E-2</v>
      </c>
      <c r="Z565">
        <f t="shared" si="51"/>
        <v>8.8592708741670693E-3</v>
      </c>
      <c r="AE565">
        <f>W565-mu-theta*AE564</f>
        <v>7.861767345572401E-3</v>
      </c>
      <c r="AF565">
        <f t="shared" si="53"/>
        <v>7.5861902502858021E-4</v>
      </c>
      <c r="AG565">
        <f t="shared" si="53"/>
        <v>1.3111345420196114E-2</v>
      </c>
      <c r="AK565">
        <f t="shared" si="52"/>
        <v>6.1807385795908511E-5</v>
      </c>
    </row>
    <row r="566" spans="1:37" x14ac:dyDescent="0.3">
      <c r="A566" s="1">
        <v>44718</v>
      </c>
      <c r="B566">
        <v>1.0693999999999999</v>
      </c>
      <c r="C566">
        <v>1.2529999999999999</v>
      </c>
      <c r="D566">
        <v>131.87</v>
      </c>
      <c r="G566">
        <v>1.0693999999999999</v>
      </c>
      <c r="H566">
        <f t="shared" si="49"/>
        <v>1.0718000000000001</v>
      </c>
      <c r="I566">
        <f t="shared" si="49"/>
        <v>1.0745</v>
      </c>
      <c r="J566">
        <f t="shared" si="49"/>
        <v>1.0646</v>
      </c>
      <c r="L566">
        <f t="shared" si="48"/>
        <v>-2.4000000000001798E-3</v>
      </c>
      <c r="W566">
        <f t="shared" si="50"/>
        <v>7.718172092312325E-3</v>
      </c>
      <c r="X566">
        <f t="shared" si="51"/>
        <v>7.9334514364938838E-3</v>
      </c>
      <c r="Y566">
        <f t="shared" si="51"/>
        <v>-2.1520252094381761E-3</v>
      </c>
      <c r="Z566">
        <f t="shared" si="51"/>
        <v>1.111283804787074E-2</v>
      </c>
      <c r="AE566">
        <f>W566-mu-theta*AE565</f>
        <v>9.3614066159631703E-3</v>
      </c>
      <c r="AF566">
        <f t="shared" si="53"/>
        <v>7.861767345572401E-3</v>
      </c>
      <c r="AG566">
        <f t="shared" si="53"/>
        <v>7.5861902502858021E-4</v>
      </c>
      <c r="AK566">
        <f t="shared" si="52"/>
        <v>8.7635933829399018E-5</v>
      </c>
    </row>
    <row r="567" spans="1:37" x14ac:dyDescent="0.3">
      <c r="A567" s="1">
        <v>44719</v>
      </c>
      <c r="B567">
        <v>1.0699000000000001</v>
      </c>
      <c r="C567">
        <v>1.2587999999999999</v>
      </c>
      <c r="D567">
        <v>132.58000000000001</v>
      </c>
      <c r="G567">
        <v>1.0699000000000001</v>
      </c>
      <c r="H567">
        <f t="shared" si="49"/>
        <v>1.0693999999999999</v>
      </c>
      <c r="I567">
        <f t="shared" si="49"/>
        <v>1.0718000000000001</v>
      </c>
      <c r="J567">
        <f t="shared" si="49"/>
        <v>1.0745</v>
      </c>
      <c r="L567">
        <f t="shared" si="48"/>
        <v>5.0000000000016698E-4</v>
      </c>
      <c r="W567">
        <f t="shared" si="50"/>
        <v>5.3840903920528392E-3</v>
      </c>
      <c r="X567">
        <f t="shared" si="51"/>
        <v>7.718172092312325E-3</v>
      </c>
      <c r="Y567">
        <f t="shared" si="51"/>
        <v>7.9334514364938838E-3</v>
      </c>
      <c r="Z567">
        <f t="shared" si="51"/>
        <v>-2.1520252094381761E-3</v>
      </c>
      <c r="AE567">
        <f>W567-mu-theta*AE566</f>
        <v>7.3893839892132038E-3</v>
      </c>
      <c r="AF567">
        <f t="shared" si="53"/>
        <v>9.3614066159631703E-3</v>
      </c>
      <c r="AG567">
        <f t="shared" si="53"/>
        <v>7.861767345572401E-3</v>
      </c>
      <c r="AK567">
        <f t="shared" si="52"/>
        <v>5.460299574004044E-5</v>
      </c>
    </row>
    <row r="568" spans="1:37" x14ac:dyDescent="0.3">
      <c r="A568" s="1">
        <v>44720</v>
      </c>
      <c r="B568">
        <v>1.0713999999999999</v>
      </c>
      <c r="C568">
        <v>1.2539</v>
      </c>
      <c r="D568">
        <v>134.24</v>
      </c>
      <c r="G568">
        <v>1.0713999999999999</v>
      </c>
      <c r="H568">
        <f t="shared" si="49"/>
        <v>1.0699000000000001</v>
      </c>
      <c r="I568">
        <f t="shared" si="49"/>
        <v>1.0693999999999999</v>
      </c>
      <c r="J568">
        <f t="shared" si="49"/>
        <v>1.0718000000000001</v>
      </c>
      <c r="L568">
        <f t="shared" si="48"/>
        <v>1.4999999999998348E-3</v>
      </c>
      <c r="W568">
        <f t="shared" si="50"/>
        <v>1.2520742193392642E-2</v>
      </c>
      <c r="X568">
        <f t="shared" si="51"/>
        <v>5.3840903920528392E-3</v>
      </c>
      <c r="Y568">
        <f t="shared" si="51"/>
        <v>7.718172092312325E-3</v>
      </c>
      <c r="Z568">
        <f t="shared" si="51"/>
        <v>7.9334514364938838E-3</v>
      </c>
      <c r="AE568">
        <f>W568-mu-theta*AE567</f>
        <v>1.4049928836515419E-2</v>
      </c>
      <c r="AF568">
        <f t="shared" si="53"/>
        <v>7.3893839892132038E-3</v>
      </c>
      <c r="AG568">
        <f t="shared" si="53"/>
        <v>9.3614066159631703E-3</v>
      </c>
      <c r="AK568">
        <f t="shared" si="52"/>
        <v>1.9740050031114752E-4</v>
      </c>
    </row>
    <row r="569" spans="1:37" x14ac:dyDescent="0.3">
      <c r="A569" s="1">
        <v>44721</v>
      </c>
      <c r="B569">
        <v>1.0613999999999999</v>
      </c>
      <c r="C569">
        <v>1.2490000000000001</v>
      </c>
      <c r="D569">
        <v>134.33000000000001</v>
      </c>
      <c r="G569">
        <v>1.0613999999999999</v>
      </c>
      <c r="H569">
        <f t="shared" si="49"/>
        <v>1.0713999999999999</v>
      </c>
      <c r="I569">
        <f t="shared" si="49"/>
        <v>1.0699000000000001</v>
      </c>
      <c r="J569">
        <f t="shared" si="49"/>
        <v>1.0693999999999999</v>
      </c>
      <c r="L569">
        <f t="shared" si="48"/>
        <v>-1.0000000000000009E-2</v>
      </c>
      <c r="W569">
        <f t="shared" si="50"/>
        <v>6.704410011919205E-4</v>
      </c>
      <c r="X569">
        <f t="shared" si="51"/>
        <v>1.2520742193392642E-2</v>
      </c>
      <c r="Y569">
        <f t="shared" si="51"/>
        <v>5.3840903920528392E-3</v>
      </c>
      <c r="Z569">
        <f t="shared" si="51"/>
        <v>7.718172092312325E-3</v>
      </c>
      <c r="AE569">
        <f>W569-mu-theta*AE568</f>
        <v>3.8076881586638993E-3</v>
      </c>
      <c r="AF569">
        <f t="shared" si="53"/>
        <v>1.4049928836515419E-2</v>
      </c>
      <c r="AG569">
        <f t="shared" si="53"/>
        <v>7.3893839892132038E-3</v>
      </c>
      <c r="AK569">
        <f t="shared" si="52"/>
        <v>1.4498489113629277E-5</v>
      </c>
    </row>
    <row r="570" spans="1:37" x14ac:dyDescent="0.3">
      <c r="A570" s="1">
        <v>44722</v>
      </c>
      <c r="B570">
        <v>1.0515000000000001</v>
      </c>
      <c r="C570">
        <v>1.2314000000000001</v>
      </c>
      <c r="D570">
        <v>134.41999999999999</v>
      </c>
      <c r="G570">
        <v>1.0515000000000001</v>
      </c>
      <c r="H570">
        <f t="shared" si="49"/>
        <v>1.0613999999999999</v>
      </c>
      <c r="I570">
        <f t="shared" si="49"/>
        <v>1.0713999999999999</v>
      </c>
      <c r="J570">
        <f t="shared" si="49"/>
        <v>1.0699000000000001</v>
      </c>
      <c r="L570">
        <f t="shared" si="48"/>
        <v>-9.8999999999997979E-3</v>
      </c>
      <c r="W570">
        <f t="shared" si="50"/>
        <v>6.6999181121101003E-4</v>
      </c>
      <c r="X570">
        <f t="shared" si="51"/>
        <v>6.704410011919205E-4</v>
      </c>
      <c r="Y570">
        <f t="shared" si="51"/>
        <v>1.2520742193392642E-2</v>
      </c>
      <c r="Z570">
        <f t="shared" si="51"/>
        <v>5.3840903920528392E-3</v>
      </c>
      <c r="AE570">
        <f>W570-mu-theta*AE569</f>
        <v>1.3344468488032911E-3</v>
      </c>
      <c r="AF570">
        <f t="shared" si="53"/>
        <v>3.8076881586638993E-3</v>
      </c>
      <c r="AG570">
        <f t="shared" si="53"/>
        <v>1.4049928836515419E-2</v>
      </c>
      <c r="AK570">
        <f t="shared" si="52"/>
        <v>1.7807483922810336E-6</v>
      </c>
    </row>
    <row r="571" spans="1:37" x14ac:dyDescent="0.3">
      <c r="A571" s="1">
        <v>44725</v>
      </c>
      <c r="B571">
        <v>1.0407999999999999</v>
      </c>
      <c r="C571">
        <v>1.2134</v>
      </c>
      <c r="D571">
        <v>134.4</v>
      </c>
      <c r="G571">
        <v>1.0407999999999999</v>
      </c>
      <c r="H571">
        <f t="shared" si="49"/>
        <v>1.0515000000000001</v>
      </c>
      <c r="I571">
        <f t="shared" si="49"/>
        <v>1.0613999999999999</v>
      </c>
      <c r="J571">
        <f t="shared" si="49"/>
        <v>1.0713999999999999</v>
      </c>
      <c r="L571">
        <f t="shared" si="48"/>
        <v>-1.0700000000000154E-2</v>
      </c>
      <c r="W571">
        <f t="shared" si="50"/>
        <v>-1.4878738282980071E-4</v>
      </c>
      <c r="X571">
        <f t="shared" si="51"/>
        <v>6.6999181121101003E-4</v>
      </c>
      <c r="Y571">
        <f t="shared" si="51"/>
        <v>6.704410011919205E-4</v>
      </c>
      <c r="Z571">
        <f t="shared" si="51"/>
        <v>1.2520742193392642E-2</v>
      </c>
      <c r="AE571">
        <f>W571-mu-theta*AE570</f>
        <v>-8.1448915131202883E-5</v>
      </c>
      <c r="AF571">
        <f t="shared" si="53"/>
        <v>1.3344468488032911E-3</v>
      </c>
      <c r="AG571">
        <f t="shared" si="53"/>
        <v>3.8076881586638993E-3</v>
      </c>
      <c r="AK571">
        <f t="shared" si="52"/>
        <v>6.6339257760498899E-9</v>
      </c>
    </row>
    <row r="572" spans="1:37" x14ac:dyDescent="0.3">
      <c r="A572" s="1">
        <v>44726</v>
      </c>
      <c r="B572">
        <v>1.0414000000000001</v>
      </c>
      <c r="C572">
        <v>1.1993</v>
      </c>
      <c r="D572">
        <v>135.47</v>
      </c>
      <c r="G572">
        <v>1.0414000000000001</v>
      </c>
      <c r="H572">
        <f t="shared" si="49"/>
        <v>1.0407999999999999</v>
      </c>
      <c r="I572">
        <f t="shared" si="49"/>
        <v>1.0515000000000001</v>
      </c>
      <c r="J572">
        <f t="shared" si="49"/>
        <v>1.0613999999999999</v>
      </c>
      <c r="L572">
        <f t="shared" si="48"/>
        <v>6.0000000000015596E-4</v>
      </c>
      <c r="W572">
        <f t="shared" si="50"/>
        <v>7.961309523809473E-3</v>
      </c>
      <c r="X572">
        <f t="shared" si="51"/>
        <v>-1.4878738282980071E-4</v>
      </c>
      <c r="Y572">
        <f t="shared" si="51"/>
        <v>6.6999181121101003E-4</v>
      </c>
      <c r="Z572">
        <f t="shared" si="51"/>
        <v>6.704410011919205E-4</v>
      </c>
      <c r="AE572">
        <f>W572-mu-theta*AE571</f>
        <v>7.6868071777885186E-3</v>
      </c>
      <c r="AF572">
        <f t="shared" si="53"/>
        <v>-8.1448915131202883E-5</v>
      </c>
      <c r="AG572">
        <f t="shared" si="53"/>
        <v>1.3344468488032911E-3</v>
      </c>
      <c r="AK572">
        <f t="shared" si="52"/>
        <v>5.9087004588501093E-5</v>
      </c>
    </row>
    <row r="573" spans="1:37" x14ac:dyDescent="0.3">
      <c r="A573" s="1">
        <v>44727</v>
      </c>
      <c r="B573">
        <v>1.0443</v>
      </c>
      <c r="C573">
        <v>1.2178</v>
      </c>
      <c r="D573">
        <v>133.83000000000001</v>
      </c>
      <c r="G573">
        <v>1.0443</v>
      </c>
      <c r="H573">
        <f t="shared" si="49"/>
        <v>1.0414000000000001</v>
      </c>
      <c r="I573">
        <f t="shared" si="49"/>
        <v>1.0407999999999999</v>
      </c>
      <c r="J573">
        <f t="shared" si="49"/>
        <v>1.0515000000000001</v>
      </c>
      <c r="L573">
        <f t="shared" si="48"/>
        <v>2.8999999999999027E-3</v>
      </c>
      <c r="W573">
        <f t="shared" si="50"/>
        <v>-1.2106001328707362E-2</v>
      </c>
      <c r="X573">
        <f t="shared" si="51"/>
        <v>7.961309523809473E-3</v>
      </c>
      <c r="Y573">
        <f t="shared" si="51"/>
        <v>-1.4878738282980071E-4</v>
      </c>
      <c r="Z573">
        <f t="shared" si="51"/>
        <v>6.6999181121101003E-4</v>
      </c>
      <c r="AE573">
        <f>W573-mu-theta*AE572</f>
        <v>-1.0505007574219885E-2</v>
      </c>
      <c r="AF573">
        <f t="shared" si="53"/>
        <v>7.6868071777885186E-3</v>
      </c>
      <c r="AG573">
        <f t="shared" si="53"/>
        <v>-8.1448915131202883E-5</v>
      </c>
      <c r="AK573">
        <f t="shared" si="52"/>
        <v>1.1035518413441716E-4</v>
      </c>
    </row>
    <row r="574" spans="1:37" x14ac:dyDescent="0.3">
      <c r="A574" s="1">
        <v>44728</v>
      </c>
      <c r="B574">
        <v>1.0547</v>
      </c>
      <c r="C574">
        <v>1.2351000000000001</v>
      </c>
      <c r="D574">
        <v>132.19999999999999</v>
      </c>
      <c r="G574">
        <v>1.0547</v>
      </c>
      <c r="H574">
        <f t="shared" si="49"/>
        <v>1.0443</v>
      </c>
      <c r="I574">
        <f t="shared" si="49"/>
        <v>1.0414000000000001</v>
      </c>
      <c r="J574">
        <f t="shared" si="49"/>
        <v>1.0407999999999999</v>
      </c>
      <c r="L574">
        <f t="shared" si="48"/>
        <v>1.0399999999999965E-2</v>
      </c>
      <c r="W574">
        <f t="shared" si="50"/>
        <v>-1.2179630874990837E-2</v>
      </c>
      <c r="X574">
        <f t="shared" si="51"/>
        <v>-1.2106001328707362E-2</v>
      </c>
      <c r="Y574">
        <f t="shared" si="51"/>
        <v>7.961309523809473E-3</v>
      </c>
      <c r="Z574">
        <f t="shared" si="51"/>
        <v>-1.4878738282980071E-4</v>
      </c>
      <c r="AE574">
        <f>W574-mu-theta*AE573</f>
        <v>-1.4970701081893681E-2</v>
      </c>
      <c r="AF574">
        <f t="shared" si="53"/>
        <v>-1.0505007574219885E-2</v>
      </c>
      <c r="AG574">
        <f t="shared" si="53"/>
        <v>7.6868071777885186E-3</v>
      </c>
      <c r="AK574">
        <f t="shared" si="52"/>
        <v>2.2412189088341262E-4</v>
      </c>
    </row>
    <row r="575" spans="1:37" x14ac:dyDescent="0.3">
      <c r="A575" s="1">
        <v>44729</v>
      </c>
      <c r="B575">
        <v>1.0498000000000001</v>
      </c>
      <c r="C575">
        <v>1.2223999999999999</v>
      </c>
      <c r="D575">
        <v>134.96</v>
      </c>
      <c r="G575">
        <v>1.0498000000000001</v>
      </c>
      <c r="H575">
        <f t="shared" si="49"/>
        <v>1.0547</v>
      </c>
      <c r="I575">
        <f t="shared" si="49"/>
        <v>1.0443</v>
      </c>
      <c r="J575">
        <f t="shared" si="49"/>
        <v>1.0414000000000001</v>
      </c>
      <c r="L575">
        <f t="shared" si="48"/>
        <v>-4.8999999999999044E-3</v>
      </c>
      <c r="W575">
        <f t="shared" si="50"/>
        <v>2.0877458396369286E-2</v>
      </c>
      <c r="X575">
        <f t="shared" si="51"/>
        <v>-1.2179630874990837E-2</v>
      </c>
      <c r="Y575">
        <f t="shared" si="51"/>
        <v>-1.2106001328707362E-2</v>
      </c>
      <c r="Z575">
        <f t="shared" si="51"/>
        <v>7.961309523809473E-3</v>
      </c>
      <c r="AE575">
        <f>W575-mu-theta*AE574</f>
        <v>1.7008232338329959E-2</v>
      </c>
      <c r="AF575">
        <f t="shared" si="53"/>
        <v>-1.4970701081893681E-2</v>
      </c>
      <c r="AG575">
        <f t="shared" si="53"/>
        <v>-1.0505007574219885E-2</v>
      </c>
      <c r="AK575">
        <f t="shared" si="52"/>
        <v>2.8927996727461298E-4</v>
      </c>
    </row>
    <row r="576" spans="1:37" x14ac:dyDescent="0.3">
      <c r="A576" s="1">
        <v>44732</v>
      </c>
      <c r="B576">
        <v>1.0508999999999999</v>
      </c>
      <c r="C576">
        <v>1.2250000000000001</v>
      </c>
      <c r="D576">
        <v>135.08000000000001</v>
      </c>
      <c r="G576">
        <v>1.0508999999999999</v>
      </c>
      <c r="H576">
        <f t="shared" si="49"/>
        <v>1.0498000000000001</v>
      </c>
      <c r="I576">
        <f t="shared" si="49"/>
        <v>1.0547</v>
      </c>
      <c r="J576">
        <f t="shared" si="49"/>
        <v>1.0443</v>
      </c>
      <c r="L576">
        <f t="shared" si="48"/>
        <v>1.0999999999998789E-3</v>
      </c>
      <c r="W576">
        <f t="shared" si="50"/>
        <v>8.8915234143453271E-4</v>
      </c>
      <c r="X576">
        <f t="shared" si="51"/>
        <v>2.0877458396369286E-2</v>
      </c>
      <c r="Y576">
        <f t="shared" si="51"/>
        <v>-1.2179630874990837E-2</v>
      </c>
      <c r="Z576">
        <f t="shared" si="51"/>
        <v>-1.2106001328707362E-2</v>
      </c>
      <c r="AE576">
        <f>W576-mu-theta*AE575</f>
        <v>4.7406250104509249E-3</v>
      </c>
      <c r="AF576">
        <f t="shared" si="53"/>
        <v>1.7008232338329959E-2</v>
      </c>
      <c r="AG576">
        <f t="shared" si="53"/>
        <v>-1.4970701081893681E-2</v>
      </c>
      <c r="AK576">
        <f t="shared" si="52"/>
        <v>2.2473525489712833E-5</v>
      </c>
    </row>
    <row r="577" spans="1:37" x14ac:dyDescent="0.3">
      <c r="A577" s="1">
        <v>44733</v>
      </c>
      <c r="B577">
        <v>1.0525</v>
      </c>
      <c r="C577">
        <v>1.2272000000000001</v>
      </c>
      <c r="D577">
        <v>136.61000000000001</v>
      </c>
      <c r="G577">
        <v>1.0525</v>
      </c>
      <c r="H577">
        <f t="shared" si="49"/>
        <v>1.0508999999999999</v>
      </c>
      <c r="I577">
        <f t="shared" si="49"/>
        <v>1.0498000000000001</v>
      </c>
      <c r="J577">
        <f t="shared" si="49"/>
        <v>1.0547</v>
      </c>
      <c r="L577">
        <f t="shared" si="48"/>
        <v>1.6000000000000458E-3</v>
      </c>
      <c r="W577">
        <f t="shared" si="50"/>
        <v>1.1326621261474689E-2</v>
      </c>
      <c r="X577">
        <f t="shared" si="51"/>
        <v>8.8915234143453271E-4</v>
      </c>
      <c r="Y577">
        <f t="shared" si="51"/>
        <v>2.0877458396369286E-2</v>
      </c>
      <c r="Z577">
        <f t="shared" si="51"/>
        <v>-1.2179630874990837E-2</v>
      </c>
      <c r="AE577">
        <f>W577-mu-theta*AE576</f>
        <v>1.2216315967612648E-2</v>
      </c>
      <c r="AF577">
        <f t="shared" si="53"/>
        <v>4.7406250104509249E-3</v>
      </c>
      <c r="AG577">
        <f t="shared" si="53"/>
        <v>1.7008232338329959E-2</v>
      </c>
      <c r="AK577">
        <f t="shared" si="52"/>
        <v>1.4923837582054775E-4</v>
      </c>
    </row>
    <row r="578" spans="1:37" x14ac:dyDescent="0.3">
      <c r="A578" s="1">
        <v>44734</v>
      </c>
      <c r="B578">
        <v>1.0565</v>
      </c>
      <c r="C578">
        <v>1.2265999999999999</v>
      </c>
      <c r="D578">
        <v>136.26</v>
      </c>
      <c r="G578">
        <v>1.0565</v>
      </c>
      <c r="H578">
        <f t="shared" si="49"/>
        <v>1.0525</v>
      </c>
      <c r="I578">
        <f t="shared" si="49"/>
        <v>1.0508999999999999</v>
      </c>
      <c r="J578">
        <f t="shared" si="49"/>
        <v>1.0498000000000001</v>
      </c>
      <c r="L578">
        <f t="shared" si="48"/>
        <v>4.0000000000000036E-3</v>
      </c>
      <c r="W578">
        <f t="shared" si="50"/>
        <v>-2.5620379181613548E-3</v>
      </c>
      <c r="X578">
        <f t="shared" si="51"/>
        <v>1.1326621261474689E-2</v>
      </c>
      <c r="Y578">
        <f t="shared" si="51"/>
        <v>8.8915234143453271E-4</v>
      </c>
      <c r="Z578">
        <f t="shared" si="51"/>
        <v>2.0877458396369286E-2</v>
      </c>
      <c r="AE578">
        <f>W578-mu-theta*AE577</f>
        <v>1.3251866058426164E-4</v>
      </c>
      <c r="AF578">
        <f t="shared" si="53"/>
        <v>1.2216315967612648E-2</v>
      </c>
      <c r="AG578">
        <f t="shared" si="53"/>
        <v>4.7406250104509249E-3</v>
      </c>
      <c r="AK578">
        <f t="shared" si="52"/>
        <v>1.7561195403046741E-8</v>
      </c>
    </row>
    <row r="579" spans="1:37" x14ac:dyDescent="0.3">
      <c r="A579" s="1">
        <v>44735</v>
      </c>
      <c r="B579">
        <v>1.0523</v>
      </c>
      <c r="C579">
        <v>1.226</v>
      </c>
      <c r="D579">
        <v>134.93</v>
      </c>
      <c r="G579">
        <v>1.0523</v>
      </c>
      <c r="H579">
        <f t="shared" si="49"/>
        <v>1.0565</v>
      </c>
      <c r="I579">
        <f t="shared" si="49"/>
        <v>1.0525</v>
      </c>
      <c r="J579">
        <f t="shared" si="49"/>
        <v>1.0508999999999999</v>
      </c>
      <c r="L579">
        <f t="shared" si="48"/>
        <v>-4.1999999999999815E-3</v>
      </c>
      <c r="W579">
        <f t="shared" si="50"/>
        <v>-9.76075150447662E-3</v>
      </c>
      <c r="X579">
        <f t="shared" si="51"/>
        <v>-2.5620379181613548E-3</v>
      </c>
      <c r="Y579">
        <f t="shared" si="51"/>
        <v>1.1326621261474689E-2</v>
      </c>
      <c r="Z579">
        <f t="shared" si="51"/>
        <v>8.8915234143453271E-4</v>
      </c>
      <c r="AE579">
        <f>W579-mu-theta*AE578</f>
        <v>-9.9835954925483091E-3</v>
      </c>
      <c r="AF579">
        <f t="shared" si="53"/>
        <v>1.3251866058426164E-4</v>
      </c>
      <c r="AG579">
        <f t="shared" si="53"/>
        <v>1.2216315967612648E-2</v>
      </c>
      <c r="AK579">
        <f t="shared" si="52"/>
        <v>9.9672178958830912E-5</v>
      </c>
    </row>
    <row r="580" spans="1:37" x14ac:dyDescent="0.3">
      <c r="A580" s="1">
        <v>44736</v>
      </c>
      <c r="B580">
        <v>1.0553999999999999</v>
      </c>
      <c r="C580">
        <v>1.2262</v>
      </c>
      <c r="D580">
        <v>135.16999999999999</v>
      </c>
      <c r="G580">
        <v>1.0553999999999999</v>
      </c>
      <c r="H580">
        <f t="shared" si="49"/>
        <v>1.0523</v>
      </c>
      <c r="I580">
        <f t="shared" si="49"/>
        <v>1.0565</v>
      </c>
      <c r="J580">
        <f t="shared" si="49"/>
        <v>1.0525</v>
      </c>
      <c r="L580">
        <f t="shared" si="48"/>
        <v>3.0999999999998806E-3</v>
      </c>
      <c r="W580">
        <f t="shared" si="50"/>
        <v>1.7787000667011091E-3</v>
      </c>
      <c r="X580">
        <f t="shared" si="51"/>
        <v>-9.76075150447662E-3</v>
      </c>
      <c r="Y580">
        <f t="shared" si="51"/>
        <v>-2.5620379181613548E-3</v>
      </c>
      <c r="Z580">
        <f t="shared" si="51"/>
        <v>1.1326621261474689E-2</v>
      </c>
      <c r="AE580">
        <f>W580-mu-theta*AE579</f>
        <v>-8.8648521645104633E-4</v>
      </c>
      <c r="AF580">
        <f t="shared" si="53"/>
        <v>-9.9835954925483091E-3</v>
      </c>
      <c r="AG580">
        <f t="shared" si="53"/>
        <v>1.3251866058426164E-4</v>
      </c>
      <c r="AK580">
        <f t="shared" si="52"/>
        <v>7.8585603898625843E-7</v>
      </c>
    </row>
    <row r="581" spans="1:37" x14ac:dyDescent="0.3">
      <c r="A581" s="1">
        <v>44739</v>
      </c>
      <c r="B581">
        <v>1.0583</v>
      </c>
      <c r="C581">
        <v>1.2263999999999999</v>
      </c>
      <c r="D581">
        <v>135.43</v>
      </c>
      <c r="G581">
        <v>1.0583</v>
      </c>
      <c r="H581">
        <f t="shared" si="49"/>
        <v>1.0553999999999999</v>
      </c>
      <c r="I581">
        <f t="shared" si="49"/>
        <v>1.0523</v>
      </c>
      <c r="J581">
        <f t="shared" si="49"/>
        <v>1.0565</v>
      </c>
      <c r="L581">
        <f t="shared" si="48"/>
        <v>2.9000000000001247E-3</v>
      </c>
      <c r="W581">
        <f t="shared" si="50"/>
        <v>1.9235037360362459E-3</v>
      </c>
      <c r="X581">
        <f t="shared" si="51"/>
        <v>1.7787000667011091E-3</v>
      </c>
      <c r="Y581">
        <f t="shared" si="51"/>
        <v>-9.76075150447662E-3</v>
      </c>
      <c r="Z581">
        <f t="shared" si="51"/>
        <v>-2.5620379181613548E-3</v>
      </c>
      <c r="AE581">
        <f>W581-mu-theta*AE580</f>
        <v>1.4546408506827609E-3</v>
      </c>
      <c r="AF581">
        <f t="shared" si="53"/>
        <v>-8.8648521645104633E-4</v>
      </c>
      <c r="AG581">
        <f t="shared" si="53"/>
        <v>-9.9835954925483091E-3</v>
      </c>
      <c r="AK581">
        <f t="shared" si="52"/>
        <v>2.1159800044750661E-6</v>
      </c>
    </row>
    <row r="582" spans="1:37" x14ac:dyDescent="0.3">
      <c r="A582" s="1">
        <v>44740</v>
      </c>
      <c r="B582">
        <v>1.0518000000000001</v>
      </c>
      <c r="C582">
        <v>1.2181999999999999</v>
      </c>
      <c r="D582">
        <v>136.12</v>
      </c>
      <c r="G582">
        <v>1.0518000000000001</v>
      </c>
      <c r="H582">
        <f t="shared" si="49"/>
        <v>1.0583</v>
      </c>
      <c r="I582">
        <f t="shared" si="49"/>
        <v>1.0553999999999999</v>
      </c>
      <c r="J582">
        <f t="shared" si="49"/>
        <v>1.0523</v>
      </c>
      <c r="L582">
        <f t="shared" ref="L582:L645" si="54">G582-H582</f>
        <v>-6.4999999999999503E-3</v>
      </c>
      <c r="W582">
        <f t="shared" si="50"/>
        <v>5.0948829653695467E-3</v>
      </c>
      <c r="X582">
        <f t="shared" si="51"/>
        <v>1.9235037360362459E-3</v>
      </c>
      <c r="Y582">
        <f t="shared" si="51"/>
        <v>1.7787000667011091E-3</v>
      </c>
      <c r="Z582">
        <f t="shared" si="51"/>
        <v>-9.76075150447662E-3</v>
      </c>
      <c r="AE582">
        <f>W582-mu-theta*AE581</f>
        <v>5.1912399642716801E-3</v>
      </c>
      <c r="AF582">
        <f t="shared" si="53"/>
        <v>1.4546408506827609E-3</v>
      </c>
      <c r="AG582">
        <f t="shared" si="53"/>
        <v>-8.8648521645104633E-4</v>
      </c>
      <c r="AK582">
        <f t="shared" si="52"/>
        <v>2.6948972366651434E-5</v>
      </c>
    </row>
    <row r="583" spans="1:37" x14ac:dyDescent="0.3">
      <c r="A583" s="1">
        <v>44741</v>
      </c>
      <c r="B583">
        <v>1.0439000000000001</v>
      </c>
      <c r="C583">
        <v>1.2124999999999999</v>
      </c>
      <c r="D583">
        <v>136.58000000000001</v>
      </c>
      <c r="G583">
        <v>1.0439000000000001</v>
      </c>
      <c r="H583">
        <f t="shared" ref="H583:J646" si="55">G582</f>
        <v>1.0518000000000001</v>
      </c>
      <c r="I583">
        <f t="shared" si="55"/>
        <v>1.0583</v>
      </c>
      <c r="J583">
        <f t="shared" si="55"/>
        <v>1.0553999999999999</v>
      </c>
      <c r="L583">
        <f t="shared" si="54"/>
        <v>-7.9000000000000181E-3</v>
      </c>
      <c r="W583">
        <f t="shared" ref="W583:W646" si="56">(D583-D582)/D582</f>
        <v>3.3793711431090796E-3</v>
      </c>
      <c r="X583">
        <f t="shared" si="51"/>
        <v>5.0948829653695467E-3</v>
      </c>
      <c r="Y583">
        <f t="shared" si="51"/>
        <v>1.9235037360362459E-3</v>
      </c>
      <c r="Z583">
        <f t="shared" si="51"/>
        <v>1.7787000667011091E-3</v>
      </c>
      <c r="AE583">
        <f>W583-mu-theta*AE582</f>
        <v>4.3778581674472437E-3</v>
      </c>
      <c r="AF583">
        <f t="shared" si="53"/>
        <v>5.1912399642716801E-3</v>
      </c>
      <c r="AG583">
        <f t="shared" si="53"/>
        <v>1.4546408506827609E-3</v>
      </c>
      <c r="AK583">
        <f t="shared" si="52"/>
        <v>1.9165642134284538E-5</v>
      </c>
    </row>
    <row r="584" spans="1:37" x14ac:dyDescent="0.3">
      <c r="A584" s="1">
        <v>44742</v>
      </c>
      <c r="B584">
        <v>1.0482</v>
      </c>
      <c r="C584">
        <v>1.2175</v>
      </c>
      <c r="D584">
        <v>135.72999999999999</v>
      </c>
      <c r="G584">
        <v>1.0482</v>
      </c>
      <c r="H584">
        <f t="shared" si="55"/>
        <v>1.0439000000000001</v>
      </c>
      <c r="I584">
        <f t="shared" si="55"/>
        <v>1.0518000000000001</v>
      </c>
      <c r="J584">
        <f t="shared" si="55"/>
        <v>1.0583</v>
      </c>
      <c r="L584">
        <f t="shared" si="54"/>
        <v>4.2999999999999705E-3</v>
      </c>
      <c r="W584">
        <f t="shared" si="56"/>
        <v>-6.2234587787379017E-3</v>
      </c>
      <c r="X584">
        <f t="shared" ref="X584:Z647" si="57">W583</f>
        <v>3.3793711431090796E-3</v>
      </c>
      <c r="Y584">
        <f t="shared" si="57"/>
        <v>5.0948829653695467E-3</v>
      </c>
      <c r="Z584">
        <f t="shared" si="57"/>
        <v>1.9235037360362459E-3</v>
      </c>
      <c r="AE584">
        <f>W584-mu-theta*AE583</f>
        <v>-5.4213471531921586E-3</v>
      </c>
      <c r="AF584">
        <f t="shared" si="53"/>
        <v>4.3778581674472437E-3</v>
      </c>
      <c r="AG584">
        <f t="shared" si="53"/>
        <v>5.1912399642716801E-3</v>
      </c>
      <c r="AK584">
        <f t="shared" ref="AK584:AK647" si="58">POWER(AE584,2)</f>
        <v>2.9391004955424722E-5</v>
      </c>
    </row>
    <row r="585" spans="1:37" x14ac:dyDescent="0.3">
      <c r="A585" s="1">
        <v>44743</v>
      </c>
      <c r="B585">
        <v>1.0427999999999999</v>
      </c>
      <c r="C585">
        <v>1.2094</v>
      </c>
      <c r="D585">
        <v>135.19</v>
      </c>
      <c r="G585">
        <v>1.0427999999999999</v>
      </c>
      <c r="H585">
        <f t="shared" si="55"/>
        <v>1.0482</v>
      </c>
      <c r="I585">
        <f t="shared" si="55"/>
        <v>1.0439000000000001</v>
      </c>
      <c r="J585">
        <f t="shared" si="55"/>
        <v>1.0518000000000001</v>
      </c>
      <c r="L585">
        <f t="shared" si="54"/>
        <v>-5.4000000000000714E-3</v>
      </c>
      <c r="W585">
        <f t="shared" si="56"/>
        <v>-3.9784867015397636E-3</v>
      </c>
      <c r="X585">
        <f t="shared" si="57"/>
        <v>-6.2234587787379017E-3</v>
      </c>
      <c r="Y585">
        <f t="shared" si="57"/>
        <v>3.3793711431090796E-3</v>
      </c>
      <c r="Z585">
        <f t="shared" si="57"/>
        <v>5.0948829653695467E-3</v>
      </c>
      <c r="AE585">
        <f>W585-mu-theta*AE584</f>
        <v>-5.5422048255682373E-3</v>
      </c>
      <c r="AF585">
        <f t="shared" ref="AF585:AG648" si="59">AE584</f>
        <v>-5.4213471531921586E-3</v>
      </c>
      <c r="AG585">
        <f t="shared" si="59"/>
        <v>4.3778581674472437E-3</v>
      </c>
      <c r="AK585">
        <f t="shared" si="58"/>
        <v>3.0716034328551858E-5</v>
      </c>
    </row>
    <row r="586" spans="1:37" x14ac:dyDescent="0.3">
      <c r="A586" s="1">
        <v>44746</v>
      </c>
      <c r="B586">
        <v>1.0421</v>
      </c>
      <c r="C586">
        <v>1.2104999999999999</v>
      </c>
      <c r="D586">
        <v>135.69</v>
      </c>
      <c r="G586">
        <v>1.0421</v>
      </c>
      <c r="H586">
        <f t="shared" si="55"/>
        <v>1.0427999999999999</v>
      </c>
      <c r="I586">
        <f t="shared" si="55"/>
        <v>1.0482</v>
      </c>
      <c r="J586">
        <f t="shared" si="55"/>
        <v>1.0439000000000001</v>
      </c>
      <c r="L586">
        <f t="shared" si="54"/>
        <v>-6.9999999999992291E-4</v>
      </c>
      <c r="W586">
        <f t="shared" si="56"/>
        <v>3.6984984096456838E-3</v>
      </c>
      <c r="X586">
        <f t="shared" si="57"/>
        <v>-3.9784867015397636E-3</v>
      </c>
      <c r="Y586">
        <f t="shared" si="57"/>
        <v>-6.2234587787379017E-3</v>
      </c>
      <c r="Z586">
        <f t="shared" si="57"/>
        <v>3.3793711431090796E-3</v>
      </c>
      <c r="AE586">
        <f>W586-mu-theta*AE585</f>
        <v>2.1056015239303422E-3</v>
      </c>
      <c r="AF586">
        <f t="shared" si="59"/>
        <v>-5.5422048255682373E-3</v>
      </c>
      <c r="AG586">
        <f t="shared" si="59"/>
        <v>-5.4213471531921586E-3</v>
      </c>
      <c r="AK586">
        <f t="shared" si="58"/>
        <v>4.4335577775777796E-6</v>
      </c>
    </row>
    <row r="587" spans="1:37" x14ac:dyDescent="0.3">
      <c r="A587" s="1">
        <v>44747</v>
      </c>
      <c r="B587">
        <v>1.0266</v>
      </c>
      <c r="C587">
        <v>1.1957</v>
      </c>
      <c r="D587">
        <v>135.87</v>
      </c>
      <c r="G587">
        <v>1.0266</v>
      </c>
      <c r="H587">
        <f t="shared" si="55"/>
        <v>1.0421</v>
      </c>
      <c r="I587">
        <f t="shared" si="55"/>
        <v>1.0427999999999999</v>
      </c>
      <c r="J587">
        <f t="shared" si="55"/>
        <v>1.0482</v>
      </c>
      <c r="L587">
        <f t="shared" si="54"/>
        <v>-1.5500000000000069E-2</v>
      </c>
      <c r="W587">
        <f t="shared" si="56"/>
        <v>1.326553172673055E-3</v>
      </c>
      <c r="X587">
        <f t="shared" si="57"/>
        <v>3.6984984096456838E-3</v>
      </c>
      <c r="Y587">
        <f t="shared" si="57"/>
        <v>-3.9784867015397636E-3</v>
      </c>
      <c r="Z587">
        <f t="shared" si="57"/>
        <v>-6.2234587787379017E-3</v>
      </c>
      <c r="AE587">
        <f>W587-mu-theta*AE586</f>
        <v>1.5800721123836194E-3</v>
      </c>
      <c r="AF587">
        <f t="shared" si="59"/>
        <v>2.1056015239303422E-3</v>
      </c>
      <c r="AG587">
        <f t="shared" si="59"/>
        <v>-5.5422048255682373E-3</v>
      </c>
      <c r="AK587">
        <f t="shared" si="58"/>
        <v>2.4966278803324332E-6</v>
      </c>
    </row>
    <row r="588" spans="1:37" x14ac:dyDescent="0.3">
      <c r="A588" s="1">
        <v>44748</v>
      </c>
      <c r="B588">
        <v>1.0181</v>
      </c>
      <c r="C588">
        <v>1.1930000000000001</v>
      </c>
      <c r="D588">
        <v>135.93</v>
      </c>
      <c r="G588">
        <v>1.0181</v>
      </c>
      <c r="H588">
        <f t="shared" si="55"/>
        <v>1.0266</v>
      </c>
      <c r="I588">
        <f t="shared" si="55"/>
        <v>1.0421</v>
      </c>
      <c r="J588">
        <f t="shared" si="55"/>
        <v>1.0427999999999999</v>
      </c>
      <c r="L588">
        <f t="shared" si="54"/>
        <v>-8.499999999999952E-3</v>
      </c>
      <c r="W588">
        <f t="shared" si="56"/>
        <v>4.4159858688453871E-4</v>
      </c>
      <c r="X588">
        <f t="shared" si="57"/>
        <v>1.326553172673055E-3</v>
      </c>
      <c r="Y588">
        <f t="shared" si="57"/>
        <v>3.6984984096456838E-3</v>
      </c>
      <c r="Z588">
        <f t="shared" si="57"/>
        <v>-3.9784867015397636E-3</v>
      </c>
      <c r="AE588">
        <f>W588-mu-theta*AE587</f>
        <v>5.6823855269558059E-4</v>
      </c>
      <c r="AF588">
        <f t="shared" si="59"/>
        <v>1.5800721123836194E-3</v>
      </c>
      <c r="AG588">
        <f t="shared" si="59"/>
        <v>2.1056015239303422E-3</v>
      </c>
      <c r="AK588">
        <f t="shared" si="58"/>
        <v>3.2289505276956814E-7</v>
      </c>
    </row>
    <row r="589" spans="1:37" x14ac:dyDescent="0.3">
      <c r="A589" s="1">
        <v>44749</v>
      </c>
      <c r="B589">
        <v>1.0159</v>
      </c>
      <c r="C589">
        <v>1.2020999999999999</v>
      </c>
      <c r="D589">
        <v>135.97999999999999</v>
      </c>
      <c r="G589">
        <v>1.0159</v>
      </c>
      <c r="H589">
        <f t="shared" si="55"/>
        <v>1.0181</v>
      </c>
      <c r="I589">
        <f t="shared" si="55"/>
        <v>1.0266</v>
      </c>
      <c r="J589">
        <f t="shared" si="55"/>
        <v>1.0421</v>
      </c>
      <c r="L589">
        <f t="shared" si="54"/>
        <v>-2.1999999999999797E-3</v>
      </c>
      <c r="W589">
        <f t="shared" si="56"/>
        <v>3.6783638637521477E-4</v>
      </c>
      <c r="X589">
        <f t="shared" si="57"/>
        <v>4.4159858688453871E-4</v>
      </c>
      <c r="Y589">
        <f t="shared" si="57"/>
        <v>1.326553172673055E-3</v>
      </c>
      <c r="Z589">
        <f t="shared" si="57"/>
        <v>3.6984984096456838E-3</v>
      </c>
      <c r="AE589">
        <f>W589-mu-theta*AE588</f>
        <v>2.5018859018931315E-4</v>
      </c>
      <c r="AF589">
        <f t="shared" si="59"/>
        <v>5.6823855269558059E-4</v>
      </c>
      <c r="AG589">
        <f t="shared" si="59"/>
        <v>1.5800721123836194E-3</v>
      </c>
      <c r="AK589">
        <f t="shared" si="58"/>
        <v>6.2594330660916082E-8</v>
      </c>
    </row>
    <row r="590" spans="1:37" x14ac:dyDescent="0.3">
      <c r="A590" s="1">
        <v>44750</v>
      </c>
      <c r="B590">
        <v>1.0183</v>
      </c>
      <c r="C590">
        <v>1.2027000000000001</v>
      </c>
      <c r="D590">
        <v>136.08000000000001</v>
      </c>
      <c r="G590">
        <v>1.0183</v>
      </c>
      <c r="H590">
        <f t="shared" si="55"/>
        <v>1.0159</v>
      </c>
      <c r="I590">
        <f t="shared" si="55"/>
        <v>1.0181</v>
      </c>
      <c r="J590">
        <f t="shared" si="55"/>
        <v>1.0266</v>
      </c>
      <c r="L590">
        <f t="shared" si="54"/>
        <v>2.3999999999999577E-3</v>
      </c>
      <c r="W590">
        <f t="shared" si="56"/>
        <v>7.3540226503914354E-4</v>
      </c>
      <c r="X590">
        <f t="shared" si="57"/>
        <v>3.6783638637521477E-4</v>
      </c>
      <c r="Y590">
        <f t="shared" si="57"/>
        <v>4.4159858688453871E-4</v>
      </c>
      <c r="Z590">
        <f t="shared" si="57"/>
        <v>1.326553172673055E-3</v>
      </c>
      <c r="AE590">
        <f>W590-mu-theta*AE589</f>
        <v>5.4096741944185207E-4</v>
      </c>
      <c r="AF590">
        <f t="shared" si="59"/>
        <v>2.5018859018931315E-4</v>
      </c>
      <c r="AG590">
        <f t="shared" si="59"/>
        <v>5.6823855269558059E-4</v>
      </c>
      <c r="AK590">
        <f t="shared" si="58"/>
        <v>2.9264574889757672E-7</v>
      </c>
    </row>
    <row r="591" spans="1:37" x14ac:dyDescent="0.3">
      <c r="A591" s="1">
        <v>44753</v>
      </c>
      <c r="B591">
        <v>1.0039</v>
      </c>
      <c r="C591">
        <v>1.1889000000000001</v>
      </c>
      <c r="D591">
        <v>137.41999999999999</v>
      </c>
      <c r="G591">
        <v>1.0039</v>
      </c>
      <c r="H591">
        <f t="shared" si="55"/>
        <v>1.0183</v>
      </c>
      <c r="I591">
        <f t="shared" si="55"/>
        <v>1.0159</v>
      </c>
      <c r="J591">
        <f t="shared" si="55"/>
        <v>1.0181</v>
      </c>
      <c r="L591">
        <f t="shared" si="54"/>
        <v>-1.4399999999999968E-2</v>
      </c>
      <c r="W591">
        <f t="shared" si="56"/>
        <v>9.8471487360374411E-3</v>
      </c>
      <c r="X591">
        <f t="shared" si="57"/>
        <v>7.3540226503914354E-4</v>
      </c>
      <c r="Y591">
        <f t="shared" si="57"/>
        <v>3.6783638637521477E-4</v>
      </c>
      <c r="Z591">
        <f t="shared" si="57"/>
        <v>4.4159858688453871E-4</v>
      </c>
      <c r="AE591">
        <f>W591-mu-theta*AE590</f>
        <v>9.7229168489742536E-3</v>
      </c>
      <c r="AF591">
        <f t="shared" si="59"/>
        <v>5.4096741944185207E-4</v>
      </c>
      <c r="AG591">
        <f t="shared" si="59"/>
        <v>2.5018859018931315E-4</v>
      </c>
      <c r="AK591">
        <f t="shared" si="58"/>
        <v>9.4535112052067429E-5</v>
      </c>
    </row>
    <row r="592" spans="1:37" x14ac:dyDescent="0.3">
      <c r="A592" s="1">
        <v>44754</v>
      </c>
      <c r="B592">
        <v>1.0036</v>
      </c>
      <c r="C592">
        <v>1.1884999999999999</v>
      </c>
      <c r="D592">
        <v>136.86000000000001</v>
      </c>
      <c r="G592">
        <v>1.0036</v>
      </c>
      <c r="H592">
        <f t="shared" si="55"/>
        <v>1.0039</v>
      </c>
      <c r="I592">
        <f t="shared" si="55"/>
        <v>1.0183</v>
      </c>
      <c r="J592">
        <f t="shared" si="55"/>
        <v>1.0159</v>
      </c>
      <c r="L592">
        <f t="shared" si="54"/>
        <v>-2.9999999999996696E-4</v>
      </c>
      <c r="W592">
        <f t="shared" si="56"/>
        <v>-4.0750982389752138E-3</v>
      </c>
      <c r="X592">
        <f t="shared" si="57"/>
        <v>9.8471487360374411E-3</v>
      </c>
      <c r="Y592">
        <f t="shared" si="57"/>
        <v>7.3540226503914354E-4</v>
      </c>
      <c r="Z592">
        <f t="shared" si="57"/>
        <v>3.6783638637521477E-4</v>
      </c>
      <c r="AE592">
        <f>W592-mu-theta*AE591</f>
        <v>-1.9825249455488947E-3</v>
      </c>
      <c r="AF592">
        <f t="shared" si="59"/>
        <v>9.7229168489742536E-3</v>
      </c>
      <c r="AG592">
        <f t="shared" si="59"/>
        <v>5.4096741944185207E-4</v>
      </c>
      <c r="AK592">
        <f t="shared" si="58"/>
        <v>3.9304051597236476E-6</v>
      </c>
    </row>
    <row r="593" spans="1:37" x14ac:dyDescent="0.3">
      <c r="A593" s="1">
        <v>44755</v>
      </c>
      <c r="B593">
        <v>1.006</v>
      </c>
      <c r="C593">
        <v>1.1889000000000001</v>
      </c>
      <c r="D593">
        <v>137.41999999999999</v>
      </c>
      <c r="G593">
        <v>1.006</v>
      </c>
      <c r="H593">
        <f t="shared" si="55"/>
        <v>1.0036</v>
      </c>
      <c r="I593">
        <f t="shared" si="55"/>
        <v>1.0039</v>
      </c>
      <c r="J593">
        <f t="shared" si="55"/>
        <v>1.0183</v>
      </c>
      <c r="L593">
        <f t="shared" si="54"/>
        <v>2.3999999999999577E-3</v>
      </c>
      <c r="W593">
        <f t="shared" si="56"/>
        <v>4.0917726143502395E-3</v>
      </c>
      <c r="X593">
        <f t="shared" si="57"/>
        <v>-4.0750982389752138E-3</v>
      </c>
      <c r="Y593">
        <f t="shared" si="57"/>
        <v>9.8471487360374411E-3</v>
      </c>
      <c r="Z593">
        <f t="shared" si="57"/>
        <v>7.3540226503914354E-4</v>
      </c>
      <c r="AE593">
        <f>W593-mu-theta*AE592</f>
        <v>3.3582920061337174E-3</v>
      </c>
      <c r="AF593">
        <f t="shared" si="59"/>
        <v>-1.9825249455488947E-3</v>
      </c>
      <c r="AG593">
        <f t="shared" si="59"/>
        <v>9.7229168489742536E-3</v>
      </c>
      <c r="AK593">
        <f t="shared" si="58"/>
        <v>1.1278125198461629E-5</v>
      </c>
    </row>
    <row r="594" spans="1:37" x14ac:dyDescent="0.3">
      <c r="A594" s="1">
        <v>44756</v>
      </c>
      <c r="B594">
        <v>1.0016</v>
      </c>
      <c r="C594">
        <v>1.1821999999999999</v>
      </c>
      <c r="D594">
        <v>138.9</v>
      </c>
      <c r="G594">
        <v>1.0016</v>
      </c>
      <c r="H594">
        <f t="shared" si="55"/>
        <v>1.006</v>
      </c>
      <c r="I594">
        <f t="shared" si="55"/>
        <v>1.0036</v>
      </c>
      <c r="J594">
        <f t="shared" si="55"/>
        <v>1.0039</v>
      </c>
      <c r="L594">
        <f t="shared" si="54"/>
        <v>-4.3999999999999595E-3</v>
      </c>
      <c r="W594">
        <f t="shared" si="56"/>
        <v>1.0769902488720843E-2</v>
      </c>
      <c r="X594">
        <f t="shared" si="57"/>
        <v>4.0917726143502395E-3</v>
      </c>
      <c r="Y594">
        <f t="shared" si="57"/>
        <v>-4.0750982389752138E-3</v>
      </c>
      <c r="Z594">
        <f t="shared" si="57"/>
        <v>9.8471487360374411E-3</v>
      </c>
      <c r="AE594">
        <f>W594-mu-theta*AE593</f>
        <v>1.1325859464254892E-2</v>
      </c>
      <c r="AF594">
        <f t="shared" si="59"/>
        <v>3.3582920061337174E-3</v>
      </c>
      <c r="AG594">
        <f t="shared" si="59"/>
        <v>-1.9825249455488947E-3</v>
      </c>
      <c r="AK594">
        <f t="shared" si="58"/>
        <v>1.282750926040521E-4</v>
      </c>
    </row>
    <row r="595" spans="1:37" x14ac:dyDescent="0.3">
      <c r="A595" s="1">
        <v>44757</v>
      </c>
      <c r="B595">
        <v>1.0086999999999999</v>
      </c>
      <c r="C595">
        <v>1.1852</v>
      </c>
      <c r="D595">
        <v>138.53</v>
      </c>
      <c r="G595">
        <v>1.0086999999999999</v>
      </c>
      <c r="H595">
        <f t="shared" si="55"/>
        <v>1.0016</v>
      </c>
      <c r="I595">
        <f t="shared" si="55"/>
        <v>1.006</v>
      </c>
      <c r="J595">
        <f t="shared" si="55"/>
        <v>1.0036</v>
      </c>
      <c r="L595">
        <f t="shared" si="54"/>
        <v>7.0999999999998842E-3</v>
      </c>
      <c r="W595">
        <f t="shared" si="56"/>
        <v>-2.6637868970482686E-3</v>
      </c>
      <c r="X595">
        <f t="shared" si="57"/>
        <v>1.0769902488720843E-2</v>
      </c>
      <c r="Y595">
        <f t="shared" si="57"/>
        <v>4.0917726143502395E-3</v>
      </c>
      <c r="Z595">
        <f t="shared" si="57"/>
        <v>-4.0750982389752138E-3</v>
      </c>
      <c r="AE595">
        <f>W595-mu-theta*AE594</f>
        <v>-1.8421392334136682E-4</v>
      </c>
      <c r="AF595">
        <f t="shared" si="59"/>
        <v>1.1325859464254892E-2</v>
      </c>
      <c r="AG595">
        <f t="shared" si="59"/>
        <v>3.3582920061337174E-3</v>
      </c>
      <c r="AK595">
        <f t="shared" si="58"/>
        <v>3.3934769552818973E-8</v>
      </c>
    </row>
    <row r="596" spans="1:37" x14ac:dyDescent="0.3">
      <c r="A596" s="1">
        <v>44760</v>
      </c>
      <c r="B596">
        <v>1.0141</v>
      </c>
      <c r="C596">
        <v>1.1954</v>
      </c>
      <c r="D596">
        <v>138.12</v>
      </c>
      <c r="G596">
        <v>1.0141</v>
      </c>
      <c r="H596">
        <f t="shared" si="55"/>
        <v>1.0086999999999999</v>
      </c>
      <c r="I596">
        <f t="shared" si="55"/>
        <v>1.0016</v>
      </c>
      <c r="J596">
        <f t="shared" si="55"/>
        <v>1.006</v>
      </c>
      <c r="L596">
        <f t="shared" si="54"/>
        <v>5.4000000000000714E-3</v>
      </c>
      <c r="W596">
        <f t="shared" si="56"/>
        <v>-2.959647729733607E-3</v>
      </c>
      <c r="X596">
        <f t="shared" si="57"/>
        <v>-2.6637868970482686E-3</v>
      </c>
      <c r="Y596">
        <f t="shared" si="57"/>
        <v>1.0769902488720843E-2</v>
      </c>
      <c r="Z596">
        <f t="shared" si="57"/>
        <v>4.0917726143502395E-3</v>
      </c>
      <c r="AE596">
        <f>W596-mu-theta*AE595</f>
        <v>-3.2589607114830287E-3</v>
      </c>
      <c r="AF596">
        <f t="shared" si="59"/>
        <v>-1.8421392334136682E-4</v>
      </c>
      <c r="AG596">
        <f t="shared" si="59"/>
        <v>1.1325859464254892E-2</v>
      </c>
      <c r="AK596">
        <f t="shared" si="58"/>
        <v>1.0620824918989969E-5</v>
      </c>
    </row>
    <row r="597" spans="1:37" x14ac:dyDescent="0.3">
      <c r="A597" s="1">
        <v>44761</v>
      </c>
      <c r="B597">
        <v>1.0224</v>
      </c>
      <c r="C597">
        <v>1.1995</v>
      </c>
      <c r="D597">
        <v>138.18</v>
      </c>
      <c r="G597">
        <v>1.0224</v>
      </c>
      <c r="H597">
        <f t="shared" si="55"/>
        <v>1.0141</v>
      </c>
      <c r="I597">
        <f t="shared" si="55"/>
        <v>1.0086999999999999</v>
      </c>
      <c r="J597">
        <f t="shared" si="55"/>
        <v>1.0016</v>
      </c>
      <c r="L597">
        <f t="shared" si="54"/>
        <v>8.2999999999999741E-3</v>
      </c>
      <c r="W597">
        <f t="shared" si="56"/>
        <v>4.344048653345082E-4</v>
      </c>
      <c r="X597">
        <f t="shared" si="57"/>
        <v>-2.959647729733607E-3</v>
      </c>
      <c r="Y597">
        <f t="shared" si="57"/>
        <v>-2.6637868970482686E-3</v>
      </c>
      <c r="Z597">
        <f t="shared" si="57"/>
        <v>1.0769902488720843E-2</v>
      </c>
      <c r="AE597">
        <f>W597-mu-theta*AE596</f>
        <v>-6.0724662099465661E-4</v>
      </c>
      <c r="AF597">
        <f t="shared" si="59"/>
        <v>-3.2589607114830287E-3</v>
      </c>
      <c r="AG597">
        <f t="shared" si="59"/>
        <v>-1.8421392334136682E-4</v>
      </c>
      <c r="AK597">
        <f t="shared" si="58"/>
        <v>3.6874845870942814E-7</v>
      </c>
    </row>
    <row r="598" spans="1:37" x14ac:dyDescent="0.3">
      <c r="A598" s="1">
        <v>44762</v>
      </c>
      <c r="B598">
        <v>1.0177</v>
      </c>
      <c r="C598">
        <v>1.1969000000000001</v>
      </c>
      <c r="D598">
        <v>138.19999999999999</v>
      </c>
      <c r="G598">
        <v>1.0177</v>
      </c>
      <c r="H598">
        <f t="shared" si="55"/>
        <v>1.0224</v>
      </c>
      <c r="I598">
        <f t="shared" si="55"/>
        <v>1.0141</v>
      </c>
      <c r="J598">
        <f t="shared" si="55"/>
        <v>1.0086999999999999</v>
      </c>
      <c r="L598">
        <f t="shared" si="54"/>
        <v>-4.6999999999999265E-3</v>
      </c>
      <c r="W598">
        <f t="shared" si="56"/>
        <v>1.4473874656232313E-4</v>
      </c>
      <c r="X598">
        <f t="shared" si="57"/>
        <v>4.344048653345082E-4</v>
      </c>
      <c r="Y598">
        <f t="shared" si="57"/>
        <v>-2.959647729733607E-3</v>
      </c>
      <c r="Z598">
        <f t="shared" si="57"/>
        <v>-2.6637868970482686E-3</v>
      </c>
      <c r="AE598">
        <f>W598-mu-theta*AE597</f>
        <v>-2.567073478633706E-4</v>
      </c>
      <c r="AF598">
        <f t="shared" si="59"/>
        <v>-6.0724662099465661E-4</v>
      </c>
      <c r="AG598">
        <f t="shared" si="59"/>
        <v>-3.2589607114830287E-3</v>
      </c>
      <c r="AK598">
        <f t="shared" si="58"/>
        <v>6.5898662447045558E-8</v>
      </c>
    </row>
    <row r="599" spans="1:37" x14ac:dyDescent="0.3">
      <c r="A599" s="1">
        <v>44763</v>
      </c>
      <c r="B599">
        <v>1.0227999999999999</v>
      </c>
      <c r="C599">
        <v>1.1993</v>
      </c>
      <c r="D599">
        <v>137.37</v>
      </c>
      <c r="G599">
        <v>1.0227999999999999</v>
      </c>
      <c r="H599">
        <f t="shared" si="55"/>
        <v>1.0177</v>
      </c>
      <c r="I599">
        <f t="shared" si="55"/>
        <v>1.0224</v>
      </c>
      <c r="J599">
        <f t="shared" si="55"/>
        <v>1.0141</v>
      </c>
      <c r="L599">
        <f t="shared" si="54"/>
        <v>5.0999999999998824E-3</v>
      </c>
      <c r="W599">
        <f t="shared" si="56"/>
        <v>-6.0057887120114626E-3</v>
      </c>
      <c r="X599">
        <f t="shared" si="57"/>
        <v>1.4473874656232313E-4</v>
      </c>
      <c r="Y599">
        <f t="shared" si="57"/>
        <v>4.344048653345082E-4</v>
      </c>
      <c r="Z599">
        <f t="shared" si="57"/>
        <v>-2.959647729733607E-3</v>
      </c>
      <c r="AE599">
        <f>W599-mu-theta*AE598</f>
        <v>-6.3226038375338526E-3</v>
      </c>
      <c r="AF599">
        <f t="shared" si="59"/>
        <v>-2.567073478633706E-4</v>
      </c>
      <c r="AG599">
        <f t="shared" si="59"/>
        <v>-6.0724662099465661E-4</v>
      </c>
      <c r="AK599">
        <f t="shared" si="58"/>
        <v>3.99753192863978E-5</v>
      </c>
    </row>
    <row r="600" spans="1:37" x14ac:dyDescent="0.3">
      <c r="A600" s="1">
        <v>44764</v>
      </c>
      <c r="B600">
        <v>1.0209999999999999</v>
      </c>
      <c r="C600">
        <v>1.2001999999999999</v>
      </c>
      <c r="D600">
        <v>136.05000000000001</v>
      </c>
      <c r="G600">
        <v>1.0209999999999999</v>
      </c>
      <c r="H600">
        <f t="shared" si="55"/>
        <v>1.0227999999999999</v>
      </c>
      <c r="I600">
        <f t="shared" si="55"/>
        <v>1.0177</v>
      </c>
      <c r="J600">
        <f t="shared" si="55"/>
        <v>1.0224</v>
      </c>
      <c r="L600">
        <f t="shared" si="54"/>
        <v>-1.8000000000000238E-3</v>
      </c>
      <c r="W600">
        <f t="shared" si="56"/>
        <v>-9.6090849530464668E-3</v>
      </c>
      <c r="X600">
        <f t="shared" si="57"/>
        <v>-6.0057887120114626E-3</v>
      </c>
      <c r="Y600">
        <f t="shared" si="57"/>
        <v>1.4473874656232313E-4</v>
      </c>
      <c r="Z600">
        <f t="shared" si="57"/>
        <v>4.344048653345082E-4</v>
      </c>
      <c r="AE600">
        <f>W600-mu-theta*AE599</f>
        <v>-1.139039417819487E-2</v>
      </c>
      <c r="AF600">
        <f t="shared" si="59"/>
        <v>-6.3226038375338526E-3</v>
      </c>
      <c r="AG600">
        <f t="shared" si="59"/>
        <v>-2.567073478633706E-4</v>
      </c>
      <c r="AK600">
        <f t="shared" si="58"/>
        <v>1.2974107953465558E-4</v>
      </c>
    </row>
    <row r="601" spans="1:37" x14ac:dyDescent="0.3">
      <c r="A601" s="1">
        <v>44767</v>
      </c>
      <c r="B601">
        <v>1.022</v>
      </c>
      <c r="C601">
        <v>1.2041999999999999</v>
      </c>
      <c r="D601">
        <v>136.66</v>
      </c>
      <c r="G601">
        <v>1.022</v>
      </c>
      <c r="H601">
        <f t="shared" si="55"/>
        <v>1.0209999999999999</v>
      </c>
      <c r="I601">
        <f t="shared" si="55"/>
        <v>1.0227999999999999</v>
      </c>
      <c r="J601">
        <f t="shared" si="55"/>
        <v>1.0177</v>
      </c>
      <c r="L601">
        <f t="shared" si="54"/>
        <v>1.0000000000001119E-3</v>
      </c>
      <c r="W601">
        <f t="shared" si="56"/>
        <v>4.4836457184857419E-3</v>
      </c>
      <c r="X601">
        <f t="shared" si="57"/>
        <v>-9.6090849530464668E-3</v>
      </c>
      <c r="Y601">
        <f t="shared" si="57"/>
        <v>-6.0057887120114626E-3</v>
      </c>
      <c r="Z601">
        <f t="shared" si="57"/>
        <v>1.4473874656232313E-4</v>
      </c>
      <c r="AE601">
        <f>W601-mu-theta*AE600</f>
        <v>1.4788159362889054E-3</v>
      </c>
      <c r="AF601">
        <f t="shared" si="59"/>
        <v>-1.139039417819487E-2</v>
      </c>
      <c r="AG601">
        <f t="shared" si="59"/>
        <v>-6.3226038375338526E-3</v>
      </c>
      <c r="AK601">
        <f t="shared" si="58"/>
        <v>2.186896573422032E-6</v>
      </c>
    </row>
    <row r="602" spans="1:37" x14ac:dyDescent="0.3">
      <c r="A602" s="1">
        <v>44768</v>
      </c>
      <c r="B602">
        <v>1.0114000000000001</v>
      </c>
      <c r="C602">
        <v>1.2024999999999999</v>
      </c>
      <c r="D602">
        <v>136.91</v>
      </c>
      <c r="G602">
        <v>1.0114000000000001</v>
      </c>
      <c r="H602">
        <f t="shared" si="55"/>
        <v>1.022</v>
      </c>
      <c r="I602">
        <f t="shared" si="55"/>
        <v>1.0209999999999999</v>
      </c>
      <c r="J602">
        <f t="shared" si="55"/>
        <v>1.0227999999999999</v>
      </c>
      <c r="L602">
        <f t="shared" si="54"/>
        <v>-1.0599999999999943E-2</v>
      </c>
      <c r="W602">
        <f t="shared" si="56"/>
        <v>1.8293575296355921E-3</v>
      </c>
      <c r="X602">
        <f t="shared" si="57"/>
        <v>4.4836457184857419E-3</v>
      </c>
      <c r="Y602">
        <f t="shared" si="57"/>
        <v>-9.6090849530464668E-3</v>
      </c>
      <c r="Z602">
        <f t="shared" si="57"/>
        <v>-6.0057887120114626E-3</v>
      </c>
      <c r="AE602">
        <f>W602-mu-theta*AE601</f>
        <v>1.9315511382273969E-3</v>
      </c>
      <c r="AF602">
        <f t="shared" si="59"/>
        <v>1.4788159362889054E-3</v>
      </c>
      <c r="AG602">
        <f t="shared" si="59"/>
        <v>-1.139039417819487E-2</v>
      </c>
      <c r="AK602">
        <f t="shared" si="58"/>
        <v>3.7308897995875525E-6</v>
      </c>
    </row>
    <row r="603" spans="1:37" x14ac:dyDescent="0.3">
      <c r="A603" s="1">
        <v>44769</v>
      </c>
      <c r="B603">
        <v>1.0202</v>
      </c>
      <c r="C603">
        <v>1.2151000000000001</v>
      </c>
      <c r="D603">
        <v>136.55000000000001</v>
      </c>
      <c r="G603">
        <v>1.0202</v>
      </c>
      <c r="H603">
        <f t="shared" si="55"/>
        <v>1.0114000000000001</v>
      </c>
      <c r="I603">
        <f t="shared" si="55"/>
        <v>1.022</v>
      </c>
      <c r="J603">
        <f t="shared" si="55"/>
        <v>1.0209999999999999</v>
      </c>
      <c r="L603">
        <f t="shared" si="54"/>
        <v>8.799999999999919E-3</v>
      </c>
      <c r="W603">
        <f t="shared" si="56"/>
        <v>-2.6294646117886586E-3</v>
      </c>
      <c r="X603">
        <f t="shared" si="57"/>
        <v>1.8293575296355921E-3</v>
      </c>
      <c r="Y603">
        <f t="shared" si="57"/>
        <v>4.4836457184857419E-3</v>
      </c>
      <c r="Z603">
        <f t="shared" si="57"/>
        <v>-9.6090849530464668E-3</v>
      </c>
      <c r="AE603">
        <f>W603-mu-theta*AE602</f>
        <v>-2.4179667918472255E-3</v>
      </c>
      <c r="AF603">
        <f t="shared" si="59"/>
        <v>1.9315511382273969E-3</v>
      </c>
      <c r="AG603">
        <f t="shared" si="59"/>
        <v>1.4788159362889054E-3</v>
      </c>
      <c r="AK603">
        <f t="shared" si="58"/>
        <v>5.8465634064759636E-6</v>
      </c>
    </row>
    <row r="604" spans="1:37" x14ac:dyDescent="0.3">
      <c r="A604" s="1">
        <v>44770</v>
      </c>
      <c r="B604">
        <v>1.0196000000000001</v>
      </c>
      <c r="C604">
        <v>1.2169000000000001</v>
      </c>
      <c r="D604">
        <v>134.28</v>
      </c>
      <c r="G604">
        <v>1.0196000000000001</v>
      </c>
      <c r="H604">
        <f t="shared" si="55"/>
        <v>1.0202</v>
      </c>
      <c r="I604">
        <f t="shared" si="55"/>
        <v>1.0114000000000001</v>
      </c>
      <c r="J604">
        <f t="shared" si="55"/>
        <v>1.022</v>
      </c>
      <c r="L604">
        <f t="shared" si="54"/>
        <v>-5.9999999999993392E-4</v>
      </c>
      <c r="W604">
        <f t="shared" si="56"/>
        <v>-1.6623947272061589E-2</v>
      </c>
      <c r="X604">
        <f t="shared" si="57"/>
        <v>-2.6294646117886586E-3</v>
      </c>
      <c r="Y604">
        <f t="shared" si="57"/>
        <v>1.8293575296355921E-3</v>
      </c>
      <c r="Z604">
        <f t="shared" si="57"/>
        <v>4.4836457184857419E-3</v>
      </c>
      <c r="AE604">
        <f>W604-mu-theta*AE603</f>
        <v>-1.746255694334737E-2</v>
      </c>
      <c r="AF604">
        <f t="shared" si="59"/>
        <v>-2.4179667918472255E-3</v>
      </c>
      <c r="AG604">
        <f t="shared" si="59"/>
        <v>1.9315511382273969E-3</v>
      </c>
      <c r="AK604">
        <f t="shared" si="58"/>
        <v>3.0494089499964944E-4</v>
      </c>
    </row>
    <row r="605" spans="1:37" x14ac:dyDescent="0.3">
      <c r="A605" s="1">
        <v>44771</v>
      </c>
      <c r="B605">
        <v>1.0218</v>
      </c>
      <c r="C605">
        <v>1.2165999999999999</v>
      </c>
      <c r="D605">
        <v>133.19</v>
      </c>
      <c r="G605">
        <v>1.0218</v>
      </c>
      <c r="H605">
        <f t="shared" si="55"/>
        <v>1.0196000000000001</v>
      </c>
      <c r="I605">
        <f t="shared" si="55"/>
        <v>1.0202</v>
      </c>
      <c r="J605">
        <f t="shared" si="55"/>
        <v>1.0114000000000001</v>
      </c>
      <c r="L605">
        <f t="shared" si="54"/>
        <v>2.1999999999999797E-3</v>
      </c>
      <c r="W605">
        <f t="shared" si="56"/>
        <v>-8.117366696455193E-3</v>
      </c>
      <c r="X605">
        <f t="shared" si="57"/>
        <v>-1.6623947272061589E-2</v>
      </c>
      <c r="Y605">
        <f t="shared" si="57"/>
        <v>-2.6294646117886586E-3</v>
      </c>
      <c r="Z605">
        <f t="shared" si="57"/>
        <v>1.8293575296355921E-3</v>
      </c>
      <c r="AE605">
        <f>W605-mu-theta*AE604</f>
        <v>-1.2588203450033383E-2</v>
      </c>
      <c r="AF605">
        <f t="shared" si="59"/>
        <v>-1.746255694334737E-2</v>
      </c>
      <c r="AG605">
        <f t="shared" si="59"/>
        <v>-2.4179667918472255E-3</v>
      </c>
      <c r="AK605">
        <f t="shared" si="58"/>
        <v>1.5846286609943235E-4</v>
      </c>
    </row>
    <row r="606" spans="1:37" x14ac:dyDescent="0.3">
      <c r="A606" s="1">
        <v>44774</v>
      </c>
      <c r="B606">
        <v>1.0261</v>
      </c>
      <c r="C606">
        <v>1.2248000000000001</v>
      </c>
      <c r="D606">
        <v>131.61000000000001</v>
      </c>
      <c r="G606">
        <v>1.0261</v>
      </c>
      <c r="H606">
        <f t="shared" si="55"/>
        <v>1.0218</v>
      </c>
      <c r="I606">
        <f t="shared" si="55"/>
        <v>1.0196000000000001</v>
      </c>
      <c r="J606">
        <f t="shared" si="55"/>
        <v>1.0202</v>
      </c>
      <c r="L606">
        <f t="shared" si="54"/>
        <v>4.2999999999999705E-3</v>
      </c>
      <c r="W606">
        <f t="shared" si="56"/>
        <v>-1.1862752458893192E-2</v>
      </c>
      <c r="X606">
        <f t="shared" si="57"/>
        <v>-8.117366696455193E-3</v>
      </c>
      <c r="Y606">
        <f t="shared" si="57"/>
        <v>-1.6623947272061589E-2</v>
      </c>
      <c r="Z606">
        <f t="shared" si="57"/>
        <v>-2.6294646117886586E-3</v>
      </c>
      <c r="AE606">
        <f>W606-mu-theta*AE605</f>
        <v>-1.5156770263680258E-2</v>
      </c>
      <c r="AF606">
        <f t="shared" si="59"/>
        <v>-1.2588203450033383E-2</v>
      </c>
      <c r="AG606">
        <f t="shared" si="59"/>
        <v>-1.746255694334737E-2</v>
      </c>
      <c r="AK606">
        <f t="shared" si="58"/>
        <v>2.2972768482598213E-4</v>
      </c>
    </row>
    <row r="607" spans="1:37" x14ac:dyDescent="0.3">
      <c r="A607" s="1">
        <v>44775</v>
      </c>
      <c r="B607">
        <v>1.0164</v>
      </c>
      <c r="C607">
        <v>1.2172000000000001</v>
      </c>
      <c r="D607">
        <v>133.16</v>
      </c>
      <c r="G607">
        <v>1.0164</v>
      </c>
      <c r="H607">
        <f t="shared" si="55"/>
        <v>1.0261</v>
      </c>
      <c r="I607">
        <f t="shared" si="55"/>
        <v>1.0218</v>
      </c>
      <c r="J607">
        <f t="shared" si="55"/>
        <v>1.0196000000000001</v>
      </c>
      <c r="L607">
        <f t="shared" si="54"/>
        <v>-9.7000000000000419E-3</v>
      </c>
      <c r="W607">
        <f t="shared" si="56"/>
        <v>1.1777220575943947E-2</v>
      </c>
      <c r="X607">
        <f t="shared" si="57"/>
        <v>-1.1862752458893192E-2</v>
      </c>
      <c r="Y607">
        <f t="shared" si="57"/>
        <v>-8.117366696455193E-3</v>
      </c>
      <c r="Z607">
        <f t="shared" si="57"/>
        <v>-1.6623947272061589E-2</v>
      </c>
      <c r="AE607">
        <f>W607-mu-theta*AE606</f>
        <v>7.8630716908645124E-3</v>
      </c>
      <c r="AF607">
        <f t="shared" si="59"/>
        <v>-1.5156770263680258E-2</v>
      </c>
      <c r="AG607">
        <f t="shared" si="59"/>
        <v>-1.2588203450033383E-2</v>
      </c>
      <c r="AK607">
        <f t="shared" si="58"/>
        <v>6.1827896415674901E-5</v>
      </c>
    </row>
    <row r="608" spans="1:37" x14ac:dyDescent="0.3">
      <c r="A608" s="1">
        <v>44776</v>
      </c>
      <c r="B608">
        <v>1.0164</v>
      </c>
      <c r="C608">
        <v>1.2142999999999999</v>
      </c>
      <c r="D608">
        <v>133.86000000000001</v>
      </c>
      <c r="G608">
        <v>1.0164</v>
      </c>
      <c r="H608">
        <f t="shared" si="55"/>
        <v>1.0164</v>
      </c>
      <c r="I608">
        <f t="shared" si="55"/>
        <v>1.0261</v>
      </c>
      <c r="J608">
        <f t="shared" si="55"/>
        <v>1.0218</v>
      </c>
      <c r="L608">
        <f t="shared" si="54"/>
        <v>0</v>
      </c>
      <c r="W608">
        <f t="shared" si="56"/>
        <v>5.2568338840493925E-3</v>
      </c>
      <c r="X608">
        <f t="shared" si="57"/>
        <v>1.1777220575943947E-2</v>
      </c>
      <c r="Y608">
        <f t="shared" si="57"/>
        <v>-1.1862752458893192E-2</v>
      </c>
      <c r="Z608">
        <f t="shared" si="57"/>
        <v>-8.117366696455193E-3</v>
      </c>
      <c r="AE608">
        <f>W608-mu-theta*AE607</f>
        <v>6.9003833167969276E-3</v>
      </c>
      <c r="AF608">
        <f t="shared" si="59"/>
        <v>7.8630716908645124E-3</v>
      </c>
      <c r="AG608">
        <f t="shared" si="59"/>
        <v>-1.5156770263680258E-2</v>
      </c>
      <c r="AK608">
        <f t="shared" si="58"/>
        <v>4.7615289918729368E-5</v>
      </c>
    </row>
    <row r="609" spans="1:37" x14ac:dyDescent="0.3">
      <c r="A609" s="1">
        <v>44777</v>
      </c>
      <c r="B609">
        <v>1.0243</v>
      </c>
      <c r="C609">
        <v>1.2157</v>
      </c>
      <c r="D609">
        <v>132.85</v>
      </c>
      <c r="G609">
        <v>1.0243</v>
      </c>
      <c r="H609">
        <f t="shared" si="55"/>
        <v>1.0164</v>
      </c>
      <c r="I609">
        <f t="shared" si="55"/>
        <v>1.0164</v>
      </c>
      <c r="J609">
        <f t="shared" si="55"/>
        <v>1.0261</v>
      </c>
      <c r="L609">
        <f t="shared" si="54"/>
        <v>7.9000000000000181E-3</v>
      </c>
      <c r="W609">
        <f t="shared" si="56"/>
        <v>-7.5451964739281282E-3</v>
      </c>
      <c r="X609">
        <f t="shared" si="57"/>
        <v>5.2568338840493925E-3</v>
      </c>
      <c r="Y609">
        <f t="shared" si="57"/>
        <v>1.1777220575943947E-2</v>
      </c>
      <c r="Z609">
        <f t="shared" si="57"/>
        <v>-1.1862752458893192E-2</v>
      </c>
      <c r="AE609">
        <f>W609-mu-theta*AE608</f>
        <v>-6.1340696428523085E-3</v>
      </c>
      <c r="AF609">
        <f t="shared" si="59"/>
        <v>6.9003833167969276E-3</v>
      </c>
      <c r="AG609">
        <f t="shared" si="59"/>
        <v>7.8630716908645124E-3</v>
      </c>
      <c r="AK609">
        <f t="shared" si="58"/>
        <v>3.7626810383362251E-5</v>
      </c>
    </row>
    <row r="610" spans="1:37" x14ac:dyDescent="0.3">
      <c r="A610" s="1">
        <v>44778</v>
      </c>
      <c r="B610">
        <v>1.0181</v>
      </c>
      <c r="C610">
        <v>1.2071000000000001</v>
      </c>
      <c r="D610">
        <v>134.97</v>
      </c>
      <c r="G610">
        <v>1.0181</v>
      </c>
      <c r="H610">
        <f t="shared" si="55"/>
        <v>1.0243</v>
      </c>
      <c r="I610">
        <f t="shared" si="55"/>
        <v>1.0164</v>
      </c>
      <c r="J610">
        <f t="shared" si="55"/>
        <v>1.0164</v>
      </c>
      <c r="L610">
        <f t="shared" si="54"/>
        <v>-6.1999999999999833E-3</v>
      </c>
      <c r="W610">
        <f t="shared" si="56"/>
        <v>1.5957847196085846E-2</v>
      </c>
      <c r="X610">
        <f t="shared" si="57"/>
        <v>-7.5451964739281282E-3</v>
      </c>
      <c r="Y610">
        <f t="shared" si="57"/>
        <v>5.2568338840493925E-3</v>
      </c>
      <c r="Z610">
        <f t="shared" si="57"/>
        <v>1.1777220575943947E-2</v>
      </c>
      <c r="AE610">
        <f>W610-mu-theta*AE609</f>
        <v>1.4222055927954849E-2</v>
      </c>
      <c r="AF610">
        <f t="shared" si="59"/>
        <v>-6.1340696428523085E-3</v>
      </c>
      <c r="AG610">
        <f t="shared" si="59"/>
        <v>6.9003833167969276E-3</v>
      </c>
      <c r="AK610">
        <f t="shared" si="58"/>
        <v>2.0226687481787566E-4</v>
      </c>
    </row>
    <row r="611" spans="1:37" x14ac:dyDescent="0.3">
      <c r="A611" s="1">
        <v>44781</v>
      </c>
      <c r="B611">
        <v>1.0195000000000001</v>
      </c>
      <c r="C611">
        <v>1.2076</v>
      </c>
      <c r="D611">
        <v>135</v>
      </c>
      <c r="G611">
        <v>1.0195000000000001</v>
      </c>
      <c r="H611">
        <f t="shared" si="55"/>
        <v>1.0181</v>
      </c>
      <c r="I611">
        <f t="shared" si="55"/>
        <v>1.0243</v>
      </c>
      <c r="J611">
        <f t="shared" si="55"/>
        <v>1.0164</v>
      </c>
      <c r="L611">
        <f t="shared" si="54"/>
        <v>1.4000000000000679E-3</v>
      </c>
      <c r="W611">
        <f t="shared" si="56"/>
        <v>2.2227161591465612E-4</v>
      </c>
      <c r="X611">
        <f t="shared" si="57"/>
        <v>1.5957847196085846E-2</v>
      </c>
      <c r="Y611">
        <f t="shared" si="57"/>
        <v>-7.5451964739281282E-3</v>
      </c>
      <c r="Z611">
        <f t="shared" si="57"/>
        <v>5.2568338840493925E-3</v>
      </c>
      <c r="AE611">
        <f>W611-mu-theta*AE610</f>
        <v>3.401075550728301E-3</v>
      </c>
      <c r="AF611">
        <f t="shared" si="59"/>
        <v>1.4222055927954849E-2</v>
      </c>
      <c r="AG611">
        <f t="shared" si="59"/>
        <v>-6.1340696428523085E-3</v>
      </c>
      <c r="AK611">
        <f t="shared" si="58"/>
        <v>1.1567314901761816E-5</v>
      </c>
    </row>
    <row r="612" spans="1:37" x14ac:dyDescent="0.3">
      <c r="A612" s="1">
        <v>44782</v>
      </c>
      <c r="B612">
        <v>1.0210999999999999</v>
      </c>
      <c r="C612">
        <v>1.208</v>
      </c>
      <c r="D612">
        <v>135.13</v>
      </c>
      <c r="G612">
        <v>1.0210999999999999</v>
      </c>
      <c r="H612">
        <f t="shared" si="55"/>
        <v>1.0195000000000001</v>
      </c>
      <c r="I612">
        <f t="shared" si="55"/>
        <v>1.0181</v>
      </c>
      <c r="J612">
        <f t="shared" si="55"/>
        <v>1.0243</v>
      </c>
      <c r="L612">
        <f t="shared" si="54"/>
        <v>1.5999999999998238E-3</v>
      </c>
      <c r="W612">
        <f t="shared" si="56"/>
        <v>9.6296296296292927E-4</v>
      </c>
      <c r="X612">
        <f t="shared" si="57"/>
        <v>2.2227161591465612E-4</v>
      </c>
      <c r="Y612">
        <f t="shared" si="57"/>
        <v>1.5957847196085846E-2</v>
      </c>
      <c r="Z612">
        <f t="shared" si="57"/>
        <v>-7.5451964739281282E-3</v>
      </c>
      <c r="AE612">
        <f>W612-mu-theta*AE611</f>
        <v>1.5292492028895618E-3</v>
      </c>
      <c r="AF612">
        <f t="shared" si="59"/>
        <v>3.401075550728301E-3</v>
      </c>
      <c r="AG612">
        <f t="shared" si="59"/>
        <v>1.4222055927954849E-2</v>
      </c>
      <c r="AK612">
        <f t="shared" si="58"/>
        <v>2.33860312453836E-6</v>
      </c>
    </row>
    <row r="613" spans="1:37" x14ac:dyDescent="0.3">
      <c r="A613" s="1">
        <v>44783</v>
      </c>
      <c r="B613">
        <v>1.0297000000000001</v>
      </c>
      <c r="C613">
        <v>1.2224999999999999</v>
      </c>
      <c r="D613">
        <v>132.87</v>
      </c>
      <c r="G613">
        <v>1.0297000000000001</v>
      </c>
      <c r="H613">
        <f t="shared" si="55"/>
        <v>1.0210999999999999</v>
      </c>
      <c r="I613">
        <f t="shared" si="55"/>
        <v>1.0195000000000001</v>
      </c>
      <c r="J613">
        <f t="shared" si="55"/>
        <v>1.0181</v>
      </c>
      <c r="L613">
        <f t="shared" si="54"/>
        <v>8.6000000000001631E-3</v>
      </c>
      <c r="W613">
        <f t="shared" si="56"/>
        <v>-1.6724635536150306E-2</v>
      </c>
      <c r="X613">
        <f t="shared" si="57"/>
        <v>9.6296296296292927E-4</v>
      </c>
      <c r="Y613">
        <f t="shared" si="57"/>
        <v>2.2227161591465612E-4</v>
      </c>
      <c r="Z613">
        <f t="shared" si="57"/>
        <v>1.5957847196085846E-2</v>
      </c>
      <c r="AE613">
        <f>W613-mu-theta*AE612</f>
        <v>-1.6610265784842038E-2</v>
      </c>
      <c r="AF613">
        <f t="shared" si="59"/>
        <v>1.5292492028895618E-3</v>
      </c>
      <c r="AG613">
        <f t="shared" si="59"/>
        <v>3.401075550728301E-3</v>
      </c>
      <c r="AK613">
        <f t="shared" si="58"/>
        <v>2.7590092944309409E-4</v>
      </c>
    </row>
    <row r="614" spans="1:37" x14ac:dyDescent="0.3">
      <c r="A614" s="1">
        <v>44784</v>
      </c>
      <c r="B614">
        <v>1.0317000000000001</v>
      </c>
      <c r="C614">
        <v>1.2212000000000001</v>
      </c>
      <c r="D614">
        <v>133</v>
      </c>
      <c r="G614">
        <v>1.0317000000000001</v>
      </c>
      <c r="H614">
        <f t="shared" si="55"/>
        <v>1.0297000000000001</v>
      </c>
      <c r="I614">
        <f t="shared" si="55"/>
        <v>1.0210999999999999</v>
      </c>
      <c r="J614">
        <f t="shared" si="55"/>
        <v>1.0195000000000001</v>
      </c>
      <c r="L614">
        <f t="shared" si="54"/>
        <v>2.0000000000000018E-3</v>
      </c>
      <c r="W614">
        <f t="shared" si="56"/>
        <v>9.7839993979073874E-4</v>
      </c>
      <c r="X614">
        <f t="shared" si="57"/>
        <v>-1.6724635536150306E-2</v>
      </c>
      <c r="Y614">
        <f t="shared" si="57"/>
        <v>9.6296296296292927E-4</v>
      </c>
      <c r="Z614">
        <f t="shared" si="57"/>
        <v>2.2227161591465612E-4</v>
      </c>
      <c r="AE614">
        <f>W614-mu-theta*AE613</f>
        <v>-3.286667497591573E-3</v>
      </c>
      <c r="AF614">
        <f t="shared" si="59"/>
        <v>-1.6610265784842038E-2</v>
      </c>
      <c r="AG614">
        <f t="shared" si="59"/>
        <v>1.5292492028895618E-3</v>
      </c>
      <c r="AK614">
        <f t="shared" si="58"/>
        <v>1.0802183239724852E-5</v>
      </c>
    </row>
    <row r="615" spans="1:37" x14ac:dyDescent="0.3">
      <c r="A615" s="1">
        <v>44785</v>
      </c>
      <c r="B615">
        <v>1.0258</v>
      </c>
      <c r="C615">
        <v>1.2130000000000001</v>
      </c>
      <c r="D615">
        <v>133.47999999999999</v>
      </c>
      <c r="G615">
        <v>1.0258</v>
      </c>
      <c r="H615">
        <f t="shared" si="55"/>
        <v>1.0317000000000001</v>
      </c>
      <c r="I615">
        <f t="shared" si="55"/>
        <v>1.0297000000000001</v>
      </c>
      <c r="J615">
        <f t="shared" si="55"/>
        <v>1.0210999999999999</v>
      </c>
      <c r="L615">
        <f t="shared" si="54"/>
        <v>-5.9000000000000163E-3</v>
      </c>
      <c r="W615">
        <f t="shared" si="56"/>
        <v>3.6090225563909007E-3</v>
      </c>
      <c r="X615">
        <f t="shared" si="57"/>
        <v>9.7839993979073874E-4</v>
      </c>
      <c r="Y615">
        <f t="shared" si="57"/>
        <v>-1.6724635536150306E-2</v>
      </c>
      <c r="Z615">
        <f t="shared" si="57"/>
        <v>9.6296296296292927E-4</v>
      </c>
      <c r="AE615">
        <f>W615-mu-theta*AE614</f>
        <v>2.5606817991774304E-3</v>
      </c>
      <c r="AF615">
        <f t="shared" si="59"/>
        <v>-3.286667497591573E-3</v>
      </c>
      <c r="AG615">
        <f t="shared" si="59"/>
        <v>-1.6610265784842038E-2</v>
      </c>
      <c r="AK615">
        <f t="shared" si="58"/>
        <v>6.5570912766385616E-6</v>
      </c>
    </row>
    <row r="616" spans="1:37" x14ac:dyDescent="0.3">
      <c r="A616" s="1">
        <v>44788</v>
      </c>
      <c r="B616">
        <v>1.016</v>
      </c>
      <c r="C616">
        <v>1.2054</v>
      </c>
      <c r="D616">
        <v>133.32</v>
      </c>
      <c r="G616">
        <v>1.016</v>
      </c>
      <c r="H616">
        <f t="shared" si="55"/>
        <v>1.0258</v>
      </c>
      <c r="I616">
        <f t="shared" si="55"/>
        <v>1.0317000000000001</v>
      </c>
      <c r="J616">
        <f t="shared" si="55"/>
        <v>1.0297000000000001</v>
      </c>
      <c r="L616">
        <f t="shared" si="54"/>
        <v>-9.8000000000000309E-3</v>
      </c>
      <c r="W616">
        <f t="shared" si="56"/>
        <v>-1.1986814504045295E-3</v>
      </c>
      <c r="X616">
        <f t="shared" si="57"/>
        <v>3.6090225563909007E-3</v>
      </c>
      <c r="Y616">
        <f t="shared" si="57"/>
        <v>9.7839993979073874E-4</v>
      </c>
      <c r="Z616">
        <f t="shared" si="57"/>
        <v>-1.6724635536150306E-2</v>
      </c>
      <c r="AE616">
        <f>W616-mu-theta*AE615</f>
        <v>-8.3529212647450953E-4</v>
      </c>
      <c r="AF616">
        <f t="shared" si="59"/>
        <v>2.5606817991774304E-3</v>
      </c>
      <c r="AG616">
        <f t="shared" si="59"/>
        <v>-3.286667497591573E-3</v>
      </c>
      <c r="AK616">
        <f t="shared" si="58"/>
        <v>6.9771293655030802E-7</v>
      </c>
    </row>
    <row r="617" spans="1:37" x14ac:dyDescent="0.3">
      <c r="A617" s="1">
        <v>44789</v>
      </c>
      <c r="B617">
        <v>1.0169999999999999</v>
      </c>
      <c r="C617">
        <v>1.2093</v>
      </c>
      <c r="D617">
        <v>134.21</v>
      </c>
      <c r="G617">
        <v>1.0169999999999999</v>
      </c>
      <c r="H617">
        <f t="shared" si="55"/>
        <v>1.016</v>
      </c>
      <c r="I617">
        <f t="shared" si="55"/>
        <v>1.0258</v>
      </c>
      <c r="J617">
        <f t="shared" si="55"/>
        <v>1.0317000000000001</v>
      </c>
      <c r="L617">
        <f t="shared" si="54"/>
        <v>9.9999999999988987E-4</v>
      </c>
      <c r="W617">
        <f t="shared" si="56"/>
        <v>6.675667566756787E-3</v>
      </c>
      <c r="X617">
        <f t="shared" si="57"/>
        <v>-1.1986814504045295E-3</v>
      </c>
      <c r="Y617">
        <f t="shared" si="57"/>
        <v>3.6090225563909007E-3</v>
      </c>
      <c r="Z617">
        <f t="shared" si="57"/>
        <v>9.7839993979073874E-4</v>
      </c>
      <c r="AE617">
        <f>W617-mu-theta*AE616</f>
        <v>6.2191642688674024E-3</v>
      </c>
      <c r="AF617">
        <f t="shared" si="59"/>
        <v>-8.3529212647450953E-4</v>
      </c>
      <c r="AG617">
        <f t="shared" si="59"/>
        <v>2.5606817991774304E-3</v>
      </c>
      <c r="AK617">
        <f t="shared" si="58"/>
        <v>3.8678004203157013E-5</v>
      </c>
    </row>
    <row r="618" spans="1:37" x14ac:dyDescent="0.3">
      <c r="A618" s="1">
        <v>44790</v>
      </c>
      <c r="B618">
        <v>1.018</v>
      </c>
      <c r="C618">
        <v>1.2047000000000001</v>
      </c>
      <c r="D618">
        <v>135.01</v>
      </c>
      <c r="G618">
        <v>1.018</v>
      </c>
      <c r="H618">
        <f t="shared" si="55"/>
        <v>1.0169999999999999</v>
      </c>
      <c r="I618">
        <f t="shared" si="55"/>
        <v>1.016</v>
      </c>
      <c r="J618">
        <f t="shared" si="55"/>
        <v>1.0258</v>
      </c>
      <c r="L618">
        <f t="shared" si="54"/>
        <v>1.0000000000001119E-3</v>
      </c>
      <c r="W618">
        <f t="shared" si="56"/>
        <v>5.9608076894417921E-3</v>
      </c>
      <c r="X618">
        <f t="shared" si="57"/>
        <v>6.675667566756787E-3</v>
      </c>
      <c r="Y618">
        <f t="shared" si="57"/>
        <v>-1.1986814504045295E-3</v>
      </c>
      <c r="Z618">
        <f t="shared" si="57"/>
        <v>3.6090225563909007E-3</v>
      </c>
      <c r="AE618">
        <f>W618-mu-theta*AE617</f>
        <v>7.2074672768143097E-3</v>
      </c>
      <c r="AF618">
        <f t="shared" si="59"/>
        <v>6.2191642688674024E-3</v>
      </c>
      <c r="AG618">
        <f t="shared" si="59"/>
        <v>-8.3529212647450953E-4</v>
      </c>
      <c r="AK618">
        <f t="shared" si="58"/>
        <v>5.1947584546349078E-5</v>
      </c>
    </row>
    <row r="619" spans="1:37" x14ac:dyDescent="0.3">
      <c r="A619" s="1">
        <v>44791</v>
      </c>
      <c r="B619">
        <v>1.0087999999999999</v>
      </c>
      <c r="C619">
        <v>1.1930000000000001</v>
      </c>
      <c r="D619">
        <v>135.88</v>
      </c>
      <c r="G619">
        <v>1.0087999999999999</v>
      </c>
      <c r="H619">
        <f t="shared" si="55"/>
        <v>1.018</v>
      </c>
      <c r="I619">
        <f t="shared" si="55"/>
        <v>1.0169999999999999</v>
      </c>
      <c r="J619">
        <f t="shared" si="55"/>
        <v>1.016</v>
      </c>
      <c r="L619">
        <f t="shared" si="54"/>
        <v>-9.200000000000097E-3</v>
      </c>
      <c r="W619">
        <f t="shared" si="56"/>
        <v>6.4439671135471787E-3</v>
      </c>
      <c r="X619">
        <f t="shared" si="57"/>
        <v>5.9608076894417921E-3</v>
      </c>
      <c r="Y619">
        <f t="shared" si="57"/>
        <v>6.675667566756787E-3</v>
      </c>
      <c r="Z619">
        <f t="shared" si="57"/>
        <v>-1.1986814504045295E-3</v>
      </c>
      <c r="AE619">
        <f>W619-mu-theta*AE618</f>
        <v>7.929233463538474E-3</v>
      </c>
      <c r="AF619">
        <f t="shared" si="59"/>
        <v>7.2074672768143097E-3</v>
      </c>
      <c r="AG619">
        <f t="shared" si="59"/>
        <v>6.2191642688674024E-3</v>
      </c>
      <c r="AK619">
        <f t="shared" si="58"/>
        <v>6.2872743319298342E-5</v>
      </c>
    </row>
    <row r="620" spans="1:37" x14ac:dyDescent="0.3">
      <c r="A620" s="1">
        <v>44792</v>
      </c>
      <c r="B620">
        <v>1.0034000000000001</v>
      </c>
      <c r="C620">
        <v>1.1827000000000001</v>
      </c>
      <c r="D620">
        <v>136.93</v>
      </c>
      <c r="G620">
        <v>1.0034000000000001</v>
      </c>
      <c r="H620">
        <f t="shared" si="55"/>
        <v>1.0087999999999999</v>
      </c>
      <c r="I620">
        <f t="shared" si="55"/>
        <v>1.018</v>
      </c>
      <c r="J620">
        <f t="shared" si="55"/>
        <v>1.0169999999999999</v>
      </c>
      <c r="L620">
        <f t="shared" si="54"/>
        <v>-5.3999999999998494E-3</v>
      </c>
      <c r="W620">
        <f t="shared" si="56"/>
        <v>7.7274065351781822E-3</v>
      </c>
      <c r="X620">
        <f t="shared" si="57"/>
        <v>6.4439671135471787E-3</v>
      </c>
      <c r="Y620">
        <f t="shared" si="57"/>
        <v>5.9608076894417921E-3</v>
      </c>
      <c r="Z620">
        <f t="shared" si="57"/>
        <v>6.675667566756787E-3</v>
      </c>
      <c r="AE620">
        <f>W620-mu-theta*AE619</f>
        <v>9.3869294560765312E-3</v>
      </c>
      <c r="AF620">
        <f t="shared" si="59"/>
        <v>7.929233463538474E-3</v>
      </c>
      <c r="AG620">
        <f t="shared" si="59"/>
        <v>7.2074672768143097E-3</v>
      </c>
      <c r="AK620">
        <f t="shared" si="58"/>
        <v>8.8114444613357243E-5</v>
      </c>
    </row>
    <row r="621" spans="1:37" x14ac:dyDescent="0.3">
      <c r="A621" s="1">
        <v>44795</v>
      </c>
      <c r="B621">
        <v>0.99409999999999998</v>
      </c>
      <c r="C621">
        <v>1.1765000000000001</v>
      </c>
      <c r="D621">
        <v>137.47</v>
      </c>
      <c r="G621">
        <v>0.99409999999999998</v>
      </c>
      <c r="H621">
        <f t="shared" si="55"/>
        <v>1.0034000000000001</v>
      </c>
      <c r="I621">
        <f t="shared" si="55"/>
        <v>1.0087999999999999</v>
      </c>
      <c r="J621">
        <f t="shared" si="55"/>
        <v>1.018</v>
      </c>
      <c r="L621">
        <f t="shared" si="54"/>
        <v>-9.300000000000086E-3</v>
      </c>
      <c r="W621">
        <f t="shared" si="56"/>
        <v>3.9436208281603156E-3</v>
      </c>
      <c r="X621">
        <f t="shared" si="57"/>
        <v>7.7274065351781822E-3</v>
      </c>
      <c r="Y621">
        <f t="shared" si="57"/>
        <v>6.4439671135471787E-3</v>
      </c>
      <c r="Z621">
        <f t="shared" si="57"/>
        <v>5.9608076894417921E-3</v>
      </c>
      <c r="AE621">
        <f>W621-mu-theta*AE620</f>
        <v>5.9550764244275505E-3</v>
      </c>
      <c r="AF621">
        <f t="shared" si="59"/>
        <v>9.3869294560765312E-3</v>
      </c>
      <c r="AG621">
        <f t="shared" si="59"/>
        <v>7.929233463538474E-3</v>
      </c>
      <c r="AK621">
        <f t="shared" si="58"/>
        <v>3.546293522077282E-5</v>
      </c>
    </row>
    <row r="622" spans="1:37" x14ac:dyDescent="0.3">
      <c r="A622" s="1">
        <v>44796</v>
      </c>
      <c r="B622">
        <v>0.99670000000000003</v>
      </c>
      <c r="C622">
        <v>1.1831</v>
      </c>
      <c r="D622">
        <v>136.78</v>
      </c>
      <c r="G622">
        <v>0.99670000000000003</v>
      </c>
      <c r="H622">
        <f t="shared" si="55"/>
        <v>0.99409999999999998</v>
      </c>
      <c r="I622">
        <f t="shared" si="55"/>
        <v>1.0034000000000001</v>
      </c>
      <c r="J622">
        <f t="shared" si="55"/>
        <v>1.0087999999999999</v>
      </c>
      <c r="L622">
        <f t="shared" si="54"/>
        <v>2.6000000000000467E-3</v>
      </c>
      <c r="W622">
        <f t="shared" si="56"/>
        <v>-5.0192769331490342E-3</v>
      </c>
      <c r="X622">
        <f t="shared" si="57"/>
        <v>3.9436208281603156E-3</v>
      </c>
      <c r="Y622">
        <f t="shared" si="57"/>
        <v>7.7274065351781822E-3</v>
      </c>
      <c r="Z622">
        <f t="shared" si="57"/>
        <v>6.4439671135471787E-3</v>
      </c>
      <c r="AE622">
        <f>W622-mu-theta*AE621</f>
        <v>-3.8363762791219364E-3</v>
      </c>
      <c r="AF622">
        <f t="shared" si="59"/>
        <v>5.9550764244275505E-3</v>
      </c>
      <c r="AG622">
        <f t="shared" si="59"/>
        <v>9.3869294560765312E-3</v>
      </c>
      <c r="AK622">
        <f t="shared" si="58"/>
        <v>1.4717782955009474E-5</v>
      </c>
    </row>
    <row r="623" spans="1:37" x14ac:dyDescent="0.3">
      <c r="A623" s="1">
        <v>44797</v>
      </c>
      <c r="B623">
        <v>0.99650000000000005</v>
      </c>
      <c r="C623">
        <v>1.1797</v>
      </c>
      <c r="D623">
        <v>137.11000000000001</v>
      </c>
      <c r="G623">
        <v>0.99650000000000005</v>
      </c>
      <c r="H623">
        <f t="shared" si="55"/>
        <v>0.99670000000000003</v>
      </c>
      <c r="I623">
        <f t="shared" si="55"/>
        <v>0.99409999999999998</v>
      </c>
      <c r="J623">
        <f t="shared" si="55"/>
        <v>1.0034000000000001</v>
      </c>
      <c r="L623">
        <f t="shared" si="54"/>
        <v>-1.9999999999997797E-4</v>
      </c>
      <c r="W623">
        <f t="shared" si="56"/>
        <v>2.4126334259395562E-3</v>
      </c>
      <c r="X623">
        <f t="shared" si="57"/>
        <v>-5.0192769331490342E-3</v>
      </c>
      <c r="Y623">
        <f t="shared" si="57"/>
        <v>3.9436208281603156E-3</v>
      </c>
      <c r="Z623">
        <f t="shared" si="57"/>
        <v>7.7274065351781822E-3</v>
      </c>
      <c r="AE623">
        <f>W623-mu-theta*AE622</f>
        <v>1.2315760507563066E-3</v>
      </c>
      <c r="AF623">
        <f t="shared" si="59"/>
        <v>-3.8363762791219364E-3</v>
      </c>
      <c r="AG623">
        <f t="shared" si="59"/>
        <v>5.9550764244275505E-3</v>
      </c>
      <c r="AK623">
        <f t="shared" si="58"/>
        <v>1.5167795687965007E-6</v>
      </c>
    </row>
    <row r="624" spans="1:37" x14ac:dyDescent="0.3">
      <c r="A624" s="1">
        <v>44798</v>
      </c>
      <c r="B624">
        <v>0.99739999999999995</v>
      </c>
      <c r="C624">
        <v>1.1829000000000001</v>
      </c>
      <c r="D624">
        <v>136.5</v>
      </c>
      <c r="G624">
        <v>0.99739999999999995</v>
      </c>
      <c r="H624">
        <f t="shared" si="55"/>
        <v>0.99650000000000005</v>
      </c>
      <c r="I624">
        <f t="shared" si="55"/>
        <v>0.99670000000000003</v>
      </c>
      <c r="J624">
        <f t="shared" si="55"/>
        <v>0.99409999999999998</v>
      </c>
      <c r="L624">
        <f t="shared" si="54"/>
        <v>8.9999999999990088E-4</v>
      </c>
      <c r="W624">
        <f t="shared" si="56"/>
        <v>-4.4489825687405267E-3</v>
      </c>
      <c r="X624">
        <f t="shared" si="57"/>
        <v>2.4126334259395562E-3</v>
      </c>
      <c r="Y624">
        <f t="shared" si="57"/>
        <v>-5.0192769331490342E-3</v>
      </c>
      <c r="Z624">
        <f t="shared" si="57"/>
        <v>3.9436208281603156E-3</v>
      </c>
      <c r="AE624">
        <f>W624-mu-theta*AE623</f>
        <v>-4.4064802776928452E-3</v>
      </c>
      <c r="AF624">
        <f t="shared" si="59"/>
        <v>1.2315760507563066E-3</v>
      </c>
      <c r="AG624">
        <f t="shared" si="59"/>
        <v>-3.8363762791219364E-3</v>
      </c>
      <c r="AK624">
        <f t="shared" si="58"/>
        <v>1.9417068437696015E-5</v>
      </c>
    </row>
    <row r="625" spans="1:37" x14ac:dyDescent="0.3">
      <c r="A625" s="1">
        <v>44799</v>
      </c>
      <c r="B625">
        <v>0.99609999999999999</v>
      </c>
      <c r="C625">
        <v>1.1747000000000001</v>
      </c>
      <c r="D625">
        <v>137.52000000000001</v>
      </c>
      <c r="G625">
        <v>0.99609999999999999</v>
      </c>
      <c r="H625">
        <f t="shared" si="55"/>
        <v>0.99739999999999995</v>
      </c>
      <c r="I625">
        <f t="shared" si="55"/>
        <v>0.99650000000000005</v>
      </c>
      <c r="J625">
        <f t="shared" si="55"/>
        <v>0.99670000000000003</v>
      </c>
      <c r="L625">
        <f t="shared" si="54"/>
        <v>-1.2999999999999678E-3</v>
      </c>
      <c r="W625">
        <f t="shared" si="56"/>
        <v>7.4725274725275471E-3</v>
      </c>
      <c r="X625">
        <f t="shared" si="57"/>
        <v>-4.4489825687405267E-3</v>
      </c>
      <c r="Y625">
        <f t="shared" si="57"/>
        <v>2.4126334259395562E-3</v>
      </c>
      <c r="Z625">
        <f t="shared" si="57"/>
        <v>-5.0192769331490342E-3</v>
      </c>
      <c r="AE625">
        <f>W625-mu-theta*AE624</f>
        <v>6.1538294462876808E-3</v>
      </c>
      <c r="AF625">
        <f t="shared" si="59"/>
        <v>-4.4064802776928452E-3</v>
      </c>
      <c r="AG625">
        <f t="shared" si="59"/>
        <v>1.2315760507563066E-3</v>
      </c>
      <c r="AK625">
        <f t="shared" si="58"/>
        <v>3.7869616853997345E-5</v>
      </c>
    </row>
    <row r="626" spans="1:37" x14ac:dyDescent="0.3">
      <c r="A626" s="1">
        <v>44802</v>
      </c>
      <c r="B626">
        <v>0.99950000000000006</v>
      </c>
      <c r="C626">
        <v>1.1707000000000001</v>
      </c>
      <c r="D626">
        <v>138.69</v>
      </c>
      <c r="G626">
        <v>0.99950000000000006</v>
      </c>
      <c r="H626">
        <f t="shared" si="55"/>
        <v>0.99609999999999999</v>
      </c>
      <c r="I626">
        <f t="shared" si="55"/>
        <v>0.99739999999999995</v>
      </c>
      <c r="J626">
        <f t="shared" si="55"/>
        <v>0.99650000000000005</v>
      </c>
      <c r="L626">
        <f t="shared" si="54"/>
        <v>3.4000000000000696E-3</v>
      </c>
      <c r="W626">
        <f t="shared" si="56"/>
        <v>8.5078534031412696E-3</v>
      </c>
      <c r="X626">
        <f t="shared" si="57"/>
        <v>7.4725274725275471E-3</v>
      </c>
      <c r="Y626">
        <f t="shared" si="57"/>
        <v>-4.4489825687405267E-3</v>
      </c>
      <c r="Z626">
        <f t="shared" si="57"/>
        <v>2.4126334259395562E-3</v>
      </c>
      <c r="AE626">
        <f>W626-mu-theta*AE625</f>
        <v>9.7387391535663469E-3</v>
      </c>
      <c r="AF626">
        <f t="shared" si="59"/>
        <v>6.1538294462876808E-3</v>
      </c>
      <c r="AG626">
        <f t="shared" si="59"/>
        <v>-4.4064802776928452E-3</v>
      </c>
      <c r="AK626">
        <f t="shared" si="58"/>
        <v>9.4843040301206165E-5</v>
      </c>
    </row>
    <row r="627" spans="1:37" x14ac:dyDescent="0.3">
      <c r="A627" s="1">
        <v>44803</v>
      </c>
      <c r="B627">
        <v>1.0012000000000001</v>
      </c>
      <c r="C627">
        <v>1.1655</v>
      </c>
      <c r="D627">
        <v>138.79</v>
      </c>
      <c r="G627">
        <v>1.0012000000000001</v>
      </c>
      <c r="H627">
        <f t="shared" si="55"/>
        <v>0.99950000000000006</v>
      </c>
      <c r="I627">
        <f t="shared" si="55"/>
        <v>0.99609999999999999</v>
      </c>
      <c r="J627">
        <f t="shared" si="55"/>
        <v>0.99739999999999995</v>
      </c>
      <c r="L627">
        <f t="shared" si="54"/>
        <v>1.7000000000000348E-3</v>
      </c>
      <c r="W627">
        <f t="shared" si="56"/>
        <v>7.210325185665464E-4</v>
      </c>
      <c r="X627">
        <f t="shared" si="57"/>
        <v>8.5078534031412696E-3</v>
      </c>
      <c r="Y627">
        <f t="shared" si="57"/>
        <v>7.4725274725275471E-3</v>
      </c>
      <c r="Z627">
        <f t="shared" si="57"/>
        <v>-4.4489825687405267E-3</v>
      </c>
      <c r="AE627">
        <f>W627-mu-theta*AE626</f>
        <v>2.8174258032764399E-3</v>
      </c>
      <c r="AF627">
        <f t="shared" si="59"/>
        <v>9.7387391535663469E-3</v>
      </c>
      <c r="AG627">
        <f t="shared" si="59"/>
        <v>6.1538294462876808E-3</v>
      </c>
      <c r="AK627">
        <f t="shared" si="58"/>
        <v>7.9378881569678932E-6</v>
      </c>
    </row>
    <row r="628" spans="1:37" x14ac:dyDescent="0.3">
      <c r="A628" s="1">
        <v>44804</v>
      </c>
      <c r="B628">
        <v>1.0057</v>
      </c>
      <c r="C628">
        <v>1.1621999999999999</v>
      </c>
      <c r="D628">
        <v>138.96</v>
      </c>
      <c r="G628">
        <v>1.0057</v>
      </c>
      <c r="H628">
        <f t="shared" si="55"/>
        <v>1.0012000000000001</v>
      </c>
      <c r="I628">
        <f t="shared" si="55"/>
        <v>0.99950000000000006</v>
      </c>
      <c r="J628">
        <f t="shared" si="55"/>
        <v>0.99609999999999999</v>
      </c>
      <c r="L628">
        <f t="shared" si="54"/>
        <v>4.4999999999999485E-3</v>
      </c>
      <c r="W628">
        <f t="shared" si="56"/>
        <v>1.2248721089416811E-3</v>
      </c>
      <c r="X628">
        <f t="shared" si="57"/>
        <v>7.210325185665464E-4</v>
      </c>
      <c r="Y628">
        <f t="shared" si="57"/>
        <v>8.5078534031412696E-3</v>
      </c>
      <c r="Z628">
        <f t="shared" si="57"/>
        <v>7.4725274725275471E-3</v>
      </c>
      <c r="AE628">
        <f>W628-mu-theta*AE627</f>
        <v>1.650247337141192E-3</v>
      </c>
      <c r="AF628">
        <f t="shared" si="59"/>
        <v>2.8174258032764399E-3</v>
      </c>
      <c r="AG628">
        <f t="shared" si="59"/>
        <v>9.7387391535663469E-3</v>
      </c>
      <c r="AK628">
        <f t="shared" si="58"/>
        <v>2.723316273741595E-6</v>
      </c>
    </row>
    <row r="629" spans="1:37" x14ac:dyDescent="0.3">
      <c r="A629" s="1">
        <v>44805</v>
      </c>
      <c r="B629">
        <v>0.99439999999999995</v>
      </c>
      <c r="C629">
        <v>1.1541999999999999</v>
      </c>
      <c r="D629">
        <v>140.19999999999999</v>
      </c>
      <c r="G629">
        <v>0.99439999999999995</v>
      </c>
      <c r="H629">
        <f t="shared" si="55"/>
        <v>1.0057</v>
      </c>
      <c r="I629">
        <f t="shared" si="55"/>
        <v>1.0012000000000001</v>
      </c>
      <c r="J629">
        <f t="shared" si="55"/>
        <v>0.99950000000000006</v>
      </c>
      <c r="L629">
        <f t="shared" si="54"/>
        <v>-1.1300000000000088E-2</v>
      </c>
      <c r="W629">
        <f t="shared" si="56"/>
        <v>8.9234312032238101E-3</v>
      </c>
      <c r="X629">
        <f t="shared" si="57"/>
        <v>1.2248721089416811E-3</v>
      </c>
      <c r="Y629">
        <f t="shared" si="57"/>
        <v>7.210325185665464E-4</v>
      </c>
      <c r="Z629">
        <f t="shared" si="57"/>
        <v>8.5078534031412696E-3</v>
      </c>
      <c r="AE629">
        <f>W629-mu-theta*AE628</f>
        <v>9.0670136280386286E-3</v>
      </c>
      <c r="AF629">
        <f t="shared" si="59"/>
        <v>1.650247337141192E-3</v>
      </c>
      <c r="AG629">
        <f t="shared" si="59"/>
        <v>2.8174258032764399E-3</v>
      </c>
      <c r="AK629">
        <f t="shared" si="58"/>
        <v>8.221073613103822E-5</v>
      </c>
    </row>
    <row r="630" spans="1:37" x14ac:dyDescent="0.3">
      <c r="A630" s="1">
        <v>44806</v>
      </c>
      <c r="B630">
        <v>0.99509999999999998</v>
      </c>
      <c r="C630">
        <v>1.1507000000000001</v>
      </c>
      <c r="D630">
        <v>140.19999999999999</v>
      </c>
      <c r="G630">
        <v>0.99509999999999998</v>
      </c>
      <c r="H630">
        <f t="shared" si="55"/>
        <v>0.99439999999999995</v>
      </c>
      <c r="I630">
        <f t="shared" si="55"/>
        <v>1.0057</v>
      </c>
      <c r="J630">
        <f t="shared" si="55"/>
        <v>1.0012000000000001</v>
      </c>
      <c r="L630">
        <f t="shared" si="54"/>
        <v>7.0000000000003393E-4</v>
      </c>
      <c r="W630">
        <f t="shared" si="56"/>
        <v>0</v>
      </c>
      <c r="X630">
        <f t="shared" si="57"/>
        <v>8.9234312032238101E-3</v>
      </c>
      <c r="Y630">
        <f t="shared" si="57"/>
        <v>1.2248721089416811E-3</v>
      </c>
      <c r="Z630">
        <f t="shared" si="57"/>
        <v>7.210325185665464E-4</v>
      </c>
      <c r="AE630">
        <f>W630-mu-theta*AE629</f>
        <v>1.9342180694917111E-3</v>
      </c>
      <c r="AF630">
        <f t="shared" si="59"/>
        <v>9.0670136280386286E-3</v>
      </c>
      <c r="AG630">
        <f t="shared" si="59"/>
        <v>1.650247337141192E-3</v>
      </c>
      <c r="AK630">
        <f t="shared" si="58"/>
        <v>3.7411995403482418E-6</v>
      </c>
    </row>
    <row r="631" spans="1:37" x14ac:dyDescent="0.3">
      <c r="A631" s="1">
        <v>44809</v>
      </c>
      <c r="B631">
        <v>0.99260000000000004</v>
      </c>
      <c r="C631">
        <v>1.1513</v>
      </c>
      <c r="D631">
        <v>140.59</v>
      </c>
      <c r="G631">
        <v>0.99260000000000004</v>
      </c>
      <c r="H631">
        <f t="shared" si="55"/>
        <v>0.99509999999999998</v>
      </c>
      <c r="I631">
        <f t="shared" si="55"/>
        <v>0.99439999999999995</v>
      </c>
      <c r="J631">
        <f t="shared" si="55"/>
        <v>1.0057</v>
      </c>
      <c r="L631">
        <f t="shared" si="54"/>
        <v>-2.4999999999999467E-3</v>
      </c>
      <c r="W631">
        <f t="shared" si="56"/>
        <v>2.7817403708988216E-3</v>
      </c>
      <c r="X631">
        <f t="shared" si="57"/>
        <v>0</v>
      </c>
      <c r="Y631">
        <f t="shared" si="57"/>
        <v>8.9234312032238101E-3</v>
      </c>
      <c r="Z631">
        <f t="shared" si="57"/>
        <v>1.2248721089416811E-3</v>
      </c>
      <c r="AE631">
        <f>W631-mu-theta*AE630</f>
        <v>2.993882070126251E-3</v>
      </c>
      <c r="AF631">
        <f t="shared" si="59"/>
        <v>1.9342180694917111E-3</v>
      </c>
      <c r="AG631">
        <f t="shared" si="59"/>
        <v>9.0670136280386286E-3</v>
      </c>
      <c r="AK631">
        <f t="shared" si="58"/>
        <v>8.9633298498234452E-6</v>
      </c>
    </row>
    <row r="632" spans="1:37" x14ac:dyDescent="0.3">
      <c r="A632" s="1">
        <v>44810</v>
      </c>
      <c r="B632">
        <v>0.99019999999999997</v>
      </c>
      <c r="C632">
        <v>1.1516</v>
      </c>
      <c r="D632">
        <v>142.79</v>
      </c>
      <c r="G632">
        <v>0.99019999999999997</v>
      </c>
      <c r="H632">
        <f t="shared" si="55"/>
        <v>0.99260000000000004</v>
      </c>
      <c r="I632">
        <f t="shared" si="55"/>
        <v>0.99509999999999998</v>
      </c>
      <c r="J632">
        <f t="shared" si="55"/>
        <v>0.99439999999999995</v>
      </c>
      <c r="L632">
        <f t="shared" si="54"/>
        <v>-2.4000000000000687E-3</v>
      </c>
      <c r="W632">
        <f t="shared" si="56"/>
        <v>1.564833914218642E-2</v>
      </c>
      <c r="X632">
        <f t="shared" si="57"/>
        <v>2.7817403708988216E-3</v>
      </c>
      <c r="Y632">
        <f t="shared" si="57"/>
        <v>0</v>
      </c>
      <c r="Z632">
        <f t="shared" si="57"/>
        <v>8.9234312032238101E-3</v>
      </c>
      <c r="AE632">
        <f>W632-mu-theta*AE631</f>
        <v>1.6116316343908501E-2</v>
      </c>
      <c r="AF632">
        <f t="shared" si="59"/>
        <v>2.993882070126251E-3</v>
      </c>
      <c r="AG632">
        <f t="shared" si="59"/>
        <v>1.9342180694917111E-3</v>
      </c>
      <c r="AK632">
        <f t="shared" si="58"/>
        <v>2.5973565249693228E-4</v>
      </c>
    </row>
    <row r="633" spans="1:37" x14ac:dyDescent="0.3">
      <c r="A633" s="1">
        <v>44811</v>
      </c>
      <c r="B633">
        <v>0.99990000000000001</v>
      </c>
      <c r="C633">
        <v>1.1525000000000001</v>
      </c>
      <c r="D633">
        <v>143.69999999999999</v>
      </c>
      <c r="G633">
        <v>0.99990000000000001</v>
      </c>
      <c r="H633">
        <f t="shared" si="55"/>
        <v>0.99019999999999997</v>
      </c>
      <c r="I633">
        <f t="shared" si="55"/>
        <v>0.99260000000000004</v>
      </c>
      <c r="J633">
        <f t="shared" si="55"/>
        <v>0.99509999999999998</v>
      </c>
      <c r="L633">
        <f t="shared" si="54"/>
        <v>9.7000000000000419E-3</v>
      </c>
      <c r="W633">
        <f t="shared" si="56"/>
        <v>6.3729953077946398E-3</v>
      </c>
      <c r="X633">
        <f t="shared" si="57"/>
        <v>1.564833914218642E-2</v>
      </c>
      <c r="Y633">
        <f t="shared" si="57"/>
        <v>2.7817403708988216E-3</v>
      </c>
      <c r="Z633">
        <f t="shared" si="57"/>
        <v>0</v>
      </c>
      <c r="AE633">
        <f>W633-mu-theta*AE632</f>
        <v>1.0009132005711524E-2</v>
      </c>
      <c r="AF633">
        <f t="shared" si="59"/>
        <v>1.6116316343908501E-2</v>
      </c>
      <c r="AG633">
        <f t="shared" si="59"/>
        <v>2.993882070126251E-3</v>
      </c>
      <c r="AK633">
        <f t="shared" si="58"/>
        <v>1.0018272350775879E-4</v>
      </c>
    </row>
    <row r="634" spans="1:37" x14ac:dyDescent="0.3">
      <c r="A634" s="1">
        <v>44812</v>
      </c>
      <c r="B634">
        <v>0.99939999999999996</v>
      </c>
      <c r="C634">
        <v>1.1499999999999999</v>
      </c>
      <c r="D634">
        <v>144.09</v>
      </c>
      <c r="G634">
        <v>0.99939999999999996</v>
      </c>
      <c r="H634">
        <f t="shared" si="55"/>
        <v>0.99990000000000001</v>
      </c>
      <c r="I634">
        <f t="shared" si="55"/>
        <v>0.99019999999999997</v>
      </c>
      <c r="J634">
        <f t="shared" si="55"/>
        <v>0.99260000000000004</v>
      </c>
      <c r="L634">
        <f t="shared" si="54"/>
        <v>-5.0000000000005596E-4</v>
      </c>
      <c r="W634">
        <f t="shared" si="56"/>
        <v>2.7139874739040698E-3</v>
      </c>
      <c r="X634">
        <f t="shared" si="57"/>
        <v>6.3729953077946398E-3</v>
      </c>
      <c r="Y634">
        <f t="shared" si="57"/>
        <v>1.564833914218642E-2</v>
      </c>
      <c r="Z634">
        <f t="shared" si="57"/>
        <v>2.7817403708988216E-3</v>
      </c>
      <c r="AE634">
        <f>W634-mu-theta*AE633</f>
        <v>4.8756619148654732E-3</v>
      </c>
      <c r="AF634">
        <f t="shared" si="59"/>
        <v>1.0009132005711524E-2</v>
      </c>
      <c r="AG634">
        <f t="shared" si="59"/>
        <v>1.6116316343908501E-2</v>
      </c>
      <c r="AK634">
        <f t="shared" si="58"/>
        <v>2.3772079108069652E-5</v>
      </c>
    </row>
    <row r="635" spans="1:37" x14ac:dyDescent="0.3">
      <c r="A635" s="1">
        <v>44813</v>
      </c>
      <c r="B635">
        <v>1.0039</v>
      </c>
      <c r="C635">
        <v>1.1587000000000001</v>
      </c>
      <c r="D635">
        <v>142.52000000000001</v>
      </c>
      <c r="G635">
        <v>1.0039</v>
      </c>
      <c r="H635">
        <f t="shared" si="55"/>
        <v>0.99939999999999996</v>
      </c>
      <c r="I635">
        <f t="shared" si="55"/>
        <v>0.99990000000000001</v>
      </c>
      <c r="J635">
        <f t="shared" si="55"/>
        <v>0.99019999999999997</v>
      </c>
      <c r="L635">
        <f t="shared" si="54"/>
        <v>4.5000000000000595E-3</v>
      </c>
      <c r="W635">
        <f t="shared" si="56"/>
        <v>-1.0895967797904041E-2</v>
      </c>
      <c r="X635">
        <f t="shared" si="57"/>
        <v>2.7139874739040698E-3</v>
      </c>
      <c r="Y635">
        <f t="shared" si="57"/>
        <v>6.3729953077946398E-3</v>
      </c>
      <c r="Z635">
        <f t="shared" si="57"/>
        <v>1.564833914218642E-2</v>
      </c>
      <c r="AE635">
        <f>W635-mu-theta*AE634</f>
        <v>-9.9736710270780949E-3</v>
      </c>
      <c r="AF635">
        <f t="shared" si="59"/>
        <v>4.8756619148654732E-3</v>
      </c>
      <c r="AG635">
        <f t="shared" si="59"/>
        <v>1.0009132005711524E-2</v>
      </c>
      <c r="AK635">
        <f t="shared" si="58"/>
        <v>9.9474113756377016E-5</v>
      </c>
    </row>
    <row r="636" spans="1:37" x14ac:dyDescent="0.3">
      <c r="A636" s="1">
        <v>44816</v>
      </c>
      <c r="B636">
        <v>1.0119</v>
      </c>
      <c r="C636">
        <v>1.1678999999999999</v>
      </c>
      <c r="D636">
        <v>142.83000000000001</v>
      </c>
      <c r="G636">
        <v>1.0119</v>
      </c>
      <c r="H636">
        <f t="shared" si="55"/>
        <v>1.0039</v>
      </c>
      <c r="I636">
        <f t="shared" si="55"/>
        <v>0.99939999999999996</v>
      </c>
      <c r="J636">
        <f t="shared" si="55"/>
        <v>0.99990000000000001</v>
      </c>
      <c r="L636">
        <f t="shared" si="54"/>
        <v>8.0000000000000071E-3</v>
      </c>
      <c r="W636">
        <f t="shared" si="56"/>
        <v>2.1751333146225247E-3</v>
      </c>
      <c r="X636">
        <f t="shared" si="57"/>
        <v>-1.0895967797904041E-2</v>
      </c>
      <c r="Y636">
        <f t="shared" si="57"/>
        <v>2.7139874739040698E-3</v>
      </c>
      <c r="Z636">
        <f t="shared" si="57"/>
        <v>6.3729953077946398E-3</v>
      </c>
      <c r="AE636">
        <f>W636-mu-theta*AE635</f>
        <v>-4.8765589712488136E-4</v>
      </c>
      <c r="AF636">
        <f t="shared" si="59"/>
        <v>-9.9736710270780949E-3</v>
      </c>
      <c r="AG636">
        <f t="shared" si="59"/>
        <v>4.8756619148654732E-3</v>
      </c>
      <c r="AK636">
        <f t="shared" si="58"/>
        <v>2.3780827400067288E-7</v>
      </c>
    </row>
    <row r="637" spans="1:37" x14ac:dyDescent="0.3">
      <c r="A637" s="1">
        <v>44817</v>
      </c>
      <c r="B637">
        <v>0.997</v>
      </c>
      <c r="C637">
        <v>1.1491</v>
      </c>
      <c r="D637">
        <v>144.55000000000001</v>
      </c>
      <c r="G637">
        <v>0.997</v>
      </c>
      <c r="H637">
        <f t="shared" si="55"/>
        <v>1.0119</v>
      </c>
      <c r="I637">
        <f t="shared" si="55"/>
        <v>1.0039</v>
      </c>
      <c r="J637">
        <f t="shared" si="55"/>
        <v>0.99939999999999996</v>
      </c>
      <c r="L637">
        <f t="shared" si="54"/>
        <v>-1.4900000000000024E-2</v>
      </c>
      <c r="W637">
        <f t="shared" si="56"/>
        <v>1.204228803472659E-2</v>
      </c>
      <c r="X637">
        <f t="shared" si="57"/>
        <v>2.1751333146225247E-3</v>
      </c>
      <c r="Y637">
        <f t="shared" si="57"/>
        <v>-1.0895967797904041E-2</v>
      </c>
      <c r="Z637">
        <f t="shared" si="57"/>
        <v>2.7139874739040698E-3</v>
      </c>
      <c r="AE637">
        <f>W637-mu-theta*AE636</f>
        <v>1.166971482162611E-2</v>
      </c>
      <c r="AF637">
        <f t="shared" si="59"/>
        <v>-4.8765589712488136E-4</v>
      </c>
      <c r="AG637">
        <f t="shared" si="59"/>
        <v>-9.9736710270780949E-3</v>
      </c>
      <c r="AK637">
        <f t="shared" si="58"/>
        <v>1.3618224401808012E-4</v>
      </c>
    </row>
    <row r="638" spans="1:37" x14ac:dyDescent="0.3">
      <c r="A638" s="1">
        <v>44818</v>
      </c>
      <c r="B638">
        <v>0.99770000000000003</v>
      </c>
      <c r="C638">
        <v>1.1535</v>
      </c>
      <c r="D638">
        <v>143.15</v>
      </c>
      <c r="G638">
        <v>0.99770000000000003</v>
      </c>
      <c r="H638">
        <f t="shared" si="55"/>
        <v>0.997</v>
      </c>
      <c r="I638">
        <f t="shared" si="55"/>
        <v>1.0119</v>
      </c>
      <c r="J638">
        <f t="shared" si="55"/>
        <v>1.0039</v>
      </c>
      <c r="L638">
        <f t="shared" si="54"/>
        <v>7.0000000000003393E-4</v>
      </c>
      <c r="W638">
        <f t="shared" si="56"/>
        <v>-9.6852300242131137E-3</v>
      </c>
      <c r="X638">
        <f t="shared" si="57"/>
        <v>1.204228803472659E-2</v>
      </c>
      <c r="Y638">
        <f t="shared" si="57"/>
        <v>2.1751333146225247E-3</v>
      </c>
      <c r="Z638">
        <f t="shared" si="57"/>
        <v>-1.0895967797904041E-2</v>
      </c>
      <c r="AE638">
        <f>W638-mu-theta*AE637</f>
        <v>-7.1226397845748739E-3</v>
      </c>
      <c r="AF638">
        <f t="shared" si="59"/>
        <v>1.166971482162611E-2</v>
      </c>
      <c r="AG638">
        <f t="shared" si="59"/>
        <v>-4.8765589712488136E-4</v>
      </c>
      <c r="AK638">
        <f t="shared" si="58"/>
        <v>5.0731997500808806E-5</v>
      </c>
    </row>
    <row r="639" spans="1:37" x14ac:dyDescent="0.3">
      <c r="A639" s="1">
        <v>44819</v>
      </c>
      <c r="B639">
        <v>0.99990000000000001</v>
      </c>
      <c r="C639">
        <v>1.1463000000000001</v>
      </c>
      <c r="D639">
        <v>143.52000000000001</v>
      </c>
      <c r="G639">
        <v>0.99990000000000001</v>
      </c>
      <c r="H639">
        <f t="shared" si="55"/>
        <v>0.99770000000000003</v>
      </c>
      <c r="I639">
        <f t="shared" si="55"/>
        <v>0.997</v>
      </c>
      <c r="J639">
        <f t="shared" si="55"/>
        <v>1.0119</v>
      </c>
      <c r="L639">
        <f t="shared" si="54"/>
        <v>2.1999999999999797E-3</v>
      </c>
      <c r="W639">
        <f t="shared" si="56"/>
        <v>2.5847013622075062E-3</v>
      </c>
      <c r="X639">
        <f t="shared" si="57"/>
        <v>-9.6852300242131137E-3</v>
      </c>
      <c r="Y639">
        <f t="shared" si="57"/>
        <v>1.204228803472659E-2</v>
      </c>
      <c r="Z639">
        <f t="shared" si="57"/>
        <v>2.1751333146225247E-3</v>
      </c>
      <c r="AE639">
        <f>W639-mu-theta*AE638</f>
        <v>6.1023883714284716E-4</v>
      </c>
      <c r="AF639">
        <f t="shared" si="59"/>
        <v>-7.1226397845748739E-3</v>
      </c>
      <c r="AG639">
        <f t="shared" si="59"/>
        <v>1.166971482162611E-2</v>
      </c>
      <c r="AK639">
        <f t="shared" si="58"/>
        <v>3.7239143835745435E-7</v>
      </c>
    </row>
    <row r="640" spans="1:37" x14ac:dyDescent="0.3">
      <c r="A640" s="1">
        <v>44820</v>
      </c>
      <c r="B640">
        <v>1.0015000000000001</v>
      </c>
      <c r="C640">
        <v>1.1412</v>
      </c>
      <c r="D640">
        <v>142.91</v>
      </c>
      <c r="G640">
        <v>1.0015000000000001</v>
      </c>
      <c r="H640">
        <f t="shared" si="55"/>
        <v>0.99990000000000001</v>
      </c>
      <c r="I640">
        <f t="shared" si="55"/>
        <v>0.99770000000000003</v>
      </c>
      <c r="J640">
        <f t="shared" si="55"/>
        <v>0.997</v>
      </c>
      <c r="L640">
        <f t="shared" si="54"/>
        <v>1.6000000000000458E-3</v>
      </c>
      <c r="W640">
        <f t="shared" si="56"/>
        <v>-4.2502787068005405E-3</v>
      </c>
      <c r="X640">
        <f t="shared" si="57"/>
        <v>2.5847013622075062E-3</v>
      </c>
      <c r="Y640">
        <f t="shared" si="57"/>
        <v>-9.6852300242131137E-3</v>
      </c>
      <c r="Z640">
        <f t="shared" si="57"/>
        <v>1.204228803472659E-2</v>
      </c>
      <c r="AE640">
        <f>W640-mu-theta*AE639</f>
        <v>-4.3577863416994211E-3</v>
      </c>
      <c r="AF640">
        <f t="shared" si="59"/>
        <v>6.1023883714284716E-4</v>
      </c>
      <c r="AG640">
        <f t="shared" si="59"/>
        <v>-7.1226397845748739E-3</v>
      </c>
      <c r="AK640">
        <f t="shared" si="58"/>
        <v>1.8990301799902024E-5</v>
      </c>
    </row>
    <row r="641" spans="1:37" x14ac:dyDescent="0.3">
      <c r="A641" s="1">
        <v>44823</v>
      </c>
      <c r="B641">
        <v>1.0022</v>
      </c>
      <c r="C641">
        <v>1.1429</v>
      </c>
      <c r="D641">
        <v>143.19999999999999</v>
      </c>
      <c r="G641">
        <v>1.0022</v>
      </c>
      <c r="H641">
        <f t="shared" si="55"/>
        <v>1.0015000000000001</v>
      </c>
      <c r="I641">
        <f t="shared" si="55"/>
        <v>0.99990000000000001</v>
      </c>
      <c r="J641">
        <f t="shared" si="55"/>
        <v>0.99770000000000003</v>
      </c>
      <c r="L641">
        <f t="shared" si="54"/>
        <v>6.9999999999992291E-4</v>
      </c>
      <c r="W641">
        <f t="shared" si="56"/>
        <v>2.0292491778041567E-3</v>
      </c>
      <c r="X641">
        <f t="shared" si="57"/>
        <v>-4.2502787068005405E-3</v>
      </c>
      <c r="Y641">
        <f t="shared" si="57"/>
        <v>2.5847013622075062E-3</v>
      </c>
      <c r="Z641">
        <f t="shared" si="57"/>
        <v>-9.6852300242131137E-3</v>
      </c>
      <c r="AE641">
        <f>W641-mu-theta*AE640</f>
        <v>7.2230736634167265E-4</v>
      </c>
      <c r="AF641">
        <f t="shared" si="59"/>
        <v>-4.3577863416994211E-3</v>
      </c>
      <c r="AG641">
        <f t="shared" si="59"/>
        <v>6.1023883714284716E-4</v>
      </c>
      <c r="AK641">
        <f t="shared" si="58"/>
        <v>5.217279314714433E-7</v>
      </c>
    </row>
    <row r="642" spans="1:37" x14ac:dyDescent="0.3">
      <c r="A642" s="1">
        <v>44824</v>
      </c>
      <c r="B642">
        <v>0.997</v>
      </c>
      <c r="C642">
        <v>1.1378999999999999</v>
      </c>
      <c r="D642">
        <v>143.72</v>
      </c>
      <c r="G642">
        <v>0.997</v>
      </c>
      <c r="H642">
        <f t="shared" si="55"/>
        <v>1.0022</v>
      </c>
      <c r="I642">
        <f t="shared" si="55"/>
        <v>1.0015000000000001</v>
      </c>
      <c r="J642">
        <f t="shared" si="55"/>
        <v>0.99990000000000001</v>
      </c>
      <c r="L642">
        <f t="shared" si="54"/>
        <v>-5.1999999999999824E-3</v>
      </c>
      <c r="W642">
        <f t="shared" si="56"/>
        <v>3.6312849162011889E-3</v>
      </c>
      <c r="X642">
        <f t="shared" si="57"/>
        <v>2.0292491778041567E-3</v>
      </c>
      <c r="Y642">
        <f t="shared" si="57"/>
        <v>-4.2502787068005405E-3</v>
      </c>
      <c r="Z642">
        <f t="shared" si="57"/>
        <v>2.5847013622075062E-3</v>
      </c>
      <c r="AE642">
        <f>W642-mu-theta*AE641</f>
        <v>3.5508340733271856E-3</v>
      </c>
      <c r="AF642">
        <f t="shared" si="59"/>
        <v>7.2230736634167265E-4</v>
      </c>
      <c r="AG642">
        <f t="shared" si="59"/>
        <v>-4.3577863416994211E-3</v>
      </c>
      <c r="AK642">
        <f t="shared" si="58"/>
        <v>1.2608422616301333E-5</v>
      </c>
    </row>
    <row r="643" spans="1:37" x14ac:dyDescent="0.3">
      <c r="A643" s="1">
        <v>44825</v>
      </c>
      <c r="B643">
        <v>0.98370000000000002</v>
      </c>
      <c r="C643">
        <v>1.1266</v>
      </c>
      <c r="D643">
        <v>144.04</v>
      </c>
      <c r="G643">
        <v>0.98370000000000002</v>
      </c>
      <c r="H643">
        <f t="shared" si="55"/>
        <v>0.997</v>
      </c>
      <c r="I643">
        <f t="shared" si="55"/>
        <v>1.0022</v>
      </c>
      <c r="J643">
        <f t="shared" si="55"/>
        <v>1.0015000000000001</v>
      </c>
      <c r="L643">
        <f t="shared" si="54"/>
        <v>-1.3299999999999979E-2</v>
      </c>
      <c r="W643">
        <f t="shared" si="56"/>
        <v>2.2265516281658308E-3</v>
      </c>
      <c r="X643">
        <f t="shared" si="57"/>
        <v>3.6312849162011889E-3</v>
      </c>
      <c r="Y643">
        <f t="shared" si="57"/>
        <v>2.0292491778041567E-3</v>
      </c>
      <c r="Z643">
        <f t="shared" si="57"/>
        <v>-4.2502787068005405E-3</v>
      </c>
      <c r="AE643">
        <f>W643-mu-theta*AE642</f>
        <v>2.8289941844899247E-3</v>
      </c>
      <c r="AF643">
        <f t="shared" si="59"/>
        <v>3.5508340733271856E-3</v>
      </c>
      <c r="AG643">
        <f t="shared" si="59"/>
        <v>7.2230736634167265E-4</v>
      </c>
      <c r="AK643">
        <f t="shared" si="58"/>
        <v>8.0032080958778143E-6</v>
      </c>
    </row>
    <row r="644" spans="1:37" x14ac:dyDescent="0.3">
      <c r="A644" s="1">
        <v>44826</v>
      </c>
      <c r="B644">
        <v>0.98360000000000003</v>
      </c>
      <c r="C644">
        <v>1.1256999999999999</v>
      </c>
      <c r="D644">
        <v>142.35</v>
      </c>
      <c r="G644">
        <v>0.98360000000000003</v>
      </c>
      <c r="H644">
        <f t="shared" si="55"/>
        <v>0.98370000000000002</v>
      </c>
      <c r="I644">
        <f t="shared" si="55"/>
        <v>0.997</v>
      </c>
      <c r="J644">
        <f t="shared" si="55"/>
        <v>1.0022</v>
      </c>
      <c r="L644">
        <f t="shared" si="54"/>
        <v>-9.9999999999988987E-5</v>
      </c>
      <c r="W644">
        <f t="shared" si="56"/>
        <v>-1.1732851985559551E-2</v>
      </c>
      <c r="X644">
        <f t="shared" si="57"/>
        <v>2.2265516281658308E-3</v>
      </c>
      <c r="Y644">
        <f t="shared" si="57"/>
        <v>3.6312849162011889E-3</v>
      </c>
      <c r="Z644">
        <f t="shared" si="57"/>
        <v>2.0292491778041567E-3</v>
      </c>
      <c r="AE644">
        <f>W644-mu-theta*AE643</f>
        <v>-1.1304683794100902E-2</v>
      </c>
      <c r="AF644">
        <f t="shared" si="59"/>
        <v>2.8289941844899247E-3</v>
      </c>
      <c r="AG644">
        <f t="shared" si="59"/>
        <v>3.5508340733271856E-3</v>
      </c>
      <c r="AK644">
        <f t="shared" si="58"/>
        <v>1.2779587568460758E-4</v>
      </c>
    </row>
    <row r="645" spans="1:37" x14ac:dyDescent="0.3">
      <c r="A645" s="1">
        <v>44827</v>
      </c>
      <c r="B645">
        <v>0.96899999999999997</v>
      </c>
      <c r="C645">
        <v>1.0855999999999999</v>
      </c>
      <c r="D645">
        <v>143.32</v>
      </c>
      <c r="G645">
        <v>0.96899999999999997</v>
      </c>
      <c r="H645">
        <f t="shared" si="55"/>
        <v>0.98360000000000003</v>
      </c>
      <c r="I645">
        <f t="shared" si="55"/>
        <v>0.98370000000000002</v>
      </c>
      <c r="J645">
        <f t="shared" si="55"/>
        <v>0.997</v>
      </c>
      <c r="L645">
        <f t="shared" si="54"/>
        <v>-1.4600000000000057E-2</v>
      </c>
      <c r="W645">
        <f t="shared" si="56"/>
        <v>6.8141903758342035E-3</v>
      </c>
      <c r="X645">
        <f t="shared" si="57"/>
        <v>-1.1732851985559551E-2</v>
      </c>
      <c r="Y645">
        <f t="shared" si="57"/>
        <v>2.2265516281658308E-3</v>
      </c>
      <c r="Z645">
        <f t="shared" si="57"/>
        <v>3.6312849162011889E-3</v>
      </c>
      <c r="AE645">
        <f>W645-mu-theta*AE644</f>
        <v>3.8300537182226688E-3</v>
      </c>
      <c r="AF645">
        <f t="shared" si="59"/>
        <v>-1.1304683794100902E-2</v>
      </c>
      <c r="AG645">
        <f t="shared" si="59"/>
        <v>2.8289941844899247E-3</v>
      </c>
      <c r="AK645">
        <f t="shared" si="58"/>
        <v>1.4669311484471291E-5</v>
      </c>
    </row>
    <row r="646" spans="1:37" x14ac:dyDescent="0.3">
      <c r="A646" s="1">
        <v>44830</v>
      </c>
      <c r="B646">
        <v>0.96060000000000001</v>
      </c>
      <c r="C646">
        <v>1.0684</v>
      </c>
      <c r="D646">
        <v>144.75</v>
      </c>
      <c r="G646">
        <v>0.96060000000000001</v>
      </c>
      <c r="H646">
        <f t="shared" si="55"/>
        <v>0.96899999999999997</v>
      </c>
      <c r="I646">
        <f t="shared" si="55"/>
        <v>0.98360000000000003</v>
      </c>
      <c r="J646">
        <f t="shared" si="55"/>
        <v>0.98370000000000002</v>
      </c>
      <c r="L646">
        <f t="shared" ref="L646:L709" si="60">G646-H646</f>
        <v>-8.3999999999999631E-3</v>
      </c>
      <c r="W646">
        <f t="shared" si="56"/>
        <v>9.977672341613222E-3</v>
      </c>
      <c r="X646">
        <f t="shared" si="57"/>
        <v>6.8141903758342035E-3</v>
      </c>
      <c r="Y646">
        <f t="shared" si="57"/>
        <v>-1.1732851985559551E-2</v>
      </c>
      <c r="Z646">
        <f t="shared" si="57"/>
        <v>2.2265516281658308E-3</v>
      </c>
      <c r="AE646">
        <f>W646-mu-theta*AE645</f>
        <v>1.0647527113616474E-2</v>
      </c>
      <c r="AF646">
        <f t="shared" si="59"/>
        <v>3.8300537182226688E-3</v>
      </c>
      <c r="AG646">
        <f t="shared" si="59"/>
        <v>-1.1304683794100902E-2</v>
      </c>
      <c r="AK646">
        <f t="shared" si="58"/>
        <v>1.1336983363519797E-4</v>
      </c>
    </row>
    <row r="647" spans="1:37" x14ac:dyDescent="0.3">
      <c r="A647" s="1">
        <v>44831</v>
      </c>
      <c r="B647">
        <v>0.95920000000000005</v>
      </c>
      <c r="C647">
        <v>1.0730999999999999</v>
      </c>
      <c r="D647">
        <v>144.76</v>
      </c>
      <c r="G647">
        <v>0.95920000000000005</v>
      </c>
      <c r="H647">
        <f t="shared" ref="H647:J710" si="61">G646</f>
        <v>0.96060000000000001</v>
      </c>
      <c r="I647">
        <f t="shared" si="61"/>
        <v>0.96899999999999997</v>
      </c>
      <c r="J647">
        <f t="shared" si="61"/>
        <v>0.98360000000000003</v>
      </c>
      <c r="L647">
        <f t="shared" si="60"/>
        <v>-1.3999999999999568E-3</v>
      </c>
      <c r="W647">
        <f t="shared" ref="W647:W710" si="62">(D647-D646)/D646</f>
        <v>6.908462867005806E-5</v>
      </c>
      <c r="X647">
        <f t="shared" si="57"/>
        <v>9.977672341613222E-3</v>
      </c>
      <c r="Y647">
        <f t="shared" si="57"/>
        <v>6.8141903758342035E-3</v>
      </c>
      <c r="Z647">
        <f t="shared" si="57"/>
        <v>-1.1732851985559551E-2</v>
      </c>
      <c r="AE647">
        <f>W647-mu-theta*AE646</f>
        <v>2.3848872962421493E-3</v>
      </c>
      <c r="AF647">
        <f t="shared" si="59"/>
        <v>1.0647527113616474E-2</v>
      </c>
      <c r="AG647">
        <f t="shared" si="59"/>
        <v>3.8300537182226688E-3</v>
      </c>
      <c r="AK647">
        <f t="shared" si="58"/>
        <v>5.6876874157771895E-6</v>
      </c>
    </row>
    <row r="648" spans="1:37" x14ac:dyDescent="0.3">
      <c r="A648" s="1">
        <v>44832</v>
      </c>
      <c r="B648">
        <v>0.97340000000000004</v>
      </c>
      <c r="C648">
        <v>1.0888</v>
      </c>
      <c r="D648">
        <v>144.16</v>
      </c>
      <c r="G648">
        <v>0.97340000000000004</v>
      </c>
      <c r="H648">
        <f t="shared" si="61"/>
        <v>0.95920000000000005</v>
      </c>
      <c r="I648">
        <f t="shared" si="61"/>
        <v>0.96060000000000001</v>
      </c>
      <c r="J648">
        <f t="shared" si="61"/>
        <v>0.96899999999999997</v>
      </c>
      <c r="L648">
        <f t="shared" si="60"/>
        <v>1.419999999999999E-2</v>
      </c>
      <c r="W648">
        <f t="shared" si="62"/>
        <v>-4.1447913788338932E-3</v>
      </c>
      <c r="X648">
        <f t="shared" ref="X648:Z711" si="63">W647</f>
        <v>6.908462867005806E-5</v>
      </c>
      <c r="Y648">
        <f t="shared" si="63"/>
        <v>9.977672341613222E-3</v>
      </c>
      <c r="Z648">
        <f t="shared" si="63"/>
        <v>6.8141903758342035E-3</v>
      </c>
      <c r="AE648">
        <f>W648-mu-theta*AE647</f>
        <v>-3.8238442582507015E-3</v>
      </c>
      <c r="AF648">
        <f t="shared" si="59"/>
        <v>2.3848872962421493E-3</v>
      </c>
      <c r="AG648">
        <f t="shared" si="59"/>
        <v>1.0647527113616474E-2</v>
      </c>
      <c r="AK648">
        <f t="shared" ref="AK648:AK711" si="64">POWER(AE648,2)</f>
        <v>1.4621784911356857E-5</v>
      </c>
    </row>
    <row r="649" spans="1:37" x14ac:dyDescent="0.3">
      <c r="A649" s="1">
        <v>44833</v>
      </c>
      <c r="B649">
        <v>0.98140000000000005</v>
      </c>
      <c r="C649">
        <v>1.1114999999999999</v>
      </c>
      <c r="D649">
        <v>144.44999999999999</v>
      </c>
      <c r="G649">
        <v>0.98140000000000005</v>
      </c>
      <c r="H649">
        <f t="shared" si="61"/>
        <v>0.97340000000000004</v>
      </c>
      <c r="I649">
        <f t="shared" si="61"/>
        <v>0.95920000000000005</v>
      </c>
      <c r="J649">
        <f t="shared" si="61"/>
        <v>0.96060000000000001</v>
      </c>
      <c r="L649">
        <f t="shared" si="60"/>
        <v>8.0000000000000071E-3</v>
      </c>
      <c r="W649">
        <f t="shared" si="62"/>
        <v>2.0116537180909547E-3</v>
      </c>
      <c r="X649">
        <f t="shared" si="63"/>
        <v>-4.1447913788338932E-3</v>
      </c>
      <c r="Y649">
        <f t="shared" si="63"/>
        <v>6.908462867005806E-5</v>
      </c>
      <c r="Z649">
        <f t="shared" si="63"/>
        <v>9.977672341613222E-3</v>
      </c>
      <c r="AE649">
        <f>W649-mu-theta*AE648</f>
        <v>8.3362195843767123E-4</v>
      </c>
      <c r="AF649">
        <f t="shared" ref="AF649:AG712" si="65">AE648</f>
        <v>-3.8238442582507015E-3</v>
      </c>
      <c r="AG649">
        <f t="shared" si="65"/>
        <v>2.3848872962421493E-3</v>
      </c>
      <c r="AK649">
        <f t="shared" si="64"/>
        <v>6.949255695894585E-7</v>
      </c>
    </row>
    <row r="650" spans="1:37" x14ac:dyDescent="0.3">
      <c r="A650" s="1">
        <v>44834</v>
      </c>
      <c r="B650">
        <v>0.97989999999999999</v>
      </c>
      <c r="C650">
        <v>1.1160000000000001</v>
      </c>
      <c r="D650">
        <v>144.75</v>
      </c>
      <c r="G650">
        <v>0.97989999999999999</v>
      </c>
      <c r="H650">
        <f t="shared" si="61"/>
        <v>0.98140000000000005</v>
      </c>
      <c r="I650">
        <f t="shared" si="61"/>
        <v>0.97340000000000004</v>
      </c>
      <c r="J650">
        <f t="shared" si="61"/>
        <v>0.95920000000000005</v>
      </c>
      <c r="L650">
        <f t="shared" si="60"/>
        <v>-1.5000000000000568E-3</v>
      </c>
      <c r="W650">
        <f t="shared" si="62"/>
        <v>2.0768431983386043E-3</v>
      </c>
      <c r="X650">
        <f t="shared" si="63"/>
        <v>2.0116537180909547E-3</v>
      </c>
      <c r="Y650">
        <f t="shared" si="63"/>
        <v>-4.1447913788338932E-3</v>
      </c>
      <c r="Z650">
        <f t="shared" si="63"/>
        <v>6.908462867005806E-5</v>
      </c>
      <c r="AE650">
        <f>W650-mu-theta*AE649</f>
        <v>2.0232671238693159E-3</v>
      </c>
      <c r="AF650">
        <f t="shared" si="65"/>
        <v>8.3362195843767123E-4</v>
      </c>
      <c r="AG650">
        <f t="shared" si="65"/>
        <v>-3.8238442582507015E-3</v>
      </c>
      <c r="AK650">
        <f t="shared" si="64"/>
        <v>4.0936098545304133E-6</v>
      </c>
    </row>
    <row r="651" spans="1:37" x14ac:dyDescent="0.3">
      <c r="A651" s="1">
        <v>44837</v>
      </c>
      <c r="B651">
        <v>0.98240000000000005</v>
      </c>
      <c r="C651">
        <v>1.1322000000000001</v>
      </c>
      <c r="D651">
        <v>144.53</v>
      </c>
      <c r="G651">
        <v>0.98240000000000005</v>
      </c>
      <c r="H651">
        <f t="shared" si="61"/>
        <v>0.97989999999999999</v>
      </c>
      <c r="I651">
        <f t="shared" si="61"/>
        <v>0.98140000000000005</v>
      </c>
      <c r="J651">
        <f t="shared" si="61"/>
        <v>0.97340000000000004</v>
      </c>
      <c r="L651">
        <f t="shared" si="60"/>
        <v>2.5000000000000577E-3</v>
      </c>
      <c r="W651">
        <f t="shared" si="62"/>
        <v>-1.5198618307426519E-3</v>
      </c>
      <c r="X651">
        <f t="shared" si="63"/>
        <v>2.0768431983386043E-3</v>
      </c>
      <c r="Y651">
        <f t="shared" si="63"/>
        <v>2.0116537180909547E-3</v>
      </c>
      <c r="Z651">
        <f t="shared" si="63"/>
        <v>-4.1447913788338932E-3</v>
      </c>
      <c r="AE651">
        <f>W651-mu-theta*AE650</f>
        <v>-1.2862209491708888E-3</v>
      </c>
      <c r="AF651">
        <f t="shared" si="65"/>
        <v>2.0232671238693159E-3</v>
      </c>
      <c r="AG651">
        <f t="shared" si="65"/>
        <v>8.3362195843767123E-4</v>
      </c>
      <c r="AK651">
        <f t="shared" si="64"/>
        <v>1.6543643300860621E-6</v>
      </c>
    </row>
    <row r="652" spans="1:37" x14ac:dyDescent="0.3">
      <c r="A652" s="1">
        <v>44838</v>
      </c>
      <c r="B652">
        <v>0.99829999999999997</v>
      </c>
      <c r="C652">
        <v>1.1473</v>
      </c>
      <c r="D652">
        <v>144.09</v>
      </c>
      <c r="G652">
        <v>0.99829999999999997</v>
      </c>
      <c r="H652">
        <f t="shared" si="61"/>
        <v>0.98240000000000005</v>
      </c>
      <c r="I652">
        <f t="shared" si="61"/>
        <v>0.97989999999999999</v>
      </c>
      <c r="J652">
        <f t="shared" si="61"/>
        <v>0.98140000000000005</v>
      </c>
      <c r="L652">
        <f t="shared" si="60"/>
        <v>1.5899999999999914E-2</v>
      </c>
      <c r="W652">
        <f t="shared" si="62"/>
        <v>-3.0443506538434771E-3</v>
      </c>
      <c r="X652">
        <f t="shared" si="63"/>
        <v>-1.5198618307426519E-3</v>
      </c>
      <c r="Y652">
        <f t="shared" si="63"/>
        <v>2.0768431983386043E-3</v>
      </c>
      <c r="Z652">
        <f t="shared" si="63"/>
        <v>2.0116537180909547E-3</v>
      </c>
      <c r="AE652">
        <f>W652-mu-theta*AE651</f>
        <v>-3.6097220475394269E-3</v>
      </c>
      <c r="AF652">
        <f t="shared" si="65"/>
        <v>-1.2862209491708888E-3</v>
      </c>
      <c r="AG652">
        <f t="shared" si="65"/>
        <v>2.0232671238693159E-3</v>
      </c>
      <c r="AK652">
        <f t="shared" si="64"/>
        <v>1.3030093260492233E-5</v>
      </c>
    </row>
    <row r="653" spans="1:37" x14ac:dyDescent="0.3">
      <c r="A653" s="1">
        <v>44839</v>
      </c>
      <c r="B653">
        <v>0.98819999999999997</v>
      </c>
      <c r="C653">
        <v>1.1326000000000001</v>
      </c>
      <c r="D653">
        <v>144.63</v>
      </c>
      <c r="G653">
        <v>0.98819999999999997</v>
      </c>
      <c r="H653">
        <f t="shared" si="61"/>
        <v>0.99829999999999997</v>
      </c>
      <c r="I653">
        <f t="shared" si="61"/>
        <v>0.98240000000000005</v>
      </c>
      <c r="J653">
        <f t="shared" si="61"/>
        <v>0.97989999999999999</v>
      </c>
      <c r="L653">
        <f t="shared" si="60"/>
        <v>-1.0099999999999998E-2</v>
      </c>
      <c r="W653">
        <f t="shared" si="62"/>
        <v>3.7476577139287392E-3</v>
      </c>
      <c r="X653">
        <f t="shared" si="63"/>
        <v>-3.0443506538434771E-3</v>
      </c>
      <c r="Y653">
        <f t="shared" si="63"/>
        <v>-1.5198618307426519E-3</v>
      </c>
      <c r="Z653">
        <f t="shared" si="63"/>
        <v>2.0768431983386043E-3</v>
      </c>
      <c r="AE653">
        <f>W653-mu-theta*AE652</f>
        <v>2.6213216458718311E-3</v>
      </c>
      <c r="AF653">
        <f t="shared" si="65"/>
        <v>-3.6097220475394269E-3</v>
      </c>
      <c r="AG653">
        <f t="shared" si="65"/>
        <v>-1.2862209491708888E-3</v>
      </c>
      <c r="AK653">
        <f t="shared" si="64"/>
        <v>6.8713271711162055E-6</v>
      </c>
    </row>
    <row r="654" spans="1:37" x14ac:dyDescent="0.3">
      <c r="A654" s="1">
        <v>44840</v>
      </c>
      <c r="B654">
        <v>0.9788</v>
      </c>
      <c r="C654">
        <v>1.1157999999999999</v>
      </c>
      <c r="D654">
        <v>145.12</v>
      </c>
      <c r="G654">
        <v>0.9788</v>
      </c>
      <c r="H654">
        <f t="shared" si="61"/>
        <v>0.98819999999999997</v>
      </c>
      <c r="I654">
        <f t="shared" si="61"/>
        <v>0.99829999999999997</v>
      </c>
      <c r="J654">
        <f t="shared" si="61"/>
        <v>0.98240000000000005</v>
      </c>
      <c r="L654">
        <f t="shared" si="60"/>
        <v>-9.3999999999999639E-3</v>
      </c>
      <c r="W654">
        <f t="shared" si="62"/>
        <v>3.3879554725852806E-3</v>
      </c>
      <c r="X654">
        <f t="shared" si="63"/>
        <v>3.7476577139287392E-3</v>
      </c>
      <c r="Y654">
        <f t="shared" si="63"/>
        <v>-3.0443506538434771E-3</v>
      </c>
      <c r="Z654">
        <f t="shared" si="63"/>
        <v>-1.5198618307426519E-3</v>
      </c>
      <c r="AE654">
        <f>W654-mu-theta*AE653</f>
        <v>3.7659851217891329E-3</v>
      </c>
      <c r="AF654">
        <f t="shared" si="65"/>
        <v>2.6213216458718311E-3</v>
      </c>
      <c r="AG654">
        <f t="shared" si="65"/>
        <v>-3.6097220475394269E-3</v>
      </c>
      <c r="AK654">
        <f t="shared" si="64"/>
        <v>1.4182643937537111E-5</v>
      </c>
    </row>
    <row r="655" spans="1:37" x14ac:dyDescent="0.3">
      <c r="A655" s="1">
        <v>44841</v>
      </c>
      <c r="B655">
        <v>0.97409999999999997</v>
      </c>
      <c r="C655">
        <v>1.1084000000000001</v>
      </c>
      <c r="D655">
        <v>145.33000000000001</v>
      </c>
      <c r="G655">
        <v>0.97409999999999997</v>
      </c>
      <c r="H655">
        <f t="shared" si="61"/>
        <v>0.9788</v>
      </c>
      <c r="I655">
        <f t="shared" si="61"/>
        <v>0.98819999999999997</v>
      </c>
      <c r="J655">
        <f t="shared" si="61"/>
        <v>0.99829999999999997</v>
      </c>
      <c r="L655">
        <f t="shared" si="60"/>
        <v>-4.7000000000000375E-3</v>
      </c>
      <c r="W655">
        <f t="shared" si="62"/>
        <v>1.4470782800441561E-3</v>
      </c>
      <c r="X655">
        <f t="shared" si="63"/>
        <v>3.3879554725852806E-3</v>
      </c>
      <c r="Y655">
        <f t="shared" si="63"/>
        <v>3.7476577139287392E-3</v>
      </c>
      <c r="Z655">
        <f t="shared" si="63"/>
        <v>-3.0443506538434771E-3</v>
      </c>
      <c r="AE655">
        <f>W655-mu-theta*AE654</f>
        <v>2.1014649210616548E-3</v>
      </c>
      <c r="AF655">
        <f t="shared" si="65"/>
        <v>3.7659851217891329E-3</v>
      </c>
      <c r="AG655">
        <f t="shared" si="65"/>
        <v>2.6213216458718311E-3</v>
      </c>
      <c r="AK655">
        <f t="shared" si="64"/>
        <v>4.4161548144526671E-6</v>
      </c>
    </row>
    <row r="656" spans="1:37" x14ac:dyDescent="0.3">
      <c r="A656" s="1">
        <v>44844</v>
      </c>
      <c r="B656">
        <v>0.97</v>
      </c>
      <c r="C656">
        <v>1.1054999999999999</v>
      </c>
      <c r="D656">
        <v>145.68</v>
      </c>
      <c r="G656">
        <v>0.97</v>
      </c>
      <c r="H656">
        <f t="shared" si="61"/>
        <v>0.97409999999999997</v>
      </c>
      <c r="I656">
        <f t="shared" si="61"/>
        <v>0.9788</v>
      </c>
      <c r="J656">
        <f t="shared" si="61"/>
        <v>0.98819999999999997</v>
      </c>
      <c r="L656">
        <f t="shared" si="60"/>
        <v>-4.0999999999999925E-3</v>
      </c>
      <c r="W656">
        <f t="shared" si="62"/>
        <v>2.4083121172503563E-3</v>
      </c>
      <c r="X656">
        <f t="shared" si="63"/>
        <v>1.4470782800441561E-3</v>
      </c>
      <c r="Y656">
        <f t="shared" si="63"/>
        <v>3.3879554725852806E-3</v>
      </c>
      <c r="Z656">
        <f t="shared" si="63"/>
        <v>3.7476577139287392E-3</v>
      </c>
      <c r="AE656">
        <f>W656-mu-theta*AE655</f>
        <v>2.6608323537182909E-3</v>
      </c>
      <c r="AF656">
        <f t="shared" si="65"/>
        <v>2.1014649210616548E-3</v>
      </c>
      <c r="AG656">
        <f t="shared" si="65"/>
        <v>3.7659851217891329E-3</v>
      </c>
      <c r="AK656">
        <f t="shared" si="64"/>
        <v>7.0800288145940196E-6</v>
      </c>
    </row>
    <row r="657" spans="1:37" x14ac:dyDescent="0.3">
      <c r="A657" s="1">
        <v>44845</v>
      </c>
      <c r="B657">
        <v>0.97030000000000005</v>
      </c>
      <c r="C657">
        <v>1.0963000000000001</v>
      </c>
      <c r="D657">
        <v>145.86000000000001</v>
      </c>
      <c r="G657">
        <v>0.97030000000000005</v>
      </c>
      <c r="H657">
        <f t="shared" si="61"/>
        <v>0.97</v>
      </c>
      <c r="I657">
        <f t="shared" si="61"/>
        <v>0.97409999999999997</v>
      </c>
      <c r="J657">
        <f t="shared" si="61"/>
        <v>0.9788</v>
      </c>
      <c r="L657">
        <f t="shared" si="60"/>
        <v>3.0000000000007798E-4</v>
      </c>
      <c r="W657">
        <f t="shared" si="62"/>
        <v>1.2355848434926332E-3</v>
      </c>
      <c r="X657">
        <f t="shared" si="63"/>
        <v>2.4083121172503563E-3</v>
      </c>
      <c r="Y657">
        <f t="shared" si="63"/>
        <v>1.4470782800441561E-3</v>
      </c>
      <c r="Z657">
        <f t="shared" si="63"/>
        <v>3.3879554725852806E-3</v>
      </c>
      <c r="AE657">
        <f>W657-mu-theta*AE656</f>
        <v>1.6231535935716363E-3</v>
      </c>
      <c r="AF657">
        <f t="shared" si="65"/>
        <v>2.6608323537182909E-3</v>
      </c>
      <c r="AG657">
        <f t="shared" si="65"/>
        <v>2.1014649210616548E-3</v>
      </c>
      <c r="AK657">
        <f t="shared" si="64"/>
        <v>2.6346275883245168E-6</v>
      </c>
    </row>
    <row r="658" spans="1:37" x14ac:dyDescent="0.3">
      <c r="A658" s="1">
        <v>44846</v>
      </c>
      <c r="B658">
        <v>0.97040000000000004</v>
      </c>
      <c r="C658">
        <v>1.1103000000000001</v>
      </c>
      <c r="D658">
        <v>146.91</v>
      </c>
      <c r="G658">
        <v>0.97040000000000004</v>
      </c>
      <c r="H658">
        <f t="shared" si="61"/>
        <v>0.97030000000000005</v>
      </c>
      <c r="I658">
        <f t="shared" si="61"/>
        <v>0.97</v>
      </c>
      <c r="J658">
        <f t="shared" si="61"/>
        <v>0.97409999999999997</v>
      </c>
      <c r="L658">
        <f t="shared" si="60"/>
        <v>9.9999999999988987E-5</v>
      </c>
      <c r="W658">
        <f t="shared" si="62"/>
        <v>7.1986836692717873E-3</v>
      </c>
      <c r="X658">
        <f t="shared" si="63"/>
        <v>1.2355848434926332E-3</v>
      </c>
      <c r="Y658">
        <f t="shared" si="63"/>
        <v>2.4083121172503563E-3</v>
      </c>
      <c r="Z658">
        <f t="shared" si="63"/>
        <v>1.4470782800441561E-3</v>
      </c>
      <c r="AE658">
        <f>W658-mu-theta*AE657</f>
        <v>7.3357248305385113E-3</v>
      </c>
      <c r="AF658">
        <f t="shared" si="65"/>
        <v>1.6231535935716363E-3</v>
      </c>
      <c r="AG658">
        <f t="shared" si="65"/>
        <v>2.6608323537182909E-3</v>
      </c>
      <c r="AK658">
        <f t="shared" si="64"/>
        <v>5.381285878937927E-5</v>
      </c>
    </row>
    <row r="659" spans="1:37" x14ac:dyDescent="0.3">
      <c r="A659" s="1">
        <v>44847</v>
      </c>
      <c r="B659">
        <v>0.97729999999999995</v>
      </c>
      <c r="C659">
        <v>1.1329</v>
      </c>
      <c r="D659">
        <v>147.22</v>
      </c>
      <c r="G659">
        <v>0.97729999999999995</v>
      </c>
      <c r="H659">
        <f t="shared" si="61"/>
        <v>0.97040000000000004</v>
      </c>
      <c r="I659">
        <f t="shared" si="61"/>
        <v>0.97030000000000005</v>
      </c>
      <c r="J659">
        <f t="shared" si="61"/>
        <v>0.97</v>
      </c>
      <c r="L659">
        <f t="shared" si="60"/>
        <v>6.8999999999999062E-3</v>
      </c>
      <c r="W659">
        <f t="shared" si="62"/>
        <v>2.1101354570825831E-3</v>
      </c>
      <c r="X659">
        <f t="shared" si="63"/>
        <v>7.1986836692717873E-3</v>
      </c>
      <c r="Y659">
        <f t="shared" si="63"/>
        <v>1.2355848434926332E-3</v>
      </c>
      <c r="Z659">
        <f t="shared" si="63"/>
        <v>2.4083121172503563E-3</v>
      </c>
      <c r="AE659">
        <f>W659-mu-theta*AE658</f>
        <v>3.6263671278605782E-3</v>
      </c>
      <c r="AF659">
        <f t="shared" si="65"/>
        <v>7.3357248305385113E-3</v>
      </c>
      <c r="AG659">
        <f t="shared" si="65"/>
        <v>1.6231535935716363E-3</v>
      </c>
      <c r="AK659">
        <f t="shared" si="64"/>
        <v>1.3150538546027778E-5</v>
      </c>
    </row>
    <row r="660" spans="1:37" x14ac:dyDescent="0.3">
      <c r="A660" s="1">
        <v>44848</v>
      </c>
      <c r="B660">
        <v>0.97189999999999999</v>
      </c>
      <c r="C660">
        <v>1.117</v>
      </c>
      <c r="D660">
        <v>148.74</v>
      </c>
      <c r="G660">
        <v>0.97189999999999999</v>
      </c>
      <c r="H660">
        <f t="shared" si="61"/>
        <v>0.97729999999999995</v>
      </c>
      <c r="I660">
        <f t="shared" si="61"/>
        <v>0.97040000000000004</v>
      </c>
      <c r="J660">
        <f t="shared" si="61"/>
        <v>0.97030000000000005</v>
      </c>
      <c r="L660">
        <f t="shared" si="60"/>
        <v>-5.3999999999999604E-3</v>
      </c>
      <c r="W660">
        <f t="shared" si="62"/>
        <v>1.032468414617586E-2</v>
      </c>
      <c r="X660">
        <f t="shared" si="63"/>
        <v>2.1101354570825831E-3</v>
      </c>
      <c r="Y660">
        <f t="shared" si="63"/>
        <v>7.1986836692717873E-3</v>
      </c>
      <c r="Z660">
        <f t="shared" si="63"/>
        <v>1.2355848434926332E-3</v>
      </c>
      <c r="AE660">
        <f>W660-mu-theta*AE659</f>
        <v>1.0945362706506824E-2</v>
      </c>
      <c r="AF660">
        <f t="shared" si="65"/>
        <v>3.6263671278605782E-3</v>
      </c>
      <c r="AG660">
        <f t="shared" si="65"/>
        <v>7.3357248305385113E-3</v>
      </c>
      <c r="AK660">
        <f t="shared" si="64"/>
        <v>1.1980096477699038E-4</v>
      </c>
    </row>
    <row r="661" spans="1:37" x14ac:dyDescent="0.3">
      <c r="A661" s="1">
        <v>44851</v>
      </c>
      <c r="B661">
        <v>0.98380000000000001</v>
      </c>
      <c r="C661">
        <v>1.1353</v>
      </c>
      <c r="D661">
        <v>149.03</v>
      </c>
      <c r="G661">
        <v>0.98380000000000001</v>
      </c>
      <c r="H661">
        <f t="shared" si="61"/>
        <v>0.97189999999999999</v>
      </c>
      <c r="I661">
        <f t="shared" si="61"/>
        <v>0.97729999999999995</v>
      </c>
      <c r="J661">
        <f t="shared" si="61"/>
        <v>0.97040000000000004</v>
      </c>
      <c r="L661">
        <f t="shared" si="60"/>
        <v>1.1900000000000022E-2</v>
      </c>
      <c r="W661">
        <f t="shared" si="62"/>
        <v>1.9497109049347319E-3</v>
      </c>
      <c r="X661">
        <f t="shared" si="63"/>
        <v>1.032468414617586E-2</v>
      </c>
      <c r="Y661">
        <f t="shared" si="63"/>
        <v>2.1101354570825831E-3</v>
      </c>
      <c r="Z661">
        <f t="shared" si="63"/>
        <v>7.1986836692717873E-3</v>
      </c>
      <c r="AE661">
        <f>W661-mu-theta*AE660</f>
        <v>4.3374202509655294E-3</v>
      </c>
      <c r="AF661">
        <f t="shared" si="65"/>
        <v>1.0945362706506824E-2</v>
      </c>
      <c r="AG661">
        <f t="shared" si="65"/>
        <v>3.6263671278605782E-3</v>
      </c>
      <c r="AK661">
        <f t="shared" si="64"/>
        <v>1.8813214433485875E-5</v>
      </c>
    </row>
    <row r="662" spans="1:37" x14ac:dyDescent="0.3">
      <c r="A662" s="1">
        <v>44852</v>
      </c>
      <c r="B662">
        <v>0.98519999999999996</v>
      </c>
      <c r="C662">
        <v>1.1317999999999999</v>
      </c>
      <c r="D662">
        <v>149.26</v>
      </c>
      <c r="G662">
        <v>0.98519999999999996</v>
      </c>
      <c r="H662">
        <f t="shared" si="61"/>
        <v>0.98380000000000001</v>
      </c>
      <c r="I662">
        <f t="shared" si="61"/>
        <v>0.97189999999999999</v>
      </c>
      <c r="J662">
        <f t="shared" si="61"/>
        <v>0.97729999999999995</v>
      </c>
      <c r="L662">
        <f t="shared" si="60"/>
        <v>1.3999999999999568E-3</v>
      </c>
      <c r="W662">
        <f t="shared" si="62"/>
        <v>1.5433134268267447E-3</v>
      </c>
      <c r="X662">
        <f t="shared" si="63"/>
        <v>1.9497109049347319E-3</v>
      </c>
      <c r="Y662">
        <f t="shared" si="63"/>
        <v>1.032468414617586E-2</v>
      </c>
      <c r="Z662">
        <f t="shared" si="63"/>
        <v>2.1101354570825831E-3</v>
      </c>
      <c r="AE662">
        <f>W662-mu-theta*AE661</f>
        <v>2.3356620947965565E-3</v>
      </c>
      <c r="AF662">
        <f t="shared" si="65"/>
        <v>4.3374202509655294E-3</v>
      </c>
      <c r="AG662">
        <f t="shared" si="65"/>
        <v>1.0945362706506824E-2</v>
      </c>
      <c r="AK662">
        <f t="shared" si="64"/>
        <v>5.4553174210694386E-6</v>
      </c>
    </row>
    <row r="663" spans="1:37" x14ac:dyDescent="0.3">
      <c r="A663" s="1">
        <v>44853</v>
      </c>
      <c r="B663">
        <v>0.97709999999999997</v>
      </c>
      <c r="C663">
        <v>1.1214</v>
      </c>
      <c r="D663">
        <v>149.88999999999999</v>
      </c>
      <c r="G663">
        <v>0.97709999999999997</v>
      </c>
      <c r="H663">
        <f t="shared" si="61"/>
        <v>0.98519999999999996</v>
      </c>
      <c r="I663">
        <f t="shared" si="61"/>
        <v>0.98380000000000001</v>
      </c>
      <c r="J663">
        <f t="shared" si="61"/>
        <v>0.97189999999999999</v>
      </c>
      <c r="L663">
        <f t="shared" si="60"/>
        <v>-8.0999999999999961E-3</v>
      </c>
      <c r="W663">
        <f t="shared" si="62"/>
        <v>4.2208227254455014E-3</v>
      </c>
      <c r="X663">
        <f t="shared" si="63"/>
        <v>1.5433134268267447E-3</v>
      </c>
      <c r="Y663">
        <f t="shared" si="63"/>
        <v>1.9497109049347319E-3</v>
      </c>
      <c r="Z663">
        <f t="shared" si="63"/>
        <v>1.032468414617586E-2</v>
      </c>
      <c r="AE663">
        <f>W663-mu-theta*AE662</f>
        <v>4.5298853674206694E-3</v>
      </c>
      <c r="AF663">
        <f t="shared" si="65"/>
        <v>2.3356620947965565E-3</v>
      </c>
      <c r="AG663">
        <f t="shared" si="65"/>
        <v>4.3374202509655294E-3</v>
      </c>
      <c r="AK663">
        <f t="shared" si="64"/>
        <v>2.0519861441971892E-5</v>
      </c>
    </row>
    <row r="664" spans="1:37" x14ac:dyDescent="0.3">
      <c r="A664" s="1">
        <v>44854</v>
      </c>
      <c r="B664">
        <v>0.97829999999999995</v>
      </c>
      <c r="C664">
        <v>1.1233</v>
      </c>
      <c r="D664">
        <v>150.13999999999999</v>
      </c>
      <c r="G664">
        <v>0.97829999999999995</v>
      </c>
      <c r="H664">
        <f t="shared" si="61"/>
        <v>0.97709999999999997</v>
      </c>
      <c r="I664">
        <f t="shared" si="61"/>
        <v>0.98519999999999996</v>
      </c>
      <c r="J664">
        <f t="shared" si="61"/>
        <v>0.98380000000000001</v>
      </c>
      <c r="L664">
        <f t="shared" si="60"/>
        <v>1.1999999999999789E-3</v>
      </c>
      <c r="W664">
        <f t="shared" si="62"/>
        <v>1.6678897858429516E-3</v>
      </c>
      <c r="X664">
        <f t="shared" si="63"/>
        <v>4.2208227254455014E-3</v>
      </c>
      <c r="Y664">
        <f t="shared" si="63"/>
        <v>1.5433134268267447E-3</v>
      </c>
      <c r="Z664">
        <f t="shared" si="63"/>
        <v>1.9497109049347319E-3</v>
      </c>
      <c r="AE664">
        <f>W664-mu-theta*AE663</f>
        <v>2.5067054563263028E-3</v>
      </c>
      <c r="AF664">
        <f t="shared" si="65"/>
        <v>4.5298853674206694E-3</v>
      </c>
      <c r="AG664">
        <f t="shared" si="65"/>
        <v>2.3356620947965565E-3</v>
      </c>
      <c r="AK664">
        <f t="shared" si="64"/>
        <v>6.2835722447760583E-6</v>
      </c>
    </row>
    <row r="665" spans="1:37" x14ac:dyDescent="0.3">
      <c r="A665" s="1">
        <v>44855</v>
      </c>
      <c r="B665">
        <v>0.98599999999999999</v>
      </c>
      <c r="C665">
        <v>1.1302000000000001</v>
      </c>
      <c r="D665">
        <v>147.63999999999999</v>
      </c>
      <c r="G665">
        <v>0.98599999999999999</v>
      </c>
      <c r="H665">
        <f t="shared" si="61"/>
        <v>0.97829999999999995</v>
      </c>
      <c r="I665">
        <f t="shared" si="61"/>
        <v>0.97709999999999997</v>
      </c>
      <c r="J665">
        <f t="shared" si="61"/>
        <v>0.98519999999999996</v>
      </c>
      <c r="L665">
        <f t="shared" si="60"/>
        <v>7.7000000000000401E-3</v>
      </c>
      <c r="W665">
        <f t="shared" si="62"/>
        <v>-1.6651125616091649E-2</v>
      </c>
      <c r="X665">
        <f t="shared" si="63"/>
        <v>1.6678897858429516E-3</v>
      </c>
      <c r="Y665">
        <f t="shared" si="63"/>
        <v>4.2208227254455014E-3</v>
      </c>
      <c r="Z665">
        <f t="shared" si="63"/>
        <v>1.5433134268267447E-3</v>
      </c>
      <c r="AE665">
        <f>W665-mu-theta*AE664</f>
        <v>-1.6300767842528419E-2</v>
      </c>
      <c r="AF665">
        <f t="shared" si="65"/>
        <v>2.5067054563263028E-3</v>
      </c>
      <c r="AG665">
        <f t="shared" si="65"/>
        <v>4.5298853674206694E-3</v>
      </c>
      <c r="AK665">
        <f t="shared" si="64"/>
        <v>2.657150322560086E-4</v>
      </c>
    </row>
    <row r="666" spans="1:37" x14ac:dyDescent="0.3">
      <c r="A666" s="1">
        <v>44858</v>
      </c>
      <c r="B666">
        <v>0.98740000000000006</v>
      </c>
      <c r="C666">
        <v>1.1274999999999999</v>
      </c>
      <c r="D666">
        <v>148.96</v>
      </c>
      <c r="G666">
        <v>0.98740000000000006</v>
      </c>
      <c r="H666">
        <f t="shared" si="61"/>
        <v>0.98599999999999999</v>
      </c>
      <c r="I666">
        <f t="shared" si="61"/>
        <v>0.97829999999999995</v>
      </c>
      <c r="J666">
        <f t="shared" si="61"/>
        <v>0.97709999999999997</v>
      </c>
      <c r="L666">
        <f t="shared" si="60"/>
        <v>1.4000000000000679E-3</v>
      </c>
      <c r="W666">
        <f t="shared" si="62"/>
        <v>8.9406664860472891E-3</v>
      </c>
      <c r="X666">
        <f t="shared" si="63"/>
        <v>-1.6651125616091649E-2</v>
      </c>
      <c r="Y666">
        <f t="shared" si="63"/>
        <v>1.6678897858429516E-3</v>
      </c>
      <c r="Z666">
        <f t="shared" si="63"/>
        <v>4.2208227254455014E-3</v>
      </c>
      <c r="AE666">
        <f>W666-mu-theta*AE665</f>
        <v>4.7503213772006753E-3</v>
      </c>
      <c r="AF666">
        <f t="shared" si="65"/>
        <v>-1.6300767842528419E-2</v>
      </c>
      <c r="AG666">
        <f t="shared" si="65"/>
        <v>2.5067054563263028E-3</v>
      </c>
      <c r="AK666">
        <f t="shared" si="64"/>
        <v>2.2565553186689722E-5</v>
      </c>
    </row>
    <row r="667" spans="1:37" x14ac:dyDescent="0.3">
      <c r="A667" s="1">
        <v>44859</v>
      </c>
      <c r="B667">
        <v>0.99639999999999995</v>
      </c>
      <c r="C667">
        <v>1.1467000000000001</v>
      </c>
      <c r="D667">
        <v>147.91</v>
      </c>
      <c r="G667">
        <v>0.99639999999999995</v>
      </c>
      <c r="H667">
        <f t="shared" si="61"/>
        <v>0.98740000000000006</v>
      </c>
      <c r="I667">
        <f t="shared" si="61"/>
        <v>0.98599999999999999</v>
      </c>
      <c r="J667">
        <f t="shared" si="61"/>
        <v>0.97829999999999995</v>
      </c>
      <c r="L667">
        <f t="shared" si="60"/>
        <v>8.999999999999897E-3</v>
      </c>
      <c r="W667">
        <f t="shared" si="62"/>
        <v>-7.0488721804512038E-3</v>
      </c>
      <c r="X667">
        <f t="shared" si="63"/>
        <v>8.9406664860472891E-3</v>
      </c>
      <c r="Y667">
        <f t="shared" si="63"/>
        <v>-1.6651125616091649E-2</v>
      </c>
      <c r="Z667">
        <f t="shared" si="63"/>
        <v>1.6678897858429516E-3</v>
      </c>
      <c r="AE667">
        <f>W667-mu-theta*AE666</f>
        <v>-6.1568364729596946E-3</v>
      </c>
      <c r="AF667">
        <f t="shared" si="65"/>
        <v>4.7503213772006753E-3</v>
      </c>
      <c r="AG667">
        <f t="shared" si="65"/>
        <v>-1.6300767842528419E-2</v>
      </c>
      <c r="AK667">
        <f t="shared" si="64"/>
        <v>3.790663535476677E-5</v>
      </c>
    </row>
    <row r="668" spans="1:37" x14ac:dyDescent="0.3">
      <c r="A668" s="1">
        <v>44860</v>
      </c>
      <c r="B668">
        <v>1.0077</v>
      </c>
      <c r="C668">
        <v>1.1627000000000001</v>
      </c>
      <c r="D668">
        <v>146.35</v>
      </c>
      <c r="G668">
        <v>1.0077</v>
      </c>
      <c r="H668">
        <f t="shared" si="61"/>
        <v>0.99639999999999995</v>
      </c>
      <c r="I668">
        <f t="shared" si="61"/>
        <v>0.98740000000000006</v>
      </c>
      <c r="J668">
        <f t="shared" si="61"/>
        <v>0.98599999999999999</v>
      </c>
      <c r="L668">
        <f t="shared" si="60"/>
        <v>1.1300000000000088E-2</v>
      </c>
      <c r="W668">
        <f t="shared" si="62"/>
        <v>-1.054695422892301E-2</v>
      </c>
      <c r="X668">
        <f t="shared" si="63"/>
        <v>-7.0488721804512038E-3</v>
      </c>
      <c r="Y668">
        <f t="shared" si="63"/>
        <v>8.9406664860472891E-3</v>
      </c>
      <c r="Z668">
        <f t="shared" si="63"/>
        <v>-1.6651125616091649E-2</v>
      </c>
      <c r="AE668">
        <f>W668-mu-theta*AE667</f>
        <v>-1.2288242110525111E-2</v>
      </c>
      <c r="AF668">
        <f t="shared" si="65"/>
        <v>-6.1568364729596946E-3</v>
      </c>
      <c r="AG668">
        <f t="shared" si="65"/>
        <v>4.7503213772006753E-3</v>
      </c>
      <c r="AK668">
        <f t="shared" si="64"/>
        <v>1.5100089416688264E-4</v>
      </c>
    </row>
    <row r="669" spans="1:37" x14ac:dyDescent="0.3">
      <c r="A669" s="1">
        <v>44861</v>
      </c>
      <c r="B669">
        <v>0.99619999999999997</v>
      </c>
      <c r="C669">
        <v>1.1564000000000001</v>
      </c>
      <c r="D669">
        <v>146.27000000000001</v>
      </c>
      <c r="G669">
        <v>0.99619999999999997</v>
      </c>
      <c r="H669">
        <f t="shared" si="61"/>
        <v>1.0077</v>
      </c>
      <c r="I669">
        <f t="shared" si="61"/>
        <v>0.99639999999999995</v>
      </c>
      <c r="J669">
        <f t="shared" si="61"/>
        <v>0.98740000000000006</v>
      </c>
      <c r="L669">
        <f t="shared" si="60"/>
        <v>-1.1500000000000066E-2</v>
      </c>
      <c r="W669">
        <f t="shared" si="62"/>
        <v>-5.4663477963774569E-4</v>
      </c>
      <c r="X669">
        <f t="shared" si="63"/>
        <v>-1.054695422892301E-2</v>
      </c>
      <c r="Y669">
        <f t="shared" si="63"/>
        <v>-7.0488721804512038E-3</v>
      </c>
      <c r="Z669">
        <f t="shared" si="63"/>
        <v>8.9406664860472891E-3</v>
      </c>
      <c r="AE669">
        <f>W669-mu-theta*AE668</f>
        <v>-3.7682326853095151E-3</v>
      </c>
      <c r="AF669">
        <f t="shared" si="65"/>
        <v>-1.2288242110525111E-2</v>
      </c>
      <c r="AG669">
        <f t="shared" si="65"/>
        <v>-6.1568364729596946E-3</v>
      </c>
      <c r="AK669">
        <f t="shared" si="64"/>
        <v>1.4199577570634959E-5</v>
      </c>
    </row>
    <row r="670" spans="1:37" x14ac:dyDescent="0.3">
      <c r="A670" s="1">
        <v>44862</v>
      </c>
      <c r="B670">
        <v>0.99629999999999996</v>
      </c>
      <c r="C670">
        <v>1.161</v>
      </c>
      <c r="D670">
        <v>147.44999999999999</v>
      </c>
      <c r="G670">
        <v>0.99629999999999996</v>
      </c>
      <c r="H670">
        <f t="shared" si="61"/>
        <v>0.99619999999999997</v>
      </c>
      <c r="I670">
        <f t="shared" si="61"/>
        <v>1.0077</v>
      </c>
      <c r="J670">
        <f t="shared" si="61"/>
        <v>0.99639999999999995</v>
      </c>
      <c r="L670">
        <f t="shared" si="60"/>
        <v>9.9999999999988987E-5</v>
      </c>
      <c r="W670">
        <f t="shared" si="62"/>
        <v>8.0672728515757044E-3</v>
      </c>
      <c r="X670">
        <f t="shared" si="63"/>
        <v>-5.4663477963774569E-4</v>
      </c>
      <c r="Y670">
        <f t="shared" si="63"/>
        <v>-1.054695422892301E-2</v>
      </c>
      <c r="Z670">
        <f t="shared" si="63"/>
        <v>-7.0488721804512038E-3</v>
      </c>
      <c r="AE670">
        <f>W670-mu-theta*AE669</f>
        <v>6.9026674371595971E-3</v>
      </c>
      <c r="AF670">
        <f t="shared" si="65"/>
        <v>-3.7682326853095151E-3</v>
      </c>
      <c r="AG670">
        <f t="shared" si="65"/>
        <v>-1.2288242110525111E-2</v>
      </c>
      <c r="AK670">
        <f t="shared" si="64"/>
        <v>4.7646817748023441E-5</v>
      </c>
    </row>
    <row r="671" spans="1:37" x14ac:dyDescent="0.3">
      <c r="A671" s="1">
        <v>44865</v>
      </c>
      <c r="B671">
        <v>0.98829999999999996</v>
      </c>
      <c r="C671">
        <v>1.1469</v>
      </c>
      <c r="D671">
        <v>148.71</v>
      </c>
      <c r="G671">
        <v>0.98829999999999996</v>
      </c>
      <c r="H671">
        <f t="shared" si="61"/>
        <v>0.99629999999999996</v>
      </c>
      <c r="I671">
        <f t="shared" si="61"/>
        <v>0.99619999999999997</v>
      </c>
      <c r="J671">
        <f t="shared" si="61"/>
        <v>1.0077</v>
      </c>
      <c r="L671">
        <f t="shared" si="60"/>
        <v>-8.0000000000000071E-3</v>
      </c>
      <c r="W671">
        <f t="shared" si="62"/>
        <v>8.5452695829095933E-3</v>
      </c>
      <c r="X671">
        <f t="shared" si="63"/>
        <v>8.0672728515757044E-3</v>
      </c>
      <c r="Y671">
        <f t="shared" si="63"/>
        <v>-5.4663477963774569E-4</v>
      </c>
      <c r="Z671">
        <f t="shared" si="63"/>
        <v>-1.054695422892301E-2</v>
      </c>
      <c r="AE671">
        <f>W671-mu-theta*AE670</f>
        <v>9.9569478709381765E-3</v>
      </c>
      <c r="AF671">
        <f t="shared" si="65"/>
        <v>6.9026674371595971E-3</v>
      </c>
      <c r="AG671">
        <f t="shared" si="65"/>
        <v>-3.7682326853095151E-3</v>
      </c>
      <c r="AK671">
        <f t="shared" si="64"/>
        <v>9.914081090458029E-5</v>
      </c>
    </row>
    <row r="672" spans="1:37" x14ac:dyDescent="0.3">
      <c r="A672" s="1">
        <v>44866</v>
      </c>
      <c r="B672">
        <v>0.98740000000000006</v>
      </c>
      <c r="C672">
        <v>1.1483000000000001</v>
      </c>
      <c r="D672">
        <v>148.28</v>
      </c>
      <c r="G672">
        <v>0.98740000000000006</v>
      </c>
      <c r="H672">
        <f t="shared" si="61"/>
        <v>0.98829999999999996</v>
      </c>
      <c r="I672">
        <f t="shared" si="61"/>
        <v>0.99629999999999996</v>
      </c>
      <c r="J672">
        <f t="shared" si="61"/>
        <v>0.99619999999999997</v>
      </c>
      <c r="L672">
        <f t="shared" si="60"/>
        <v>-8.9999999999990088E-4</v>
      </c>
      <c r="W672">
        <f t="shared" si="62"/>
        <v>-2.891533857844172E-3</v>
      </c>
      <c r="X672">
        <f t="shared" si="63"/>
        <v>8.5452695829095933E-3</v>
      </c>
      <c r="Y672">
        <f t="shared" si="63"/>
        <v>8.0672728515757044E-3</v>
      </c>
      <c r="Z672">
        <f t="shared" si="63"/>
        <v>-5.4663477963774569E-4</v>
      </c>
      <c r="AE672">
        <f>W672-mu-theta*AE671</f>
        <v>-7.4245827306170268E-4</v>
      </c>
      <c r="AF672">
        <f t="shared" si="65"/>
        <v>9.9569478709381765E-3</v>
      </c>
      <c r="AG672">
        <f t="shared" si="65"/>
        <v>6.9026674371595971E-3</v>
      </c>
      <c r="AK672">
        <f t="shared" si="64"/>
        <v>5.512442872377659E-7</v>
      </c>
    </row>
    <row r="673" spans="1:37" x14ac:dyDescent="0.3">
      <c r="A673" s="1">
        <v>44867</v>
      </c>
      <c r="B673">
        <v>0.98170000000000002</v>
      </c>
      <c r="C673">
        <v>1.1389</v>
      </c>
      <c r="D673">
        <v>147.9</v>
      </c>
      <c r="G673">
        <v>0.98170000000000002</v>
      </c>
      <c r="H673">
        <f t="shared" si="61"/>
        <v>0.98740000000000006</v>
      </c>
      <c r="I673">
        <f t="shared" si="61"/>
        <v>0.98829999999999996</v>
      </c>
      <c r="J673">
        <f t="shared" si="61"/>
        <v>0.99629999999999996</v>
      </c>
      <c r="L673">
        <f t="shared" si="60"/>
        <v>-5.7000000000000384E-3</v>
      </c>
      <c r="W673">
        <f t="shared" si="62"/>
        <v>-2.5627191799298316E-3</v>
      </c>
      <c r="X673">
        <f t="shared" si="63"/>
        <v>-2.891533857844172E-3</v>
      </c>
      <c r="Y673">
        <f t="shared" si="63"/>
        <v>8.5452695829095933E-3</v>
      </c>
      <c r="Z673">
        <f t="shared" si="63"/>
        <v>8.0672728515757044E-3</v>
      </c>
      <c r="AE673">
        <f>W673-mu-theta*AE672</f>
        <v>-2.9968095285049447E-3</v>
      </c>
      <c r="AF673">
        <f t="shared" si="65"/>
        <v>-7.4245827306170268E-4</v>
      </c>
      <c r="AG673">
        <f t="shared" si="65"/>
        <v>9.9569478709381765E-3</v>
      </c>
      <c r="AK673">
        <f t="shared" si="64"/>
        <v>8.9808673501380285E-6</v>
      </c>
    </row>
    <row r="674" spans="1:37" x14ac:dyDescent="0.3">
      <c r="A674" s="1">
        <v>44868</v>
      </c>
      <c r="B674">
        <v>0.97509999999999997</v>
      </c>
      <c r="C674">
        <v>1.1165</v>
      </c>
      <c r="D674">
        <v>148.27000000000001</v>
      </c>
      <c r="G674">
        <v>0.97509999999999997</v>
      </c>
      <c r="H674">
        <f t="shared" si="61"/>
        <v>0.98170000000000002</v>
      </c>
      <c r="I674">
        <f t="shared" si="61"/>
        <v>0.98740000000000006</v>
      </c>
      <c r="J674">
        <f t="shared" si="61"/>
        <v>0.98829999999999996</v>
      </c>
      <c r="L674">
        <f t="shared" si="60"/>
        <v>-6.6000000000000503E-3</v>
      </c>
      <c r="W674">
        <f t="shared" si="62"/>
        <v>2.5016903313049665E-3</v>
      </c>
      <c r="X674">
        <f t="shared" si="63"/>
        <v>-2.5627191799298316E-3</v>
      </c>
      <c r="Y674">
        <f t="shared" si="63"/>
        <v>-2.891533857844172E-3</v>
      </c>
      <c r="Z674">
        <f t="shared" si="63"/>
        <v>8.5452695829095933E-3</v>
      </c>
      <c r="AE674">
        <f>W674-mu-theta*AE673</f>
        <v>1.5233302086407031E-3</v>
      </c>
      <c r="AF674">
        <f t="shared" si="65"/>
        <v>-2.9968095285049447E-3</v>
      </c>
      <c r="AG674">
        <f t="shared" si="65"/>
        <v>-7.4245827306170268E-4</v>
      </c>
      <c r="AK674">
        <f t="shared" si="64"/>
        <v>2.3205349245573279E-6</v>
      </c>
    </row>
    <row r="675" spans="1:37" x14ac:dyDescent="0.3">
      <c r="A675" s="1">
        <v>44869</v>
      </c>
      <c r="B675">
        <v>0.996</v>
      </c>
      <c r="C675">
        <v>1.1375</v>
      </c>
      <c r="D675">
        <v>146.59</v>
      </c>
      <c r="G675">
        <v>0.996</v>
      </c>
      <c r="H675">
        <f t="shared" si="61"/>
        <v>0.97509999999999997</v>
      </c>
      <c r="I675">
        <f t="shared" si="61"/>
        <v>0.98170000000000002</v>
      </c>
      <c r="J675">
        <f t="shared" si="61"/>
        <v>0.98740000000000006</v>
      </c>
      <c r="L675">
        <f t="shared" si="60"/>
        <v>2.090000000000003E-2</v>
      </c>
      <c r="W675">
        <f t="shared" si="62"/>
        <v>-1.1330680515276231E-2</v>
      </c>
      <c r="X675">
        <f t="shared" si="63"/>
        <v>2.5016903313049665E-3</v>
      </c>
      <c r="Y675">
        <f t="shared" si="63"/>
        <v>-2.5627191799298316E-3</v>
      </c>
      <c r="Z675">
        <f t="shared" si="63"/>
        <v>-2.891533857844172E-3</v>
      </c>
      <c r="AE675">
        <f>W675-mu-theta*AE674</f>
        <v>-1.121773979134552E-2</v>
      </c>
      <c r="AF675">
        <f t="shared" si="65"/>
        <v>1.5233302086407031E-3</v>
      </c>
      <c r="AG675">
        <f t="shared" si="65"/>
        <v>-2.9968095285049447E-3</v>
      </c>
      <c r="AK675">
        <f t="shared" si="64"/>
        <v>1.2583768602633663E-4</v>
      </c>
    </row>
    <row r="676" spans="1:37" x14ac:dyDescent="0.3">
      <c r="A676" s="1">
        <v>44872</v>
      </c>
      <c r="B676">
        <v>1.0019</v>
      </c>
      <c r="C676">
        <v>1.1511</v>
      </c>
      <c r="D676">
        <v>146.62</v>
      </c>
      <c r="G676">
        <v>1.0019</v>
      </c>
      <c r="H676">
        <f t="shared" si="61"/>
        <v>0.996</v>
      </c>
      <c r="I676">
        <f t="shared" si="61"/>
        <v>0.97509999999999997</v>
      </c>
      <c r="J676">
        <f t="shared" si="61"/>
        <v>0.98170000000000002</v>
      </c>
      <c r="L676">
        <f t="shared" si="60"/>
        <v>5.9000000000000163E-3</v>
      </c>
      <c r="W676">
        <f t="shared" si="62"/>
        <v>2.0465243195307413E-4</v>
      </c>
      <c r="X676">
        <f t="shared" si="63"/>
        <v>-1.1330680515276231E-2</v>
      </c>
      <c r="Y676">
        <f t="shared" si="63"/>
        <v>2.5016903313049665E-3</v>
      </c>
      <c r="Z676">
        <f t="shared" si="63"/>
        <v>-2.5627191799298316E-3</v>
      </c>
      <c r="AE676">
        <f>W676-mu-theta*AE675</f>
        <v>-2.7584932675618376E-3</v>
      </c>
      <c r="AF676">
        <f t="shared" si="65"/>
        <v>-1.121773979134552E-2</v>
      </c>
      <c r="AG676">
        <f t="shared" si="65"/>
        <v>1.5233302086407031E-3</v>
      </c>
      <c r="AK676">
        <f t="shared" si="64"/>
        <v>7.6092851071839836E-6</v>
      </c>
    </row>
    <row r="677" spans="1:37" x14ac:dyDescent="0.3">
      <c r="A677" s="1">
        <v>44873</v>
      </c>
      <c r="B677">
        <v>1.0072000000000001</v>
      </c>
      <c r="C677">
        <v>1.1536</v>
      </c>
      <c r="D677">
        <v>145.66</v>
      </c>
      <c r="G677">
        <v>1.0072000000000001</v>
      </c>
      <c r="H677">
        <f t="shared" si="61"/>
        <v>1.0019</v>
      </c>
      <c r="I677">
        <f t="shared" si="61"/>
        <v>0.996</v>
      </c>
      <c r="J677">
        <f t="shared" si="61"/>
        <v>0.97509999999999997</v>
      </c>
      <c r="L677">
        <f t="shared" si="60"/>
        <v>5.3000000000000824E-3</v>
      </c>
      <c r="W677">
        <f t="shared" si="62"/>
        <v>-6.5475378529532662E-3</v>
      </c>
      <c r="X677">
        <f t="shared" si="63"/>
        <v>2.0465243195307413E-4</v>
      </c>
      <c r="Y677">
        <f t="shared" si="63"/>
        <v>-1.1330680515276231E-2</v>
      </c>
      <c r="Z677">
        <f t="shared" si="63"/>
        <v>2.5016903313049665E-3</v>
      </c>
      <c r="AE677">
        <f>W677-mu-theta*AE676</f>
        <v>-7.4683610956871775E-3</v>
      </c>
      <c r="AF677">
        <f t="shared" si="65"/>
        <v>-2.7584932675618376E-3</v>
      </c>
      <c r="AG677">
        <f t="shared" si="65"/>
        <v>-1.121773979134552E-2</v>
      </c>
      <c r="AK677">
        <f t="shared" si="64"/>
        <v>5.5776417455573781E-5</v>
      </c>
    </row>
    <row r="678" spans="1:37" x14ac:dyDescent="0.3">
      <c r="A678" s="1">
        <v>44874</v>
      </c>
      <c r="B678">
        <v>1.0011000000000001</v>
      </c>
      <c r="C678">
        <v>1.1355999999999999</v>
      </c>
      <c r="D678">
        <v>146.44</v>
      </c>
      <c r="G678">
        <v>1.0011000000000001</v>
      </c>
      <c r="H678">
        <f t="shared" si="61"/>
        <v>1.0072000000000001</v>
      </c>
      <c r="I678">
        <f t="shared" si="61"/>
        <v>1.0019</v>
      </c>
      <c r="J678">
        <f t="shared" si="61"/>
        <v>0.996</v>
      </c>
      <c r="L678">
        <f t="shared" si="60"/>
        <v>-6.0999999999999943E-3</v>
      </c>
      <c r="W678">
        <f t="shared" si="62"/>
        <v>5.3549361526843411E-3</v>
      </c>
      <c r="X678">
        <f t="shared" si="63"/>
        <v>-6.5475378529532662E-3</v>
      </c>
      <c r="Y678">
        <f t="shared" si="63"/>
        <v>2.0465243195307413E-4</v>
      </c>
      <c r="Z678">
        <f t="shared" si="63"/>
        <v>-1.1330680515276231E-2</v>
      </c>
      <c r="AE678">
        <f>W678-mu-theta*AE677</f>
        <v>3.2970058630277343E-3</v>
      </c>
      <c r="AF678">
        <f t="shared" si="65"/>
        <v>-7.4683610956871775E-3</v>
      </c>
      <c r="AG678">
        <f t="shared" si="65"/>
        <v>-2.7584932675618376E-3</v>
      </c>
      <c r="AK678">
        <f t="shared" si="64"/>
        <v>1.0870247660839256E-5</v>
      </c>
    </row>
    <row r="679" spans="1:37" x14ac:dyDescent="0.3">
      <c r="A679" s="1">
        <v>44875</v>
      </c>
      <c r="B679">
        <v>1.0207999999999999</v>
      </c>
      <c r="C679">
        <v>1.1713</v>
      </c>
      <c r="D679">
        <v>140.94999999999999</v>
      </c>
      <c r="G679">
        <v>1.0207999999999999</v>
      </c>
      <c r="H679">
        <f t="shared" si="61"/>
        <v>1.0011000000000001</v>
      </c>
      <c r="I679">
        <f t="shared" si="61"/>
        <v>1.0072000000000001</v>
      </c>
      <c r="J679">
        <f t="shared" si="61"/>
        <v>1.0019</v>
      </c>
      <c r="L679">
        <f t="shared" si="60"/>
        <v>1.9699999999999829E-2</v>
      </c>
      <c r="W679">
        <f t="shared" si="62"/>
        <v>-3.7489756897022733E-2</v>
      </c>
      <c r="X679">
        <f t="shared" si="63"/>
        <v>5.3549361526843411E-3</v>
      </c>
      <c r="Y679">
        <f t="shared" si="63"/>
        <v>-6.5475378529532662E-3</v>
      </c>
      <c r="Z679">
        <f t="shared" si="63"/>
        <v>2.0465243195307413E-4</v>
      </c>
      <c r="AE679">
        <f>W679-mu-theta*AE678</f>
        <v>-3.6948596282607007E-2</v>
      </c>
      <c r="AF679">
        <f t="shared" si="65"/>
        <v>3.2970058630277343E-3</v>
      </c>
      <c r="AG679">
        <f t="shared" si="65"/>
        <v>-7.4683610956871775E-3</v>
      </c>
      <c r="AK679">
        <f t="shared" si="64"/>
        <v>1.3651987672550804E-3</v>
      </c>
    </row>
    <row r="680" spans="1:37" x14ac:dyDescent="0.3">
      <c r="A680" s="1">
        <v>44876</v>
      </c>
      <c r="B680">
        <v>1.0351999999999999</v>
      </c>
      <c r="C680">
        <v>1.1835</v>
      </c>
      <c r="D680">
        <v>138.79</v>
      </c>
      <c r="G680">
        <v>1.0351999999999999</v>
      </c>
      <c r="H680">
        <f t="shared" si="61"/>
        <v>1.0207999999999999</v>
      </c>
      <c r="I680">
        <f t="shared" si="61"/>
        <v>1.0011000000000001</v>
      </c>
      <c r="J680">
        <f t="shared" si="61"/>
        <v>1.0072000000000001</v>
      </c>
      <c r="L680">
        <f t="shared" si="60"/>
        <v>1.4399999999999968E-2</v>
      </c>
      <c r="W680">
        <f t="shared" si="62"/>
        <v>-1.532458318552676E-2</v>
      </c>
      <c r="X680">
        <f t="shared" si="63"/>
        <v>-3.7489756897022733E-2</v>
      </c>
      <c r="Y680">
        <f t="shared" si="63"/>
        <v>5.3549361526843411E-3</v>
      </c>
      <c r="Z680">
        <f t="shared" si="63"/>
        <v>-6.5475378529532662E-3</v>
      </c>
      <c r="AE680">
        <f>W680-mu-theta*AE679</f>
        <v>-2.449994954755139E-2</v>
      </c>
      <c r="AF680">
        <f t="shared" si="65"/>
        <v>-3.6948596282607007E-2</v>
      </c>
      <c r="AG680">
        <f t="shared" si="65"/>
        <v>3.2970058630277343E-3</v>
      </c>
      <c r="AK680">
        <f t="shared" si="64"/>
        <v>6.0024752783256351E-4</v>
      </c>
    </row>
    <row r="681" spans="1:37" x14ac:dyDescent="0.3">
      <c r="A681" s="1">
        <v>44879</v>
      </c>
      <c r="B681">
        <v>1.0325</v>
      </c>
      <c r="C681">
        <v>1.1752</v>
      </c>
      <c r="D681">
        <v>139.88</v>
      </c>
      <c r="G681">
        <v>1.0325</v>
      </c>
      <c r="H681">
        <f t="shared" si="61"/>
        <v>1.0351999999999999</v>
      </c>
      <c r="I681">
        <f t="shared" si="61"/>
        <v>1.0207999999999999</v>
      </c>
      <c r="J681">
        <f t="shared" si="61"/>
        <v>1.0011000000000001</v>
      </c>
      <c r="L681">
        <f t="shared" si="60"/>
        <v>-2.6999999999999247E-3</v>
      </c>
      <c r="W681">
        <f t="shared" si="62"/>
        <v>7.8535917573312446E-3</v>
      </c>
      <c r="X681">
        <f t="shared" si="63"/>
        <v>-1.532458318552676E-2</v>
      </c>
      <c r="Y681">
        <f t="shared" si="63"/>
        <v>-3.7489756897022733E-2</v>
      </c>
      <c r="Z681">
        <f t="shared" si="63"/>
        <v>5.3549361526843411E-3</v>
      </c>
      <c r="AE681">
        <f>W681-mu-theta*AE680</f>
        <v>1.6837118428354838E-3</v>
      </c>
      <c r="AF681">
        <f t="shared" si="65"/>
        <v>-2.449994954755139E-2</v>
      </c>
      <c r="AG681">
        <f t="shared" si="65"/>
        <v>-3.6948596282607007E-2</v>
      </c>
      <c r="AK681">
        <f t="shared" si="64"/>
        <v>2.8348855697044606E-6</v>
      </c>
    </row>
    <row r="682" spans="1:37" x14ac:dyDescent="0.3">
      <c r="A682" s="1">
        <v>44880</v>
      </c>
      <c r="B682">
        <v>1.0347999999999999</v>
      </c>
      <c r="C682">
        <v>1.1858</v>
      </c>
      <c r="D682">
        <v>139.29</v>
      </c>
      <c r="G682">
        <v>1.0347999999999999</v>
      </c>
      <c r="H682">
        <f t="shared" si="61"/>
        <v>1.0325</v>
      </c>
      <c r="I682">
        <f t="shared" si="61"/>
        <v>1.0351999999999999</v>
      </c>
      <c r="J682">
        <f t="shared" si="61"/>
        <v>1.0207999999999999</v>
      </c>
      <c r="L682">
        <f t="shared" si="60"/>
        <v>2.2999999999999687E-3</v>
      </c>
      <c r="W682">
        <f t="shared" si="62"/>
        <v>-4.2179010580497816E-3</v>
      </c>
      <c r="X682">
        <f t="shared" si="63"/>
        <v>7.8535917573312446E-3</v>
      </c>
      <c r="Y682">
        <f t="shared" si="63"/>
        <v>-1.532458318552676E-2</v>
      </c>
      <c r="Z682">
        <f t="shared" si="63"/>
        <v>-3.7489756897022733E-2</v>
      </c>
      <c r="AE682">
        <f>W682-mu-theta*AE681</f>
        <v>-4.0662392716402434E-3</v>
      </c>
      <c r="AF682">
        <f t="shared" si="65"/>
        <v>1.6837118428354838E-3</v>
      </c>
      <c r="AG682">
        <f t="shared" si="65"/>
        <v>-2.449994954755139E-2</v>
      </c>
      <c r="AK682">
        <f t="shared" si="64"/>
        <v>1.6534301814229378E-5</v>
      </c>
    </row>
    <row r="683" spans="1:37" x14ac:dyDescent="0.3">
      <c r="A683" s="1">
        <v>44881</v>
      </c>
      <c r="B683">
        <v>1.0391999999999999</v>
      </c>
      <c r="C683">
        <v>1.1908000000000001</v>
      </c>
      <c r="D683">
        <v>139.55000000000001</v>
      </c>
      <c r="G683">
        <v>1.0391999999999999</v>
      </c>
      <c r="H683">
        <f t="shared" si="61"/>
        <v>1.0347999999999999</v>
      </c>
      <c r="I683">
        <f t="shared" si="61"/>
        <v>1.0325</v>
      </c>
      <c r="J683">
        <f t="shared" si="61"/>
        <v>1.0351999999999999</v>
      </c>
      <c r="L683">
        <f t="shared" si="60"/>
        <v>4.3999999999999595E-3</v>
      </c>
      <c r="W683">
        <f t="shared" si="62"/>
        <v>1.8666092325365737E-3</v>
      </c>
      <c r="X683">
        <f t="shared" si="63"/>
        <v>-4.2179010580497816E-3</v>
      </c>
      <c r="Y683">
        <f t="shared" si="63"/>
        <v>7.8535917573312446E-3</v>
      </c>
      <c r="Z683">
        <f t="shared" si="63"/>
        <v>-1.532458318552676E-2</v>
      </c>
      <c r="AE683">
        <f>W683-mu-theta*AE682</f>
        <v>6.3005585658267374E-4</v>
      </c>
      <c r="AF683">
        <f t="shared" si="65"/>
        <v>-4.0662392716402434E-3</v>
      </c>
      <c r="AG683">
        <f t="shared" si="65"/>
        <v>1.6837118428354838E-3</v>
      </c>
      <c r="AK683">
        <f t="shared" si="64"/>
        <v>3.9697038241412674E-7</v>
      </c>
    </row>
    <row r="684" spans="1:37" x14ac:dyDescent="0.3">
      <c r="A684" s="1">
        <v>44882</v>
      </c>
      <c r="B684">
        <v>1.036</v>
      </c>
      <c r="C684">
        <v>1.1861999999999999</v>
      </c>
      <c r="D684">
        <v>140.18</v>
      </c>
      <c r="G684">
        <v>1.036</v>
      </c>
      <c r="H684">
        <f t="shared" si="61"/>
        <v>1.0391999999999999</v>
      </c>
      <c r="I684">
        <f t="shared" si="61"/>
        <v>1.0347999999999999</v>
      </c>
      <c r="J684">
        <f t="shared" si="61"/>
        <v>1.0325</v>
      </c>
      <c r="L684">
        <f t="shared" si="60"/>
        <v>-3.1999999999998696E-3</v>
      </c>
      <c r="W684">
        <f t="shared" si="62"/>
        <v>4.514510927982769E-3</v>
      </c>
      <c r="X684">
        <f t="shared" si="63"/>
        <v>1.8666092325365737E-3</v>
      </c>
      <c r="Y684">
        <f t="shared" si="63"/>
        <v>-4.2179010580497816E-3</v>
      </c>
      <c r="Z684">
        <f t="shared" si="63"/>
        <v>7.8535917573312446E-3</v>
      </c>
      <c r="AE684">
        <f>W684-mu-theta*AE683</f>
        <v>4.4117877314750189E-3</v>
      </c>
      <c r="AF684">
        <f t="shared" si="65"/>
        <v>6.3005585658267374E-4</v>
      </c>
      <c r="AG684">
        <f t="shared" si="65"/>
        <v>-4.0662392716402434E-3</v>
      </c>
      <c r="AK684">
        <f t="shared" si="64"/>
        <v>1.9463870987593494E-5</v>
      </c>
    </row>
    <row r="685" spans="1:37" x14ac:dyDescent="0.3">
      <c r="A685" s="1">
        <v>44883</v>
      </c>
      <c r="B685">
        <v>1.0324</v>
      </c>
      <c r="C685">
        <v>1.1883999999999999</v>
      </c>
      <c r="D685">
        <v>140.35</v>
      </c>
      <c r="G685">
        <v>1.0324</v>
      </c>
      <c r="H685">
        <f t="shared" si="61"/>
        <v>1.036</v>
      </c>
      <c r="I685">
        <f t="shared" si="61"/>
        <v>1.0391999999999999</v>
      </c>
      <c r="J685">
        <f t="shared" si="61"/>
        <v>1.0347999999999999</v>
      </c>
      <c r="L685">
        <f t="shared" si="60"/>
        <v>-3.6000000000000476E-3</v>
      </c>
      <c r="W685">
        <f t="shared" si="62"/>
        <v>1.212726494506973E-3</v>
      </c>
      <c r="X685">
        <f t="shared" si="63"/>
        <v>4.514510927982769E-3</v>
      </c>
      <c r="Y685">
        <f t="shared" si="63"/>
        <v>1.8666092325365737E-3</v>
      </c>
      <c r="Z685">
        <f t="shared" si="63"/>
        <v>-4.2179010580497816E-3</v>
      </c>
      <c r="AE685">
        <f>W685-mu-theta*AE684</f>
        <v>2.0230297610420037E-3</v>
      </c>
      <c r="AF685">
        <f t="shared" si="65"/>
        <v>4.4117877314750189E-3</v>
      </c>
      <c r="AG685">
        <f t="shared" si="65"/>
        <v>6.3005585658267374E-4</v>
      </c>
      <c r="AK685">
        <f t="shared" si="64"/>
        <v>4.0926494140616669E-6</v>
      </c>
    </row>
    <row r="686" spans="1:37" x14ac:dyDescent="0.3">
      <c r="A686" s="1">
        <v>44886</v>
      </c>
      <c r="B686">
        <v>1.0241</v>
      </c>
      <c r="C686">
        <v>1.1820999999999999</v>
      </c>
      <c r="D686">
        <v>142.12</v>
      </c>
      <c r="G686">
        <v>1.0241</v>
      </c>
      <c r="H686">
        <f t="shared" si="61"/>
        <v>1.0324</v>
      </c>
      <c r="I686">
        <f t="shared" si="61"/>
        <v>1.036</v>
      </c>
      <c r="J686">
        <f t="shared" si="61"/>
        <v>1.0391999999999999</v>
      </c>
      <c r="L686">
        <f t="shared" si="60"/>
        <v>-8.2999999999999741E-3</v>
      </c>
      <c r="W686">
        <f t="shared" si="62"/>
        <v>1.2611328820805203E-2</v>
      </c>
      <c r="X686">
        <f t="shared" si="63"/>
        <v>1.212726494506973E-3</v>
      </c>
      <c r="Y686">
        <f t="shared" si="63"/>
        <v>4.514510927982769E-3</v>
      </c>
      <c r="Z686">
        <f t="shared" si="63"/>
        <v>1.8666092325365737E-3</v>
      </c>
      <c r="AE686">
        <f>W686-mu-theta*AE685</f>
        <v>1.2844912395685259E-2</v>
      </c>
      <c r="AF686">
        <f t="shared" si="65"/>
        <v>2.0230297610420037E-3</v>
      </c>
      <c r="AG686">
        <f t="shared" si="65"/>
        <v>4.4117877314750189E-3</v>
      </c>
      <c r="AK686">
        <f t="shared" si="64"/>
        <v>1.6499177445282882E-4</v>
      </c>
    </row>
    <row r="687" spans="1:37" x14ac:dyDescent="0.3">
      <c r="A687" s="1">
        <v>44887</v>
      </c>
      <c r="B687">
        <v>1.0302</v>
      </c>
      <c r="C687">
        <v>1.1882999999999999</v>
      </c>
      <c r="D687">
        <v>141.24</v>
      </c>
      <c r="G687">
        <v>1.0302</v>
      </c>
      <c r="H687">
        <f t="shared" si="61"/>
        <v>1.0241</v>
      </c>
      <c r="I687">
        <f t="shared" si="61"/>
        <v>1.0324</v>
      </c>
      <c r="J687">
        <f t="shared" si="61"/>
        <v>1.036</v>
      </c>
      <c r="L687">
        <f t="shared" si="60"/>
        <v>6.0999999999999943E-3</v>
      </c>
      <c r="W687">
        <f t="shared" si="62"/>
        <v>-6.1919504643962522E-3</v>
      </c>
      <c r="X687">
        <f t="shared" si="63"/>
        <v>1.2611328820805203E-2</v>
      </c>
      <c r="Y687">
        <f t="shared" si="63"/>
        <v>1.212726494506973E-3</v>
      </c>
      <c r="Z687">
        <f t="shared" si="63"/>
        <v>4.514510927982769E-3</v>
      </c>
      <c r="AE687">
        <f>W687-mu-theta*AE686</f>
        <v>-3.3456313619204736E-3</v>
      </c>
      <c r="AF687">
        <f t="shared" si="65"/>
        <v>1.2844912395685259E-2</v>
      </c>
      <c r="AG687">
        <f t="shared" si="65"/>
        <v>2.0230297610420037E-3</v>
      </c>
      <c r="AK687">
        <f t="shared" si="64"/>
        <v>1.1193249209865842E-5</v>
      </c>
    </row>
    <row r="688" spans="1:37" x14ac:dyDescent="0.3">
      <c r="A688" s="1">
        <v>44888</v>
      </c>
      <c r="B688">
        <v>1.0395000000000001</v>
      </c>
      <c r="C688">
        <v>1.2052</v>
      </c>
      <c r="D688">
        <v>139.59</v>
      </c>
      <c r="G688">
        <v>1.0395000000000001</v>
      </c>
      <c r="H688">
        <f t="shared" si="61"/>
        <v>1.0302</v>
      </c>
      <c r="I688">
        <f t="shared" si="61"/>
        <v>1.0241</v>
      </c>
      <c r="J688">
        <f t="shared" si="61"/>
        <v>1.0324</v>
      </c>
      <c r="L688">
        <f t="shared" si="60"/>
        <v>9.300000000000086E-3</v>
      </c>
      <c r="W688">
        <f t="shared" si="62"/>
        <v>-1.1682242990654245E-2</v>
      </c>
      <c r="X688">
        <f t="shared" si="63"/>
        <v>-6.1919504643962522E-3</v>
      </c>
      <c r="Y688">
        <f t="shared" si="63"/>
        <v>1.2611328820805203E-2</v>
      </c>
      <c r="Z688">
        <f t="shared" si="63"/>
        <v>1.212726494506973E-3</v>
      </c>
      <c r="AE688">
        <f>W688-mu-theta*AE687</f>
        <v>-1.2744819439417656E-2</v>
      </c>
      <c r="AF688">
        <f t="shared" si="65"/>
        <v>-3.3456313619204736E-3</v>
      </c>
      <c r="AG688">
        <f t="shared" si="65"/>
        <v>1.2844912395685259E-2</v>
      </c>
      <c r="AK688">
        <f t="shared" si="64"/>
        <v>1.6243042254335819E-4</v>
      </c>
    </row>
    <row r="689" spans="1:37" x14ac:dyDescent="0.3">
      <c r="A689" s="1">
        <v>44889</v>
      </c>
      <c r="B689">
        <v>1.0407999999999999</v>
      </c>
      <c r="C689">
        <v>1.2110000000000001</v>
      </c>
      <c r="D689">
        <v>138.61000000000001</v>
      </c>
      <c r="G689">
        <v>1.0407999999999999</v>
      </c>
      <c r="H689">
        <f t="shared" si="61"/>
        <v>1.0395000000000001</v>
      </c>
      <c r="I689">
        <f t="shared" si="61"/>
        <v>1.0302</v>
      </c>
      <c r="J689">
        <f t="shared" si="61"/>
        <v>1.0241</v>
      </c>
      <c r="L689">
        <f t="shared" si="60"/>
        <v>1.2999999999998568E-3</v>
      </c>
      <c r="W689">
        <f t="shared" si="62"/>
        <v>-7.0205602120495007E-3</v>
      </c>
      <c r="X689">
        <f t="shared" si="63"/>
        <v>-1.1682242990654245E-2</v>
      </c>
      <c r="Y689">
        <f t="shared" si="63"/>
        <v>-6.1919504643962522E-3</v>
      </c>
      <c r="Z689">
        <f t="shared" si="63"/>
        <v>1.2611328820805203E-2</v>
      </c>
      <c r="AE689">
        <f>W689-mu-theta*AE688</f>
        <v>-1.0352389936764799E-2</v>
      </c>
      <c r="AF689">
        <f t="shared" si="65"/>
        <v>-1.2744819439417656E-2</v>
      </c>
      <c r="AG689">
        <f t="shared" si="65"/>
        <v>-3.3456313619204736E-3</v>
      </c>
      <c r="AK689">
        <f t="shared" si="64"/>
        <v>1.0717197740282909E-4</v>
      </c>
    </row>
    <row r="690" spans="1:37" x14ac:dyDescent="0.3">
      <c r="A690" s="1">
        <v>44890</v>
      </c>
      <c r="B690">
        <v>1.0395000000000001</v>
      </c>
      <c r="C690">
        <v>1.2093</v>
      </c>
      <c r="D690">
        <v>139.1</v>
      </c>
      <c r="G690">
        <v>1.0395000000000001</v>
      </c>
      <c r="H690">
        <f t="shared" si="61"/>
        <v>1.0407999999999999</v>
      </c>
      <c r="I690">
        <f t="shared" si="61"/>
        <v>1.0395000000000001</v>
      </c>
      <c r="J690">
        <f t="shared" si="61"/>
        <v>1.0302</v>
      </c>
      <c r="L690">
        <f t="shared" si="60"/>
        <v>-1.2999999999998568E-3</v>
      </c>
      <c r="W690">
        <f t="shared" si="62"/>
        <v>3.5350984777431688E-3</v>
      </c>
      <c r="X690">
        <f t="shared" si="63"/>
        <v>-7.0205602120495007E-3</v>
      </c>
      <c r="Y690">
        <f t="shared" si="63"/>
        <v>-1.1682242990654245E-2</v>
      </c>
      <c r="Z690">
        <f t="shared" si="63"/>
        <v>-6.1919504643962522E-3</v>
      </c>
      <c r="AE690">
        <f>W690-mu-theta*AE689</f>
        <v>7.808748655576004E-4</v>
      </c>
      <c r="AF690">
        <f t="shared" si="65"/>
        <v>-1.0352389936764799E-2</v>
      </c>
      <c r="AG690">
        <f t="shared" si="65"/>
        <v>-1.2744819439417656E-2</v>
      </c>
      <c r="AK690">
        <f t="shared" si="64"/>
        <v>6.097655556596005E-7</v>
      </c>
    </row>
    <row r="691" spans="1:37" x14ac:dyDescent="0.3">
      <c r="A691" s="1">
        <v>44893</v>
      </c>
      <c r="B691">
        <v>1.0337000000000001</v>
      </c>
      <c r="C691">
        <v>1.1958</v>
      </c>
      <c r="D691">
        <v>138.94</v>
      </c>
      <c r="G691">
        <v>1.0337000000000001</v>
      </c>
      <c r="H691">
        <f t="shared" si="61"/>
        <v>1.0395000000000001</v>
      </c>
      <c r="I691">
        <f t="shared" si="61"/>
        <v>1.0407999999999999</v>
      </c>
      <c r="J691">
        <f t="shared" si="61"/>
        <v>1.0395000000000001</v>
      </c>
      <c r="L691">
        <f t="shared" si="60"/>
        <v>-5.8000000000000274E-3</v>
      </c>
      <c r="W691">
        <f t="shared" si="62"/>
        <v>-1.1502516175413127E-3</v>
      </c>
      <c r="X691">
        <f t="shared" si="63"/>
        <v>3.5350984777431688E-3</v>
      </c>
      <c r="Y691">
        <f t="shared" si="63"/>
        <v>-7.0205602120495007E-3</v>
      </c>
      <c r="Z691">
        <f t="shared" si="63"/>
        <v>-1.1682242990654245E-2</v>
      </c>
      <c r="AE691">
        <f>W691-mu-theta*AE690</f>
        <v>-1.216562463602374E-3</v>
      </c>
      <c r="AF691">
        <f t="shared" si="65"/>
        <v>7.808748655576004E-4</v>
      </c>
      <c r="AG691">
        <f t="shared" si="65"/>
        <v>-1.0352389936764799E-2</v>
      </c>
      <c r="AK691">
        <f t="shared" si="64"/>
        <v>1.4800242278462775E-6</v>
      </c>
    </row>
    <row r="692" spans="1:37" x14ac:dyDescent="0.3">
      <c r="A692" s="1">
        <v>44894</v>
      </c>
      <c r="B692">
        <v>1.0327</v>
      </c>
      <c r="C692">
        <v>1.1953</v>
      </c>
      <c r="D692">
        <v>138.68</v>
      </c>
      <c r="G692">
        <v>1.0327</v>
      </c>
      <c r="H692">
        <f t="shared" si="61"/>
        <v>1.0337000000000001</v>
      </c>
      <c r="I692">
        <f t="shared" si="61"/>
        <v>1.0395000000000001</v>
      </c>
      <c r="J692">
        <f t="shared" si="61"/>
        <v>1.0407999999999999</v>
      </c>
      <c r="L692">
        <f t="shared" si="60"/>
        <v>-1.0000000000001119E-3</v>
      </c>
      <c r="W692">
        <f t="shared" si="62"/>
        <v>-1.8713113574204039E-3</v>
      </c>
      <c r="X692">
        <f t="shared" si="63"/>
        <v>-1.1502516175413127E-3</v>
      </c>
      <c r="Y692">
        <f t="shared" si="63"/>
        <v>3.5350984777431688E-3</v>
      </c>
      <c r="Z692">
        <f t="shared" si="63"/>
        <v>-7.0205602120495007E-3</v>
      </c>
      <c r="AE692">
        <f>W692-mu-theta*AE691</f>
        <v>-2.4198650488562352E-3</v>
      </c>
      <c r="AF692">
        <f t="shared" si="65"/>
        <v>-1.216562463602374E-3</v>
      </c>
      <c r="AG692">
        <f t="shared" si="65"/>
        <v>7.808748655576004E-4</v>
      </c>
      <c r="AK692">
        <f t="shared" si="64"/>
        <v>5.8557468546759895E-6</v>
      </c>
    </row>
    <row r="693" spans="1:37" x14ac:dyDescent="0.3">
      <c r="A693" s="1">
        <v>44895</v>
      </c>
      <c r="B693">
        <v>1.0405</v>
      </c>
      <c r="C693">
        <v>1.2056</v>
      </c>
      <c r="D693">
        <v>138.03</v>
      </c>
      <c r="G693">
        <v>1.0405</v>
      </c>
      <c r="H693">
        <f t="shared" si="61"/>
        <v>1.0327</v>
      </c>
      <c r="I693">
        <f t="shared" si="61"/>
        <v>1.0337000000000001</v>
      </c>
      <c r="J693">
        <f t="shared" si="61"/>
        <v>1.0395000000000001</v>
      </c>
      <c r="L693">
        <f t="shared" si="60"/>
        <v>7.8000000000000291E-3</v>
      </c>
      <c r="W693">
        <f t="shared" si="62"/>
        <v>-4.6870493221806003E-3</v>
      </c>
      <c r="X693">
        <f t="shared" si="63"/>
        <v>-1.8713113574204039E-3</v>
      </c>
      <c r="Y693">
        <f t="shared" si="63"/>
        <v>-1.1502516175413127E-3</v>
      </c>
      <c r="Z693">
        <f t="shared" si="63"/>
        <v>3.5350984777431688E-3</v>
      </c>
      <c r="AE693">
        <f>W693-mu-theta*AE692</f>
        <v>-5.5261172911300494E-3</v>
      </c>
      <c r="AF693">
        <f t="shared" si="65"/>
        <v>-2.4198650488562352E-3</v>
      </c>
      <c r="AG693">
        <f t="shared" si="65"/>
        <v>-1.216562463602374E-3</v>
      </c>
      <c r="AK693">
        <f t="shared" si="64"/>
        <v>3.0537972315326515E-5</v>
      </c>
    </row>
    <row r="694" spans="1:37" x14ac:dyDescent="0.3">
      <c r="A694" s="1">
        <v>44896</v>
      </c>
      <c r="B694">
        <v>1.0522</v>
      </c>
      <c r="C694">
        <v>1.2253000000000001</v>
      </c>
      <c r="D694">
        <v>135.27000000000001</v>
      </c>
      <c r="G694">
        <v>1.0522</v>
      </c>
      <c r="H694">
        <f t="shared" si="61"/>
        <v>1.0405</v>
      </c>
      <c r="I694">
        <f t="shared" si="61"/>
        <v>1.0327</v>
      </c>
      <c r="J694">
        <f t="shared" si="61"/>
        <v>1.0337000000000001</v>
      </c>
      <c r="L694">
        <f t="shared" si="60"/>
        <v>1.1700000000000044E-2</v>
      </c>
      <c r="W694">
        <f t="shared" si="62"/>
        <v>-1.9995653118887131E-2</v>
      </c>
      <c r="X694">
        <f t="shared" si="63"/>
        <v>-4.6870493221806003E-3</v>
      </c>
      <c r="Y694">
        <f t="shared" si="63"/>
        <v>-1.8713113574204039E-3</v>
      </c>
      <c r="Z694">
        <f t="shared" si="63"/>
        <v>-1.1502516175413127E-3</v>
      </c>
      <c r="AE694">
        <f>W694-mu-theta*AE693</f>
        <v>-2.1584665978671206E-2</v>
      </c>
      <c r="AF694">
        <f t="shared" si="65"/>
        <v>-5.5261172911300494E-3</v>
      </c>
      <c r="AG694">
        <f t="shared" si="65"/>
        <v>-2.4198650488562352E-3</v>
      </c>
      <c r="AK694">
        <f t="shared" si="64"/>
        <v>4.6589780541080619E-4</v>
      </c>
    </row>
    <row r="695" spans="1:37" x14ac:dyDescent="0.3">
      <c r="A695" s="1">
        <v>44897</v>
      </c>
      <c r="B695">
        <v>1.0538000000000001</v>
      </c>
      <c r="C695">
        <v>1.2286999999999999</v>
      </c>
      <c r="D695">
        <v>134.30000000000001</v>
      </c>
      <c r="G695">
        <v>1.0538000000000001</v>
      </c>
      <c r="H695">
        <f t="shared" si="61"/>
        <v>1.0522</v>
      </c>
      <c r="I695">
        <f t="shared" si="61"/>
        <v>1.0405</v>
      </c>
      <c r="J695">
        <f t="shared" si="61"/>
        <v>1.0327</v>
      </c>
      <c r="L695">
        <f t="shared" si="60"/>
        <v>1.6000000000000458E-3</v>
      </c>
      <c r="W695">
        <f t="shared" si="62"/>
        <v>-7.1708434981887989E-3</v>
      </c>
      <c r="X695">
        <f t="shared" si="63"/>
        <v>-1.9995653118887131E-2</v>
      </c>
      <c r="Y695">
        <f t="shared" si="63"/>
        <v>-4.6870493221806003E-3</v>
      </c>
      <c r="Z695">
        <f t="shared" si="63"/>
        <v>-1.8713113574204039E-3</v>
      </c>
      <c r="AE695">
        <f>W695-mu-theta*AE694</f>
        <v>-1.2636884236953156E-2</v>
      </c>
      <c r="AF695">
        <f t="shared" si="65"/>
        <v>-2.1584665978671206E-2</v>
      </c>
      <c r="AG695">
        <f t="shared" si="65"/>
        <v>-5.5261172911300494E-3</v>
      </c>
      <c r="AK695">
        <f t="shared" si="64"/>
        <v>1.5969084321815514E-4</v>
      </c>
    </row>
    <row r="696" spans="1:37" x14ac:dyDescent="0.3">
      <c r="A696" s="1">
        <v>44900</v>
      </c>
      <c r="B696">
        <v>1.0490999999999999</v>
      </c>
      <c r="C696">
        <v>1.2188000000000001</v>
      </c>
      <c r="D696">
        <v>136.74</v>
      </c>
      <c r="G696">
        <v>1.0490999999999999</v>
      </c>
      <c r="H696">
        <f t="shared" si="61"/>
        <v>1.0538000000000001</v>
      </c>
      <c r="I696">
        <f t="shared" si="61"/>
        <v>1.0522</v>
      </c>
      <c r="J696">
        <f t="shared" si="61"/>
        <v>1.0405</v>
      </c>
      <c r="L696">
        <f t="shared" si="60"/>
        <v>-4.7000000000001485E-3</v>
      </c>
      <c r="W696">
        <f t="shared" si="62"/>
        <v>1.8168279970215917E-2</v>
      </c>
      <c r="X696">
        <f t="shared" si="63"/>
        <v>-7.1708434981887989E-3</v>
      </c>
      <c r="Y696">
        <f t="shared" si="63"/>
        <v>-1.9995653118887131E-2</v>
      </c>
      <c r="Z696">
        <f t="shared" si="63"/>
        <v>-4.6870493221806003E-3</v>
      </c>
      <c r="AE696">
        <f>W696-mu-theta*AE695</f>
        <v>1.4862509125242528E-2</v>
      </c>
      <c r="AF696">
        <f t="shared" si="65"/>
        <v>-1.2636884236953156E-2</v>
      </c>
      <c r="AG696">
        <f t="shared" si="65"/>
        <v>-2.1584665978671206E-2</v>
      </c>
      <c r="AK696">
        <f t="shared" si="64"/>
        <v>2.208941774979174E-4</v>
      </c>
    </row>
    <row r="697" spans="1:37" x14ac:dyDescent="0.3">
      <c r="A697" s="1">
        <v>44901</v>
      </c>
      <c r="B697">
        <v>1.0468999999999999</v>
      </c>
      <c r="C697">
        <v>1.2137</v>
      </c>
      <c r="D697">
        <v>137.05000000000001</v>
      </c>
      <c r="G697">
        <v>1.0468999999999999</v>
      </c>
      <c r="H697">
        <f t="shared" si="61"/>
        <v>1.0490999999999999</v>
      </c>
      <c r="I697">
        <f t="shared" si="61"/>
        <v>1.0538000000000001</v>
      </c>
      <c r="J697">
        <f t="shared" si="61"/>
        <v>1.0522</v>
      </c>
      <c r="L697">
        <f t="shared" si="60"/>
        <v>-2.1999999999999797E-3</v>
      </c>
      <c r="W697">
        <f t="shared" si="62"/>
        <v>2.2670762030130337E-3</v>
      </c>
      <c r="X697">
        <f t="shared" si="63"/>
        <v>1.8168279970215917E-2</v>
      </c>
      <c r="Y697">
        <f t="shared" si="63"/>
        <v>-7.1708434981887989E-3</v>
      </c>
      <c r="Z697">
        <f t="shared" si="63"/>
        <v>-1.9995653118887131E-2</v>
      </c>
      <c r="AE697">
        <f>W697-mu-theta*AE696</f>
        <v>5.6005052505551309E-3</v>
      </c>
      <c r="AF697">
        <f t="shared" si="65"/>
        <v>1.4862509125242528E-2</v>
      </c>
      <c r="AG697">
        <f t="shared" si="65"/>
        <v>-1.2636884236953156E-2</v>
      </c>
      <c r="AK697">
        <f t="shared" si="64"/>
        <v>3.1365659061495586E-5</v>
      </c>
    </row>
    <row r="698" spans="1:37" x14ac:dyDescent="0.3">
      <c r="A698" s="1">
        <v>44902</v>
      </c>
      <c r="B698">
        <v>1.0505</v>
      </c>
      <c r="C698">
        <v>1.2199</v>
      </c>
      <c r="D698">
        <v>136.6</v>
      </c>
      <c r="G698">
        <v>1.0505</v>
      </c>
      <c r="H698">
        <f t="shared" si="61"/>
        <v>1.0468999999999999</v>
      </c>
      <c r="I698">
        <f t="shared" si="61"/>
        <v>1.0490999999999999</v>
      </c>
      <c r="J698">
        <f t="shared" si="61"/>
        <v>1.0538000000000001</v>
      </c>
      <c r="L698">
        <f t="shared" si="60"/>
        <v>3.6000000000000476E-3</v>
      </c>
      <c r="W698">
        <f t="shared" si="62"/>
        <v>-3.2834731849691137E-3</v>
      </c>
      <c r="X698">
        <f t="shared" si="63"/>
        <v>2.2670762030130337E-3</v>
      </c>
      <c r="Y698">
        <f t="shared" si="63"/>
        <v>1.8168279970215917E-2</v>
      </c>
      <c r="Z698">
        <f t="shared" si="63"/>
        <v>-7.1708434981887989E-3</v>
      </c>
      <c r="AE698">
        <f>W698-mu-theta*AE697</f>
        <v>-2.1861769247719931E-3</v>
      </c>
      <c r="AF698">
        <f t="shared" si="65"/>
        <v>5.6005052505551309E-3</v>
      </c>
      <c r="AG698">
        <f t="shared" si="65"/>
        <v>1.4862509125242528E-2</v>
      </c>
      <c r="AK698">
        <f t="shared" si="64"/>
        <v>4.7793695464055287E-6</v>
      </c>
    </row>
    <row r="699" spans="1:37" x14ac:dyDescent="0.3">
      <c r="A699" s="1">
        <v>44903</v>
      </c>
      <c r="B699">
        <v>1.0556000000000001</v>
      </c>
      <c r="C699">
        <v>1.2233000000000001</v>
      </c>
      <c r="D699">
        <v>136.65</v>
      </c>
      <c r="G699">
        <v>1.0556000000000001</v>
      </c>
      <c r="H699">
        <f t="shared" si="61"/>
        <v>1.0505</v>
      </c>
      <c r="I699">
        <f t="shared" si="61"/>
        <v>1.0468999999999999</v>
      </c>
      <c r="J699">
        <f t="shared" si="61"/>
        <v>1.0490999999999999</v>
      </c>
      <c r="L699">
        <f t="shared" si="60"/>
        <v>5.1000000000001044E-3</v>
      </c>
      <c r="W699">
        <f t="shared" si="62"/>
        <v>3.6603221083463666E-4</v>
      </c>
      <c r="X699">
        <f t="shared" si="63"/>
        <v>-3.2834731849691137E-3</v>
      </c>
      <c r="Y699">
        <f t="shared" si="63"/>
        <v>2.2670762030130337E-3</v>
      </c>
      <c r="Z699">
        <f t="shared" si="63"/>
        <v>1.8168279970215917E-2</v>
      </c>
      <c r="AE699">
        <f>W699-mu-theta*AE698</f>
        <v>-4.1661625286001089E-4</v>
      </c>
      <c r="AF699">
        <f t="shared" si="65"/>
        <v>-2.1861769247719931E-3</v>
      </c>
      <c r="AG699">
        <f t="shared" si="65"/>
        <v>5.6005052505551309E-3</v>
      </c>
      <c r="AK699">
        <f t="shared" si="64"/>
        <v>1.7356910214711653E-7</v>
      </c>
    </row>
    <row r="700" spans="1:37" x14ac:dyDescent="0.3">
      <c r="A700" s="1">
        <v>44904</v>
      </c>
      <c r="B700">
        <v>1.0529999999999999</v>
      </c>
      <c r="C700">
        <v>1.2255</v>
      </c>
      <c r="D700">
        <v>136.56</v>
      </c>
      <c r="G700">
        <v>1.0529999999999999</v>
      </c>
      <c r="H700">
        <f t="shared" si="61"/>
        <v>1.0556000000000001</v>
      </c>
      <c r="I700">
        <f t="shared" si="61"/>
        <v>1.0505</v>
      </c>
      <c r="J700">
        <f t="shared" si="61"/>
        <v>1.0468999999999999</v>
      </c>
      <c r="L700">
        <f t="shared" si="60"/>
        <v>-2.6000000000001577E-3</v>
      </c>
      <c r="W700">
        <f t="shared" si="62"/>
        <v>-6.5861690450057383E-4</v>
      </c>
      <c r="X700">
        <f t="shared" si="63"/>
        <v>3.6603221083463666E-4</v>
      </c>
      <c r="Y700">
        <f t="shared" si="63"/>
        <v>-3.2834731849691137E-3</v>
      </c>
      <c r="Z700">
        <f t="shared" si="63"/>
        <v>2.2670762030130337E-3</v>
      </c>
      <c r="AE700">
        <f>W700-mu-theta*AE699</f>
        <v>-1.0140389611244143E-3</v>
      </c>
      <c r="AF700">
        <f t="shared" si="65"/>
        <v>-4.1661625286001089E-4</v>
      </c>
      <c r="AG700">
        <f t="shared" si="65"/>
        <v>-2.1861769247719931E-3</v>
      </c>
      <c r="AK700">
        <f t="shared" si="64"/>
        <v>1.0282750146782815E-6</v>
      </c>
    </row>
    <row r="701" spans="1:37" x14ac:dyDescent="0.3">
      <c r="A701" s="1">
        <v>44907</v>
      </c>
      <c r="B701">
        <v>1.0535000000000001</v>
      </c>
      <c r="C701">
        <v>1.2270000000000001</v>
      </c>
      <c r="D701">
        <v>137.66</v>
      </c>
      <c r="G701">
        <v>1.0535000000000001</v>
      </c>
      <c r="H701">
        <f t="shared" si="61"/>
        <v>1.0529999999999999</v>
      </c>
      <c r="I701">
        <f t="shared" si="61"/>
        <v>1.0556000000000001</v>
      </c>
      <c r="J701">
        <f t="shared" si="61"/>
        <v>1.0505</v>
      </c>
      <c r="L701">
        <f t="shared" si="60"/>
        <v>5.0000000000016698E-4</v>
      </c>
      <c r="W701">
        <f t="shared" si="62"/>
        <v>8.0550673696543219E-3</v>
      </c>
      <c r="X701">
        <f t="shared" si="63"/>
        <v>-6.5861690450057383E-4</v>
      </c>
      <c r="Y701">
        <f t="shared" si="63"/>
        <v>3.6603221083463666E-4</v>
      </c>
      <c r="Z701">
        <f t="shared" si="63"/>
        <v>-3.2834731849691137E-3</v>
      </c>
      <c r="AE701">
        <f>W701-mu-theta*AE700</f>
        <v>7.5554090846797831E-3</v>
      </c>
      <c r="AF701">
        <f t="shared" si="65"/>
        <v>-1.0140389611244143E-3</v>
      </c>
      <c r="AG701">
        <f t="shared" si="65"/>
        <v>-4.1661625286001089E-4</v>
      </c>
      <c r="AK701">
        <f t="shared" si="64"/>
        <v>5.7084206436861797E-5</v>
      </c>
    </row>
    <row r="702" spans="1:37" x14ac:dyDescent="0.3">
      <c r="A702" s="1">
        <v>44908</v>
      </c>
      <c r="B702">
        <v>1.0629999999999999</v>
      </c>
      <c r="C702">
        <v>1.2354000000000001</v>
      </c>
      <c r="D702">
        <v>135.57</v>
      </c>
      <c r="G702">
        <v>1.0629999999999999</v>
      </c>
      <c r="H702">
        <f t="shared" si="61"/>
        <v>1.0535000000000001</v>
      </c>
      <c r="I702">
        <f t="shared" si="61"/>
        <v>1.0529999999999999</v>
      </c>
      <c r="J702">
        <f t="shared" si="61"/>
        <v>1.0556000000000001</v>
      </c>
      <c r="L702">
        <f t="shared" si="60"/>
        <v>9.4999999999998419E-3</v>
      </c>
      <c r="W702">
        <f t="shared" si="62"/>
        <v>-1.5182333284904863E-2</v>
      </c>
      <c r="X702">
        <f t="shared" si="63"/>
        <v>8.0550673696543219E-3</v>
      </c>
      <c r="Y702">
        <f t="shared" si="63"/>
        <v>-6.5861690450057383E-4</v>
      </c>
      <c r="Z702">
        <f t="shared" si="63"/>
        <v>3.6603221083463666E-4</v>
      </c>
      <c r="AE702">
        <f>W702-mu-theta*AE701</f>
        <v>-1.36130630740663E-2</v>
      </c>
      <c r="AF702">
        <f t="shared" si="65"/>
        <v>7.5554090846797831E-3</v>
      </c>
      <c r="AG702">
        <f t="shared" si="65"/>
        <v>-1.0140389611244143E-3</v>
      </c>
      <c r="AK702">
        <f t="shared" si="64"/>
        <v>1.8531548625850741E-4</v>
      </c>
    </row>
    <row r="703" spans="1:37" x14ac:dyDescent="0.3">
      <c r="A703" s="1">
        <v>44909</v>
      </c>
      <c r="B703">
        <v>1.0682</v>
      </c>
      <c r="C703">
        <v>1.2421</v>
      </c>
      <c r="D703">
        <v>135.47</v>
      </c>
      <c r="G703">
        <v>1.0682</v>
      </c>
      <c r="H703">
        <f t="shared" si="61"/>
        <v>1.0629999999999999</v>
      </c>
      <c r="I703">
        <f t="shared" si="61"/>
        <v>1.0535000000000001</v>
      </c>
      <c r="J703">
        <f t="shared" si="61"/>
        <v>1.0529999999999999</v>
      </c>
      <c r="L703">
        <f t="shared" si="60"/>
        <v>5.2000000000000934E-3</v>
      </c>
      <c r="W703">
        <f t="shared" si="62"/>
        <v>-7.3762631850700247E-4</v>
      </c>
      <c r="X703">
        <f t="shared" si="63"/>
        <v>-1.5182333284904863E-2</v>
      </c>
      <c r="Y703">
        <f t="shared" si="63"/>
        <v>8.0550673696543219E-3</v>
      </c>
      <c r="Z703">
        <f t="shared" si="63"/>
        <v>-6.5861690450057383E-4</v>
      </c>
      <c r="AE703">
        <f>W703-mu-theta*AE702</f>
        <v>-4.2790767781204428E-3</v>
      </c>
      <c r="AF703">
        <f t="shared" si="65"/>
        <v>-1.36130630740663E-2</v>
      </c>
      <c r="AG703">
        <f t="shared" si="65"/>
        <v>7.5554090846797831E-3</v>
      </c>
      <c r="AK703">
        <f t="shared" si="64"/>
        <v>1.8310498073049631E-5</v>
      </c>
    </row>
    <row r="704" spans="1:37" x14ac:dyDescent="0.3">
      <c r="A704" s="1">
        <v>44910</v>
      </c>
      <c r="B704">
        <v>1.0626</v>
      </c>
      <c r="C704">
        <v>1.2176</v>
      </c>
      <c r="D704">
        <v>137.76</v>
      </c>
      <c r="G704">
        <v>1.0626</v>
      </c>
      <c r="H704">
        <f t="shared" si="61"/>
        <v>1.0682</v>
      </c>
      <c r="I704">
        <f t="shared" si="61"/>
        <v>1.0629999999999999</v>
      </c>
      <c r="J704">
        <f t="shared" si="61"/>
        <v>1.0535000000000001</v>
      </c>
      <c r="L704">
        <f t="shared" si="60"/>
        <v>-5.6000000000000494E-3</v>
      </c>
      <c r="W704">
        <f t="shared" si="62"/>
        <v>1.6904111611426825E-2</v>
      </c>
      <c r="X704">
        <f t="shared" si="63"/>
        <v>-7.3762631850700247E-4</v>
      </c>
      <c r="Y704">
        <f t="shared" si="63"/>
        <v>-1.5182333284904863E-2</v>
      </c>
      <c r="Z704">
        <f t="shared" si="63"/>
        <v>8.0550673696543219E-3</v>
      </c>
      <c r="AE704">
        <f>W704-mu-theta*AE703</f>
        <v>1.5616172711016622E-2</v>
      </c>
      <c r="AF704">
        <f t="shared" si="65"/>
        <v>-4.2790767781204428E-3</v>
      </c>
      <c r="AG704">
        <f t="shared" si="65"/>
        <v>-1.36130630740663E-2</v>
      </c>
      <c r="AK704">
        <f t="shared" si="64"/>
        <v>2.4386485014030022E-4</v>
      </c>
    </row>
    <row r="705" spans="1:37" x14ac:dyDescent="0.3">
      <c r="A705" s="1">
        <v>44911</v>
      </c>
      <c r="B705">
        <v>1.0582</v>
      </c>
      <c r="C705">
        <v>1.214</v>
      </c>
      <c r="D705">
        <v>136.69</v>
      </c>
      <c r="G705">
        <v>1.0582</v>
      </c>
      <c r="H705">
        <f t="shared" si="61"/>
        <v>1.0626</v>
      </c>
      <c r="I705">
        <f t="shared" si="61"/>
        <v>1.0682</v>
      </c>
      <c r="J705">
        <f t="shared" si="61"/>
        <v>1.0629999999999999</v>
      </c>
      <c r="L705">
        <f t="shared" si="60"/>
        <v>-4.3999999999999595E-3</v>
      </c>
      <c r="W705">
        <f t="shared" si="62"/>
        <v>-7.7671312427409498E-3</v>
      </c>
      <c r="X705">
        <f t="shared" si="63"/>
        <v>1.6904111611426825E-2</v>
      </c>
      <c r="Y705">
        <f t="shared" si="63"/>
        <v>-7.3762631850700247E-4</v>
      </c>
      <c r="Z705">
        <f t="shared" si="63"/>
        <v>-1.5182333284904863E-2</v>
      </c>
      <c r="AE705">
        <f>W705-mu-theta*AE704</f>
        <v>-4.2517446104710747E-3</v>
      </c>
      <c r="AF705">
        <f t="shared" si="65"/>
        <v>1.5616172711016622E-2</v>
      </c>
      <c r="AG705">
        <f t="shared" si="65"/>
        <v>-4.2790767781204428E-3</v>
      </c>
      <c r="AK705">
        <f t="shared" si="64"/>
        <v>1.8077332232669832E-5</v>
      </c>
    </row>
    <row r="706" spans="1:37" x14ac:dyDescent="0.3">
      <c r="A706" s="1">
        <v>44914</v>
      </c>
      <c r="B706">
        <v>1.0605</v>
      </c>
      <c r="C706">
        <v>1.2145999999999999</v>
      </c>
      <c r="D706">
        <v>136.88</v>
      </c>
      <c r="G706">
        <v>1.0605</v>
      </c>
      <c r="H706">
        <f t="shared" si="61"/>
        <v>1.0582</v>
      </c>
      <c r="I706">
        <f t="shared" si="61"/>
        <v>1.0626</v>
      </c>
      <c r="J706">
        <f t="shared" si="61"/>
        <v>1.0682</v>
      </c>
      <c r="L706">
        <f t="shared" si="60"/>
        <v>2.2999999999999687E-3</v>
      </c>
      <c r="W706">
        <f t="shared" si="62"/>
        <v>1.3900065842416983E-3</v>
      </c>
      <c r="X706">
        <f t="shared" si="63"/>
        <v>-7.7671312427409498E-3</v>
      </c>
      <c r="Y706">
        <f t="shared" si="63"/>
        <v>1.6904111611426825E-2</v>
      </c>
      <c r="Z706">
        <f t="shared" si="63"/>
        <v>-7.3762631850700247E-4</v>
      </c>
      <c r="AE706">
        <f>W706-mu-theta*AE705</f>
        <v>1.0866651029031314E-4</v>
      </c>
      <c r="AF706">
        <f t="shared" si="65"/>
        <v>-4.2517446104710747E-3</v>
      </c>
      <c r="AG706">
        <f t="shared" si="65"/>
        <v>1.5616172711016622E-2</v>
      </c>
      <c r="AK706">
        <f t="shared" si="64"/>
        <v>1.1808410458674732E-8</v>
      </c>
    </row>
    <row r="707" spans="1:37" x14ac:dyDescent="0.3">
      <c r="A707" s="1">
        <v>44915</v>
      </c>
      <c r="B707">
        <v>1.0621</v>
      </c>
      <c r="C707">
        <v>1.2181</v>
      </c>
      <c r="D707">
        <v>131.69999999999999</v>
      </c>
      <c r="G707">
        <v>1.0621</v>
      </c>
      <c r="H707">
        <f t="shared" si="61"/>
        <v>1.0605</v>
      </c>
      <c r="I707">
        <f t="shared" si="61"/>
        <v>1.0582</v>
      </c>
      <c r="J707">
        <f t="shared" si="61"/>
        <v>1.0626</v>
      </c>
      <c r="L707">
        <f t="shared" si="60"/>
        <v>1.6000000000000458E-3</v>
      </c>
      <c r="W707">
        <f t="shared" si="62"/>
        <v>-3.7843366452367085E-2</v>
      </c>
      <c r="X707">
        <f t="shared" si="63"/>
        <v>1.3900065842416983E-3</v>
      </c>
      <c r="Y707">
        <f t="shared" si="63"/>
        <v>-7.7671312427409498E-3</v>
      </c>
      <c r="Z707">
        <f t="shared" si="63"/>
        <v>1.6904111611426825E-2</v>
      </c>
      <c r="AE707">
        <f>W707-mu-theta*AE706</f>
        <v>-3.8071969083605266E-2</v>
      </c>
      <c r="AF707">
        <f t="shared" si="65"/>
        <v>1.0866651029031314E-4</v>
      </c>
      <c r="AG707">
        <f t="shared" si="65"/>
        <v>-4.2517446104710747E-3</v>
      </c>
      <c r="AK707">
        <f t="shared" si="64"/>
        <v>1.4494748299029951E-3</v>
      </c>
    </row>
    <row r="708" spans="1:37" x14ac:dyDescent="0.3">
      <c r="A708" s="1">
        <v>44916</v>
      </c>
      <c r="B708">
        <v>1.0603</v>
      </c>
      <c r="C708">
        <v>1.2082999999999999</v>
      </c>
      <c r="D708">
        <v>132.47</v>
      </c>
      <c r="G708">
        <v>1.0603</v>
      </c>
      <c r="H708">
        <f t="shared" si="61"/>
        <v>1.0621</v>
      </c>
      <c r="I708">
        <f t="shared" si="61"/>
        <v>1.0605</v>
      </c>
      <c r="J708">
        <f t="shared" si="61"/>
        <v>1.0582</v>
      </c>
      <c r="L708">
        <f t="shared" si="60"/>
        <v>-1.8000000000000238E-3</v>
      </c>
      <c r="W708">
        <f t="shared" si="62"/>
        <v>5.8466211085801845E-3</v>
      </c>
      <c r="X708">
        <f t="shared" si="63"/>
        <v>-3.7843366452367085E-2</v>
      </c>
      <c r="Y708">
        <f t="shared" si="63"/>
        <v>1.3900065842416983E-3</v>
      </c>
      <c r="Z708">
        <f t="shared" si="63"/>
        <v>-7.7671312427409498E-3</v>
      </c>
      <c r="AE708">
        <f>W708-mu-theta*AE707</f>
        <v>-3.5999620210803327E-3</v>
      </c>
      <c r="AF708">
        <f t="shared" si="65"/>
        <v>-3.8071969083605266E-2</v>
      </c>
      <c r="AG708">
        <f t="shared" si="65"/>
        <v>1.0866651029031314E-4</v>
      </c>
      <c r="AK708">
        <f t="shared" si="64"/>
        <v>1.2959726553220794E-5</v>
      </c>
    </row>
    <row r="709" spans="1:37" x14ac:dyDescent="0.3">
      <c r="A709" s="1">
        <v>44917</v>
      </c>
      <c r="B709">
        <v>1.0592999999999999</v>
      </c>
      <c r="C709">
        <v>1.2042999999999999</v>
      </c>
      <c r="D709">
        <v>132.33000000000001</v>
      </c>
      <c r="G709">
        <v>1.0592999999999999</v>
      </c>
      <c r="H709">
        <f t="shared" si="61"/>
        <v>1.0603</v>
      </c>
      <c r="I709">
        <f t="shared" si="61"/>
        <v>1.0621</v>
      </c>
      <c r="J709">
        <f t="shared" si="61"/>
        <v>1.0605</v>
      </c>
      <c r="L709">
        <f t="shared" si="60"/>
        <v>-1.0000000000001119E-3</v>
      </c>
      <c r="W709">
        <f t="shared" si="62"/>
        <v>-1.0568430588056643E-3</v>
      </c>
      <c r="X709">
        <f t="shared" si="63"/>
        <v>5.8466211085801845E-3</v>
      </c>
      <c r="Y709">
        <f t="shared" si="63"/>
        <v>-3.7843366452367085E-2</v>
      </c>
      <c r="Z709">
        <f t="shared" si="63"/>
        <v>1.3900065842416983E-3</v>
      </c>
      <c r="AE709">
        <f>W709-mu-theta*AE708</f>
        <v>-2.1808227560959634E-3</v>
      </c>
      <c r="AF709">
        <f t="shared" si="65"/>
        <v>-3.5999620210803327E-3</v>
      </c>
      <c r="AG709">
        <f t="shared" si="65"/>
        <v>-3.8071969083605266E-2</v>
      </c>
      <c r="AK709">
        <f t="shared" si="64"/>
        <v>4.7559878935059937E-6</v>
      </c>
    </row>
    <row r="710" spans="1:37" x14ac:dyDescent="0.3">
      <c r="A710" s="1">
        <v>44918</v>
      </c>
      <c r="B710">
        <v>1.0613999999999999</v>
      </c>
      <c r="C710">
        <v>1.2058</v>
      </c>
      <c r="D710">
        <v>132.79</v>
      </c>
      <c r="G710">
        <v>1.0613999999999999</v>
      </c>
      <c r="H710">
        <f t="shared" si="61"/>
        <v>1.0592999999999999</v>
      </c>
      <c r="I710">
        <f t="shared" si="61"/>
        <v>1.0603</v>
      </c>
      <c r="J710">
        <f t="shared" si="61"/>
        <v>1.0621</v>
      </c>
      <c r="L710">
        <f t="shared" ref="L710:L773" si="66">G710-H710</f>
        <v>2.0999999999999908E-3</v>
      </c>
      <c r="W710">
        <f t="shared" si="62"/>
        <v>3.476158089624269E-3</v>
      </c>
      <c r="X710">
        <f t="shared" si="63"/>
        <v>-1.0568430588056643E-3</v>
      </c>
      <c r="Y710">
        <f t="shared" si="63"/>
        <v>5.8466211085801845E-3</v>
      </c>
      <c r="Z710">
        <f t="shared" si="63"/>
        <v>-3.7843366452367085E-2</v>
      </c>
      <c r="AE710">
        <f>W710-mu-theta*AE709</f>
        <v>2.6948022870305487E-3</v>
      </c>
      <c r="AF710">
        <f t="shared" si="65"/>
        <v>-2.1808227560959634E-3</v>
      </c>
      <c r="AG710">
        <f t="shared" si="65"/>
        <v>-3.5999620210803327E-3</v>
      </c>
      <c r="AK710">
        <f t="shared" si="64"/>
        <v>7.2619593661850753E-6</v>
      </c>
    </row>
    <row r="711" spans="1:37" x14ac:dyDescent="0.3">
      <c r="A711" s="1">
        <v>44921</v>
      </c>
      <c r="B711">
        <v>1.0634999999999999</v>
      </c>
      <c r="C711">
        <v>1.206</v>
      </c>
      <c r="D711">
        <v>132.86000000000001</v>
      </c>
      <c r="G711">
        <v>1.0634999999999999</v>
      </c>
      <c r="H711">
        <f t="shared" ref="H711:J774" si="67">G710</f>
        <v>1.0613999999999999</v>
      </c>
      <c r="I711">
        <f t="shared" si="67"/>
        <v>1.0592999999999999</v>
      </c>
      <c r="J711">
        <f t="shared" si="67"/>
        <v>1.0603</v>
      </c>
      <c r="L711">
        <f t="shared" si="66"/>
        <v>2.0999999999999908E-3</v>
      </c>
      <c r="W711">
        <f t="shared" ref="W711:W774" si="68">(D711-D710)/D710</f>
        <v>5.2714812862430605E-4</v>
      </c>
      <c r="X711">
        <f t="shared" si="63"/>
        <v>3.476158089624269E-3</v>
      </c>
      <c r="Y711">
        <f t="shared" si="63"/>
        <v>-1.0568430588056643E-3</v>
      </c>
      <c r="Z711">
        <f t="shared" si="63"/>
        <v>5.8466211085801845E-3</v>
      </c>
      <c r="AE711">
        <f>W711-mu-theta*AE710</f>
        <v>9.229182660802956E-4</v>
      </c>
      <c r="AF711">
        <f t="shared" si="65"/>
        <v>2.6948022870305487E-3</v>
      </c>
      <c r="AG711">
        <f t="shared" si="65"/>
        <v>-2.1808227560959634E-3</v>
      </c>
      <c r="AK711">
        <f t="shared" si="64"/>
        <v>8.5177812586465928E-7</v>
      </c>
    </row>
    <row r="712" spans="1:37" x14ac:dyDescent="0.3">
      <c r="A712" s="1">
        <v>44922</v>
      </c>
      <c r="B712">
        <v>1.0638000000000001</v>
      </c>
      <c r="C712">
        <v>1.2020999999999999</v>
      </c>
      <c r="D712">
        <v>133.47999999999999</v>
      </c>
      <c r="G712">
        <v>1.0638000000000001</v>
      </c>
      <c r="H712">
        <f t="shared" si="67"/>
        <v>1.0634999999999999</v>
      </c>
      <c r="I712">
        <f t="shared" si="67"/>
        <v>1.0613999999999999</v>
      </c>
      <c r="J712">
        <f t="shared" si="67"/>
        <v>1.0592999999999999</v>
      </c>
      <c r="L712">
        <f t="shared" si="66"/>
        <v>3.00000000000189E-4</v>
      </c>
      <c r="W712">
        <f t="shared" si="68"/>
        <v>4.6665663104017464E-3</v>
      </c>
      <c r="X712">
        <f t="shared" ref="X712:Z775" si="69">W711</f>
        <v>5.2714812862430605E-4</v>
      </c>
      <c r="Y712">
        <f t="shared" si="69"/>
        <v>3.476158089624269E-3</v>
      </c>
      <c r="Z712">
        <f t="shared" si="69"/>
        <v>-1.0568430588056643E-3</v>
      </c>
      <c r="AE712">
        <f>W712-mu-theta*AE711</f>
        <v>4.6345491128245552E-3</v>
      </c>
      <c r="AF712">
        <f t="shared" si="65"/>
        <v>9.229182660802956E-4</v>
      </c>
      <c r="AG712">
        <f t="shared" si="65"/>
        <v>2.6948022870305487E-3</v>
      </c>
      <c r="AK712">
        <f t="shared" ref="AK712:AK775" si="70">POWER(AE712,2)</f>
        <v>2.1479045479182871E-5</v>
      </c>
    </row>
    <row r="713" spans="1:37" x14ac:dyDescent="0.3">
      <c r="A713" s="1">
        <v>44923</v>
      </c>
      <c r="B713">
        <v>1.0608</v>
      </c>
      <c r="C713">
        <v>1.2013</v>
      </c>
      <c r="D713">
        <v>134.47</v>
      </c>
      <c r="G713">
        <v>1.0608</v>
      </c>
      <c r="H713">
        <f t="shared" si="67"/>
        <v>1.0638000000000001</v>
      </c>
      <c r="I713">
        <f t="shared" si="67"/>
        <v>1.0634999999999999</v>
      </c>
      <c r="J713">
        <f t="shared" si="67"/>
        <v>1.0613999999999999</v>
      </c>
      <c r="L713">
        <f t="shared" si="66"/>
        <v>-3.0000000000001137E-3</v>
      </c>
      <c r="W713">
        <f t="shared" si="68"/>
        <v>7.4168414743782524E-3</v>
      </c>
      <c r="X713">
        <f t="shared" si="69"/>
        <v>4.6665663104017464E-3</v>
      </c>
      <c r="Y713">
        <f t="shared" si="69"/>
        <v>5.2714812862430605E-4</v>
      </c>
      <c r="Z713">
        <f t="shared" si="69"/>
        <v>3.476158089624269E-3</v>
      </c>
      <c r="AE713">
        <f>W713-mu-theta*AE712</f>
        <v>8.2809261941851064E-3</v>
      </c>
      <c r="AF713">
        <f t="shared" ref="AF713:AG776" si="71">AE712</f>
        <v>4.6345491128245552E-3</v>
      </c>
      <c r="AG713">
        <f t="shared" si="71"/>
        <v>9.229182660802956E-4</v>
      </c>
      <c r="AK713">
        <f t="shared" si="70"/>
        <v>6.8573738633541032E-5</v>
      </c>
    </row>
    <row r="714" spans="1:37" x14ac:dyDescent="0.3">
      <c r="A714" s="1">
        <v>44924</v>
      </c>
      <c r="B714">
        <v>1.0661</v>
      </c>
      <c r="C714">
        <v>1.2052</v>
      </c>
      <c r="D714">
        <v>133.01</v>
      </c>
      <c r="G714">
        <v>1.0661</v>
      </c>
      <c r="H714">
        <f t="shared" si="67"/>
        <v>1.0608</v>
      </c>
      <c r="I714">
        <f t="shared" si="67"/>
        <v>1.0638000000000001</v>
      </c>
      <c r="J714">
        <f t="shared" si="67"/>
        <v>1.0634999999999999</v>
      </c>
      <c r="L714">
        <f t="shared" si="66"/>
        <v>5.3000000000000824E-3</v>
      </c>
      <c r="W714">
        <f t="shared" si="68"/>
        <v>-1.0857440321261307E-2</v>
      </c>
      <c r="X714">
        <f t="shared" si="69"/>
        <v>7.4168414743782524E-3</v>
      </c>
      <c r="Y714">
        <f t="shared" si="69"/>
        <v>4.6665663104017464E-3</v>
      </c>
      <c r="Z714">
        <f t="shared" si="69"/>
        <v>5.2714812862430605E-4</v>
      </c>
      <c r="AE714">
        <f>W714-mu-theta*AE713</f>
        <v>-9.1130079513160721E-3</v>
      </c>
      <c r="AF714">
        <f t="shared" si="71"/>
        <v>8.2809261941851064E-3</v>
      </c>
      <c r="AG714">
        <f t="shared" si="71"/>
        <v>4.6345491128245552E-3</v>
      </c>
      <c r="AK714">
        <f t="shared" si="70"/>
        <v>8.3046913920749955E-5</v>
      </c>
    </row>
    <row r="715" spans="1:37" x14ac:dyDescent="0.3">
      <c r="A715" s="1">
        <v>44925</v>
      </c>
      <c r="B715">
        <v>1.0702</v>
      </c>
      <c r="C715">
        <v>1.2097</v>
      </c>
      <c r="D715">
        <v>131.11000000000001</v>
      </c>
      <c r="G715">
        <v>1.0702</v>
      </c>
      <c r="H715">
        <f t="shared" si="67"/>
        <v>1.0661</v>
      </c>
      <c r="I715">
        <f t="shared" si="67"/>
        <v>1.0608</v>
      </c>
      <c r="J715">
        <f t="shared" si="67"/>
        <v>1.0638000000000001</v>
      </c>
      <c r="L715">
        <f t="shared" si="66"/>
        <v>4.0999999999999925E-3</v>
      </c>
      <c r="W715">
        <f t="shared" si="68"/>
        <v>-1.4284640252612415E-2</v>
      </c>
      <c r="X715">
        <f t="shared" si="69"/>
        <v>-1.0857440321261307E-2</v>
      </c>
      <c r="Y715">
        <f t="shared" si="69"/>
        <v>7.4168414743782524E-3</v>
      </c>
      <c r="Z715">
        <f t="shared" si="69"/>
        <v>4.6665663104017464E-3</v>
      </c>
      <c r="AE715">
        <f>W715-mu-theta*AE714</f>
        <v>-1.6739638909679923E-2</v>
      </c>
      <c r="AF715">
        <f t="shared" si="71"/>
        <v>-9.1130079513160721E-3</v>
      </c>
      <c r="AG715">
        <f t="shared" si="71"/>
        <v>8.2809261941851064E-3</v>
      </c>
      <c r="AK715">
        <f t="shared" si="70"/>
        <v>2.8021551082647004E-4</v>
      </c>
    </row>
    <row r="716" spans="1:37" x14ac:dyDescent="0.3">
      <c r="A716" s="1">
        <v>44927</v>
      </c>
      <c r="B716">
        <v>1.1044</v>
      </c>
      <c r="C716">
        <v>1.2723</v>
      </c>
      <c r="D716">
        <v>140.87</v>
      </c>
      <c r="G716">
        <v>1.1044</v>
      </c>
      <c r="H716">
        <f t="shared" si="67"/>
        <v>1.0702</v>
      </c>
      <c r="I716">
        <f t="shared" si="67"/>
        <v>1.0661</v>
      </c>
      <c r="J716">
        <f t="shared" si="67"/>
        <v>1.0608</v>
      </c>
      <c r="L716">
        <f t="shared" si="66"/>
        <v>3.4200000000000008E-2</v>
      </c>
      <c r="W716">
        <f t="shared" si="68"/>
        <v>7.4441308824650984E-2</v>
      </c>
      <c r="X716">
        <f t="shared" si="69"/>
        <v>-1.4284640252612415E-2</v>
      </c>
      <c r="Y716">
        <f t="shared" si="69"/>
        <v>-1.0857440321261307E-2</v>
      </c>
      <c r="Z716">
        <f t="shared" si="69"/>
        <v>7.4168414743782524E-3</v>
      </c>
      <c r="AE716">
        <f>W716-mu-theta*AE715</f>
        <v>7.0145006733281764E-2</v>
      </c>
      <c r="AF716">
        <f t="shared" si="71"/>
        <v>-1.6739638909679923E-2</v>
      </c>
      <c r="AG716">
        <f t="shared" si="71"/>
        <v>-9.1130079513160721E-3</v>
      </c>
      <c r="AK716">
        <f t="shared" si="70"/>
        <v>4.9203219696121441E-3</v>
      </c>
    </row>
    <row r="717" spans="1:37" x14ac:dyDescent="0.3">
      <c r="A717" s="1">
        <v>44928</v>
      </c>
      <c r="B717">
        <v>1.0662</v>
      </c>
      <c r="C717">
        <v>1.2044999999999999</v>
      </c>
      <c r="D717">
        <v>130.72999999999999</v>
      </c>
      <c r="G717">
        <v>1.0662</v>
      </c>
      <c r="H717">
        <f t="shared" si="67"/>
        <v>1.1044</v>
      </c>
      <c r="I717">
        <f t="shared" si="67"/>
        <v>1.0702</v>
      </c>
      <c r="J717">
        <f t="shared" si="67"/>
        <v>1.0661</v>
      </c>
      <c r="L717">
        <f t="shared" si="66"/>
        <v>-3.8200000000000012E-2</v>
      </c>
      <c r="W717">
        <f t="shared" si="68"/>
        <v>-7.1981259317100976E-2</v>
      </c>
      <c r="X717">
        <f t="shared" si="69"/>
        <v>7.4441308824650984E-2</v>
      </c>
      <c r="Y717">
        <f t="shared" si="69"/>
        <v>-1.4284640252612415E-2</v>
      </c>
      <c r="Z717">
        <f t="shared" si="69"/>
        <v>-1.0857440321261307E-2</v>
      </c>
      <c r="AE717">
        <f>W717-mu-theta*AE716</f>
        <v>-5.5300933945589353E-2</v>
      </c>
      <c r="AF717">
        <f t="shared" si="71"/>
        <v>7.0145006733281764E-2</v>
      </c>
      <c r="AG717">
        <f t="shared" si="71"/>
        <v>-1.6739638909679923E-2</v>
      </c>
      <c r="AK717">
        <f t="shared" si="70"/>
        <v>3.0581932952544366E-3</v>
      </c>
    </row>
    <row r="718" spans="1:37" x14ac:dyDescent="0.3">
      <c r="A718" s="1">
        <v>44929</v>
      </c>
      <c r="B718">
        <v>1.0546</v>
      </c>
      <c r="C718">
        <v>1.1966000000000001</v>
      </c>
      <c r="D718">
        <v>131</v>
      </c>
      <c r="G718">
        <v>1.0546</v>
      </c>
      <c r="H718">
        <f t="shared" si="67"/>
        <v>1.0662</v>
      </c>
      <c r="I718">
        <f t="shared" si="67"/>
        <v>1.1044</v>
      </c>
      <c r="J718">
        <f t="shared" si="67"/>
        <v>1.0702</v>
      </c>
      <c r="L718">
        <f t="shared" si="66"/>
        <v>-1.1600000000000055E-2</v>
      </c>
      <c r="W718">
        <f t="shared" si="68"/>
        <v>2.0653254799970185E-3</v>
      </c>
      <c r="X718">
        <f t="shared" si="69"/>
        <v>-7.1981259317100976E-2</v>
      </c>
      <c r="Y718">
        <f t="shared" si="69"/>
        <v>7.4441308824650984E-2</v>
      </c>
      <c r="Z718">
        <f t="shared" si="69"/>
        <v>-1.4284640252612415E-2</v>
      </c>
      <c r="AE718">
        <f>W718-mu-theta*AE717</f>
        <v>-1.1540860014459253E-2</v>
      </c>
      <c r="AF718">
        <f t="shared" si="71"/>
        <v>-5.5300933945589353E-2</v>
      </c>
      <c r="AG718">
        <f t="shared" si="71"/>
        <v>7.0145006733281764E-2</v>
      </c>
      <c r="AK718">
        <f t="shared" si="70"/>
        <v>1.3319144987334445E-4</v>
      </c>
    </row>
    <row r="719" spans="1:37" x14ac:dyDescent="0.3">
      <c r="A719" s="1">
        <v>44930</v>
      </c>
      <c r="B719">
        <v>1.0599000000000001</v>
      </c>
      <c r="C719">
        <v>1.2053</v>
      </c>
      <c r="D719">
        <v>132.62</v>
      </c>
      <c r="G719">
        <v>1.0599000000000001</v>
      </c>
      <c r="H719">
        <f t="shared" si="67"/>
        <v>1.0546</v>
      </c>
      <c r="I719">
        <f t="shared" si="67"/>
        <v>1.0662</v>
      </c>
      <c r="J719">
        <f t="shared" si="67"/>
        <v>1.1044</v>
      </c>
      <c r="L719">
        <f t="shared" si="66"/>
        <v>5.3000000000000824E-3</v>
      </c>
      <c r="W719">
        <f t="shared" si="68"/>
        <v>1.2366412213740493E-2</v>
      </c>
      <c r="X719">
        <f t="shared" si="69"/>
        <v>2.0653254799970185E-3</v>
      </c>
      <c r="Y719">
        <f t="shared" si="69"/>
        <v>-7.1981259317100976E-2</v>
      </c>
      <c r="Z719">
        <f t="shared" si="69"/>
        <v>7.4441308824650984E-2</v>
      </c>
      <c r="AE719">
        <f>W719-mu-theta*AE718</f>
        <v>9.3252553478587099E-3</v>
      </c>
      <c r="AF719">
        <f t="shared" si="71"/>
        <v>-1.1540860014459253E-2</v>
      </c>
      <c r="AG719">
        <f t="shared" si="71"/>
        <v>-5.5300933945589353E-2</v>
      </c>
      <c r="AK719">
        <f t="shared" si="70"/>
        <v>8.6960387302767474E-5</v>
      </c>
    </row>
    <row r="720" spans="1:37" x14ac:dyDescent="0.3">
      <c r="A720" s="1">
        <v>44931</v>
      </c>
      <c r="B720">
        <v>1.052</v>
      </c>
      <c r="C720">
        <v>1.1906000000000001</v>
      </c>
      <c r="D720">
        <v>133.4</v>
      </c>
      <c r="G720">
        <v>1.052</v>
      </c>
      <c r="H720">
        <f t="shared" si="67"/>
        <v>1.0599000000000001</v>
      </c>
      <c r="I720">
        <f t="shared" si="67"/>
        <v>1.0546</v>
      </c>
      <c r="J720">
        <f t="shared" si="67"/>
        <v>1.0662</v>
      </c>
      <c r="L720">
        <f t="shared" si="66"/>
        <v>-7.9000000000000181E-3</v>
      </c>
      <c r="W720">
        <f t="shared" si="68"/>
        <v>5.881465842256078E-3</v>
      </c>
      <c r="X720">
        <f t="shared" si="69"/>
        <v>1.2366412213740493E-2</v>
      </c>
      <c r="Y720">
        <f t="shared" si="69"/>
        <v>2.0653254799970185E-3</v>
      </c>
      <c r="Z720">
        <f t="shared" si="69"/>
        <v>-7.1981259317100976E-2</v>
      </c>
      <c r="AE720">
        <f>W720-mu-theta*AE719</f>
        <v>7.8780314106867838E-3</v>
      </c>
      <c r="AF720">
        <f t="shared" si="71"/>
        <v>9.3252553478587099E-3</v>
      </c>
      <c r="AG720">
        <f t="shared" si="71"/>
        <v>-1.1540860014459253E-2</v>
      </c>
      <c r="AK720">
        <f t="shared" si="70"/>
        <v>6.2063378907767594E-5</v>
      </c>
    </row>
    <row r="721" spans="1:37" x14ac:dyDescent="0.3">
      <c r="A721" s="1">
        <v>44932</v>
      </c>
      <c r="B721">
        <v>1.0644</v>
      </c>
      <c r="C721">
        <v>1.2092000000000001</v>
      </c>
      <c r="D721">
        <v>132.07</v>
      </c>
      <c r="G721">
        <v>1.0644</v>
      </c>
      <c r="H721">
        <f t="shared" si="67"/>
        <v>1.052</v>
      </c>
      <c r="I721">
        <f t="shared" si="67"/>
        <v>1.0599000000000001</v>
      </c>
      <c r="J721">
        <f t="shared" si="67"/>
        <v>1.0546</v>
      </c>
      <c r="L721">
        <f t="shared" si="66"/>
        <v>1.2399999999999967E-2</v>
      </c>
      <c r="W721">
        <f t="shared" si="68"/>
        <v>-9.9700149925038423E-3</v>
      </c>
      <c r="X721">
        <f t="shared" si="69"/>
        <v>5.881465842256078E-3</v>
      </c>
      <c r="Y721">
        <f t="shared" si="69"/>
        <v>1.2366412213740493E-2</v>
      </c>
      <c r="Z721">
        <f t="shared" si="69"/>
        <v>2.0653254799970185E-3</v>
      </c>
      <c r="AE721">
        <f>W721-mu-theta*AE720</f>
        <v>-8.3228538229835006E-3</v>
      </c>
      <c r="AF721">
        <f t="shared" si="71"/>
        <v>7.8780314106867838E-3</v>
      </c>
      <c r="AG721">
        <f t="shared" si="71"/>
        <v>9.3252553478587099E-3</v>
      </c>
      <c r="AK721">
        <f t="shared" si="70"/>
        <v>6.9269895758751072E-5</v>
      </c>
    </row>
    <row r="722" spans="1:37" x14ac:dyDescent="0.3">
      <c r="A722" s="1">
        <v>44935</v>
      </c>
      <c r="B722">
        <v>1.0728</v>
      </c>
      <c r="C722">
        <v>1.2182999999999999</v>
      </c>
      <c r="D722">
        <v>131.88</v>
      </c>
      <c r="G722">
        <v>1.0728</v>
      </c>
      <c r="H722">
        <f t="shared" si="67"/>
        <v>1.0644</v>
      </c>
      <c r="I722">
        <f t="shared" si="67"/>
        <v>1.052</v>
      </c>
      <c r="J722">
        <f t="shared" si="67"/>
        <v>1.0599000000000001</v>
      </c>
      <c r="L722">
        <f t="shared" si="66"/>
        <v>8.3999999999999631E-3</v>
      </c>
      <c r="W722">
        <f t="shared" si="68"/>
        <v>-1.4386310289997556E-3</v>
      </c>
      <c r="X722">
        <f t="shared" si="69"/>
        <v>-9.9700149925038423E-3</v>
      </c>
      <c r="Y722">
        <f t="shared" si="69"/>
        <v>5.881465842256078E-3</v>
      </c>
      <c r="Z722">
        <f t="shared" si="69"/>
        <v>1.2366412213740493E-2</v>
      </c>
      <c r="AE722">
        <f>W722-mu-theta*AE721</f>
        <v>-3.7028621613149531E-3</v>
      </c>
      <c r="AF722">
        <f t="shared" si="71"/>
        <v>-8.3228538229835006E-3</v>
      </c>
      <c r="AG722">
        <f t="shared" si="71"/>
        <v>7.8780314106867838E-3</v>
      </c>
      <c r="AK722">
        <f t="shared" si="70"/>
        <v>1.3711188185698046E-5</v>
      </c>
    </row>
    <row r="723" spans="1:37" x14ac:dyDescent="0.3">
      <c r="A723" s="1">
        <v>44936</v>
      </c>
      <c r="B723">
        <v>1.0733999999999999</v>
      </c>
      <c r="C723">
        <v>1.2155</v>
      </c>
      <c r="D723">
        <v>132.25</v>
      </c>
      <c r="G723">
        <v>1.0733999999999999</v>
      </c>
      <c r="H723">
        <f t="shared" si="67"/>
        <v>1.0728</v>
      </c>
      <c r="I723">
        <f t="shared" si="67"/>
        <v>1.0644</v>
      </c>
      <c r="J723">
        <f t="shared" si="67"/>
        <v>1.052</v>
      </c>
      <c r="L723">
        <f t="shared" si="66"/>
        <v>5.9999999999993392E-4</v>
      </c>
      <c r="W723">
        <f t="shared" si="68"/>
        <v>2.8055808310585724E-3</v>
      </c>
      <c r="X723">
        <f t="shared" si="69"/>
        <v>-1.4386310289997556E-3</v>
      </c>
      <c r="Y723">
        <f t="shared" si="69"/>
        <v>-9.9700149925038423E-3</v>
      </c>
      <c r="Z723">
        <f t="shared" si="69"/>
        <v>5.881465842256078E-3</v>
      </c>
      <c r="AE723">
        <f>W723-mu-theta*AE722</f>
        <v>1.6567578730102123E-3</v>
      </c>
      <c r="AF723">
        <f t="shared" si="71"/>
        <v>-3.7028621613149531E-3</v>
      </c>
      <c r="AG723">
        <f t="shared" si="71"/>
        <v>-8.3228538229835006E-3</v>
      </c>
      <c r="AK723">
        <f t="shared" si="70"/>
        <v>2.7448466497813228E-6</v>
      </c>
    </row>
    <row r="724" spans="1:37" x14ac:dyDescent="0.3">
      <c r="A724" s="1">
        <v>44937</v>
      </c>
      <c r="B724">
        <v>1.0754999999999999</v>
      </c>
      <c r="C724">
        <v>1.2141999999999999</v>
      </c>
      <c r="D724">
        <v>132.47</v>
      </c>
      <c r="G724">
        <v>1.0754999999999999</v>
      </c>
      <c r="H724">
        <f t="shared" si="67"/>
        <v>1.0733999999999999</v>
      </c>
      <c r="I724">
        <f t="shared" si="67"/>
        <v>1.0728</v>
      </c>
      <c r="J724">
        <f t="shared" si="67"/>
        <v>1.0644</v>
      </c>
      <c r="L724">
        <f t="shared" si="66"/>
        <v>2.0999999999999908E-3</v>
      </c>
      <c r="W724">
        <f t="shared" si="68"/>
        <v>1.6635160680529215E-3</v>
      </c>
      <c r="X724">
        <f t="shared" si="69"/>
        <v>2.8055808310585724E-3</v>
      </c>
      <c r="Y724">
        <f t="shared" si="69"/>
        <v>-1.4386310289997556E-3</v>
      </c>
      <c r="Z724">
        <f t="shared" si="69"/>
        <v>-9.9700149925038423E-3</v>
      </c>
      <c r="AE724">
        <f>W724-mu-theta*AE723</f>
        <v>1.8086703365979815E-3</v>
      </c>
      <c r="AF724">
        <f t="shared" si="71"/>
        <v>1.6567578730102123E-3</v>
      </c>
      <c r="AG724">
        <f t="shared" si="71"/>
        <v>-3.7028621613149531E-3</v>
      </c>
      <c r="AK724">
        <f t="shared" si="70"/>
        <v>3.2712883864894558E-6</v>
      </c>
    </row>
    <row r="725" spans="1:37" x14ac:dyDescent="0.3">
      <c r="A725" s="1">
        <v>44938</v>
      </c>
      <c r="B725">
        <v>1.0846</v>
      </c>
      <c r="C725">
        <v>1.22</v>
      </c>
      <c r="D725">
        <v>129.22</v>
      </c>
      <c r="G725">
        <v>1.0846</v>
      </c>
      <c r="H725">
        <f t="shared" si="67"/>
        <v>1.0754999999999999</v>
      </c>
      <c r="I725">
        <f t="shared" si="67"/>
        <v>1.0733999999999999</v>
      </c>
      <c r="J725">
        <f t="shared" si="67"/>
        <v>1.0728</v>
      </c>
      <c r="L725">
        <f t="shared" si="66"/>
        <v>9.100000000000108E-3</v>
      </c>
      <c r="W725">
        <f t="shared" si="68"/>
        <v>-2.4533856722276742E-2</v>
      </c>
      <c r="X725">
        <f t="shared" si="69"/>
        <v>1.6635160680529215E-3</v>
      </c>
      <c r="Y725">
        <f t="shared" si="69"/>
        <v>2.8055808310585724E-3</v>
      </c>
      <c r="Z725">
        <f t="shared" si="69"/>
        <v>-1.4386310289997556E-3</v>
      </c>
      <c r="AE725">
        <f>W725-mu-theta*AE724</f>
        <v>-2.4352026109688753E-2</v>
      </c>
      <c r="AF725">
        <f t="shared" si="71"/>
        <v>1.8086703365979815E-3</v>
      </c>
      <c r="AG725">
        <f t="shared" si="71"/>
        <v>1.6567578730102123E-3</v>
      </c>
      <c r="AK725">
        <f t="shared" si="70"/>
        <v>5.9302117564696279E-4</v>
      </c>
    </row>
    <row r="726" spans="1:37" x14ac:dyDescent="0.3">
      <c r="A726" s="1">
        <v>44939</v>
      </c>
      <c r="B726">
        <v>1.0828</v>
      </c>
      <c r="C726">
        <v>1.2225999999999999</v>
      </c>
      <c r="D726">
        <v>127.88</v>
      </c>
      <c r="G726">
        <v>1.0828</v>
      </c>
      <c r="H726">
        <f t="shared" si="67"/>
        <v>1.0846</v>
      </c>
      <c r="I726">
        <f t="shared" si="67"/>
        <v>1.0754999999999999</v>
      </c>
      <c r="J726">
        <f t="shared" si="67"/>
        <v>1.0733999999999999</v>
      </c>
      <c r="L726">
        <f t="shared" si="66"/>
        <v>-1.8000000000000238E-3</v>
      </c>
      <c r="W726">
        <f t="shared" si="68"/>
        <v>-1.0369911778362509E-2</v>
      </c>
      <c r="X726">
        <f t="shared" si="69"/>
        <v>-2.4533856722276742E-2</v>
      </c>
      <c r="Y726">
        <f t="shared" si="69"/>
        <v>1.6635160680529215E-3</v>
      </c>
      <c r="Z726">
        <f t="shared" si="69"/>
        <v>2.8055808310585724E-3</v>
      </c>
      <c r="AE726">
        <f>W726-mu-theta*AE725</f>
        <v>-1.6504078422393612E-2</v>
      </c>
      <c r="AF726">
        <f t="shared" si="71"/>
        <v>-2.4352026109688753E-2</v>
      </c>
      <c r="AG726">
        <f t="shared" si="71"/>
        <v>1.8086703365979815E-3</v>
      </c>
      <c r="AK726">
        <f t="shared" si="70"/>
        <v>2.7238460457251838E-4</v>
      </c>
    </row>
    <row r="727" spans="1:37" x14ac:dyDescent="0.3">
      <c r="A727" s="1">
        <v>44942</v>
      </c>
      <c r="B727">
        <v>1.0815999999999999</v>
      </c>
      <c r="C727">
        <v>1.2191000000000001</v>
      </c>
      <c r="D727">
        <v>128.54</v>
      </c>
      <c r="G727">
        <v>1.0815999999999999</v>
      </c>
      <c r="H727">
        <f t="shared" si="67"/>
        <v>1.0828</v>
      </c>
      <c r="I727">
        <f t="shared" si="67"/>
        <v>1.0846</v>
      </c>
      <c r="J727">
        <f t="shared" si="67"/>
        <v>1.0754999999999999</v>
      </c>
      <c r="L727">
        <f t="shared" si="66"/>
        <v>-1.2000000000000899E-3</v>
      </c>
      <c r="W727">
        <f t="shared" si="68"/>
        <v>5.1610885204879308E-3</v>
      </c>
      <c r="X727">
        <f t="shared" si="69"/>
        <v>-1.0369911778362509E-2</v>
      </c>
      <c r="Y727">
        <f t="shared" si="69"/>
        <v>-2.4533856722276742E-2</v>
      </c>
      <c r="Z727">
        <f t="shared" si="69"/>
        <v>1.6635160680529215E-3</v>
      </c>
      <c r="AE727">
        <f>W727-mu-theta*AE726</f>
        <v>9.2165798047526368E-4</v>
      </c>
      <c r="AF727">
        <f t="shared" si="71"/>
        <v>-1.6504078422393612E-2</v>
      </c>
      <c r="AG727">
        <f t="shared" si="71"/>
        <v>-2.4352026109688753E-2</v>
      </c>
      <c r="AK727">
        <f t="shared" si="70"/>
        <v>8.4945343297374149E-7</v>
      </c>
    </row>
    <row r="728" spans="1:37" x14ac:dyDescent="0.3">
      <c r="A728" s="1">
        <v>44943</v>
      </c>
      <c r="B728">
        <v>1.0788</v>
      </c>
      <c r="C728">
        <v>1.2287999999999999</v>
      </c>
      <c r="D728">
        <v>128.13</v>
      </c>
      <c r="G728">
        <v>1.0788</v>
      </c>
      <c r="H728">
        <f t="shared" si="67"/>
        <v>1.0815999999999999</v>
      </c>
      <c r="I728">
        <f t="shared" si="67"/>
        <v>1.0828</v>
      </c>
      <c r="J728">
        <f t="shared" si="67"/>
        <v>1.0846</v>
      </c>
      <c r="L728">
        <f t="shared" si="66"/>
        <v>-2.7999999999999137E-3</v>
      </c>
      <c r="W728">
        <f t="shared" si="68"/>
        <v>-3.1896685856542448E-3</v>
      </c>
      <c r="X728">
        <f t="shared" si="69"/>
        <v>5.1610885204879308E-3</v>
      </c>
      <c r="Y728">
        <f t="shared" si="69"/>
        <v>-1.0369911778362509E-2</v>
      </c>
      <c r="Z728">
        <f t="shared" si="69"/>
        <v>-2.4533856722276742E-2</v>
      </c>
      <c r="AE728">
        <f>W728-mu-theta*AE727</f>
        <v>-3.2219900549636613E-3</v>
      </c>
      <c r="AF728">
        <f t="shared" si="71"/>
        <v>9.2165798047526368E-4</v>
      </c>
      <c r="AG728">
        <f t="shared" si="71"/>
        <v>-1.6504078422393612E-2</v>
      </c>
      <c r="AK728">
        <f t="shared" si="70"/>
        <v>1.0381219914284738E-5</v>
      </c>
    </row>
    <row r="729" spans="1:37" x14ac:dyDescent="0.3">
      <c r="A729" s="1">
        <v>44944</v>
      </c>
      <c r="B729">
        <v>1.0791999999999999</v>
      </c>
      <c r="C729">
        <v>1.2345999999999999</v>
      </c>
      <c r="D729">
        <v>128.88</v>
      </c>
      <c r="G729">
        <v>1.0791999999999999</v>
      </c>
      <c r="H729">
        <f t="shared" si="67"/>
        <v>1.0788</v>
      </c>
      <c r="I729">
        <f t="shared" si="67"/>
        <v>1.0815999999999999</v>
      </c>
      <c r="J729">
        <f t="shared" si="67"/>
        <v>1.0828</v>
      </c>
      <c r="L729">
        <f t="shared" si="66"/>
        <v>3.9999999999995595E-4</v>
      </c>
      <c r="W729">
        <f t="shared" si="68"/>
        <v>5.8534301100444863E-3</v>
      </c>
      <c r="X729">
        <f t="shared" si="69"/>
        <v>-3.1896685856542448E-3</v>
      </c>
      <c r="Y729">
        <f t="shared" si="69"/>
        <v>5.1610885204879308E-3</v>
      </c>
      <c r="Z729">
        <f t="shared" si="69"/>
        <v>-1.0369911778362509E-2</v>
      </c>
      <c r="AE729">
        <f>W729-mu-theta*AE728</f>
        <v>4.8207044780262404E-3</v>
      </c>
      <c r="AF729">
        <f t="shared" si="71"/>
        <v>-3.2219900549636613E-3</v>
      </c>
      <c r="AG729">
        <f t="shared" si="71"/>
        <v>9.2165798047526368E-4</v>
      </c>
      <c r="AK729">
        <f t="shared" si="70"/>
        <v>2.3239191664462248E-5</v>
      </c>
    </row>
    <row r="730" spans="1:37" x14ac:dyDescent="0.3">
      <c r="A730" s="1">
        <v>44945</v>
      </c>
      <c r="B730">
        <v>1.0827</v>
      </c>
      <c r="C730">
        <v>1.2388999999999999</v>
      </c>
      <c r="D730">
        <v>128.41999999999999</v>
      </c>
      <c r="G730">
        <v>1.0827</v>
      </c>
      <c r="H730">
        <f t="shared" si="67"/>
        <v>1.0791999999999999</v>
      </c>
      <c r="I730">
        <f t="shared" si="67"/>
        <v>1.0788</v>
      </c>
      <c r="J730">
        <f t="shared" si="67"/>
        <v>1.0815999999999999</v>
      </c>
      <c r="L730">
        <f t="shared" si="66"/>
        <v>3.5000000000000586E-3</v>
      </c>
      <c r="W730">
        <f t="shared" si="68"/>
        <v>-3.5692116697703907E-3</v>
      </c>
      <c r="X730">
        <f t="shared" si="69"/>
        <v>5.8534301100444863E-3</v>
      </c>
      <c r="Y730">
        <f t="shared" si="69"/>
        <v>-3.1896685856542448E-3</v>
      </c>
      <c r="Z730">
        <f t="shared" si="69"/>
        <v>5.1610885204879308E-3</v>
      </c>
      <c r="AE730">
        <f>W730-mu-theta*AE729</f>
        <v>-2.6601833155945947E-3</v>
      </c>
      <c r="AF730">
        <f t="shared" si="71"/>
        <v>4.8207044780262404E-3</v>
      </c>
      <c r="AG730">
        <f t="shared" si="71"/>
        <v>-3.2219900549636613E-3</v>
      </c>
      <c r="AK730">
        <f t="shared" si="70"/>
        <v>7.0765752725678511E-6</v>
      </c>
    </row>
    <row r="731" spans="1:37" x14ac:dyDescent="0.3">
      <c r="A731" s="1">
        <v>44946</v>
      </c>
      <c r="B731">
        <v>1.0854999999999999</v>
      </c>
      <c r="C731">
        <v>1.2393000000000001</v>
      </c>
      <c r="D731">
        <v>129.57</v>
      </c>
      <c r="G731">
        <v>1.0854999999999999</v>
      </c>
      <c r="H731">
        <f t="shared" si="67"/>
        <v>1.0827</v>
      </c>
      <c r="I731">
        <f t="shared" si="67"/>
        <v>1.0791999999999999</v>
      </c>
      <c r="J731">
        <f t="shared" si="67"/>
        <v>1.0788</v>
      </c>
      <c r="L731">
        <f t="shared" si="66"/>
        <v>2.7999999999999137E-3</v>
      </c>
      <c r="W731">
        <f t="shared" si="68"/>
        <v>8.954991434356064E-3</v>
      </c>
      <c r="X731">
        <f t="shared" si="69"/>
        <v>-3.5692116697703907E-3</v>
      </c>
      <c r="Y731">
        <f t="shared" si="69"/>
        <v>5.8534301100444863E-3</v>
      </c>
      <c r="Z731">
        <f t="shared" si="69"/>
        <v>-3.1896685856542448E-3</v>
      </c>
      <c r="AE731">
        <f>W731-mu-theta*AE730</f>
        <v>8.0579032396625727E-3</v>
      </c>
      <c r="AF731">
        <f t="shared" si="71"/>
        <v>-2.6601833155945947E-3</v>
      </c>
      <c r="AG731">
        <f t="shared" si="71"/>
        <v>4.8207044780262404E-3</v>
      </c>
      <c r="AK731">
        <f t="shared" si="70"/>
        <v>6.4929804619764589E-5</v>
      </c>
    </row>
    <row r="732" spans="1:37" x14ac:dyDescent="0.3">
      <c r="A732" s="1">
        <v>44949</v>
      </c>
      <c r="B732">
        <v>1.0868</v>
      </c>
      <c r="C732">
        <v>1.2373000000000001</v>
      </c>
      <c r="D732">
        <v>130.66</v>
      </c>
      <c r="G732">
        <v>1.0868</v>
      </c>
      <c r="H732">
        <f t="shared" si="67"/>
        <v>1.0854999999999999</v>
      </c>
      <c r="I732">
        <f t="shared" si="67"/>
        <v>1.0827</v>
      </c>
      <c r="J732">
        <f t="shared" si="67"/>
        <v>1.0791999999999999</v>
      </c>
      <c r="L732">
        <f t="shared" si="66"/>
        <v>1.3000000000000789E-3</v>
      </c>
      <c r="W732">
        <f t="shared" si="68"/>
        <v>8.4124411515011464E-3</v>
      </c>
      <c r="X732">
        <f t="shared" si="69"/>
        <v>8.954991434356064E-3</v>
      </c>
      <c r="Y732">
        <f t="shared" si="69"/>
        <v>-3.5692116697703907E-3</v>
      </c>
      <c r="Z732">
        <f t="shared" si="69"/>
        <v>5.8534301100444863E-3</v>
      </c>
      <c r="AE732">
        <f>W732-mu-theta*AE731</f>
        <v>1.010302891636029E-2</v>
      </c>
      <c r="AF732">
        <f t="shared" si="71"/>
        <v>8.0579032396625727E-3</v>
      </c>
      <c r="AG732">
        <f t="shared" si="71"/>
        <v>-2.6601833155945947E-3</v>
      </c>
      <c r="AK732">
        <f t="shared" si="70"/>
        <v>1.0207119328481217E-4</v>
      </c>
    </row>
    <row r="733" spans="1:37" x14ac:dyDescent="0.3">
      <c r="A733" s="1">
        <v>44950</v>
      </c>
      <c r="B733">
        <v>1.0885</v>
      </c>
      <c r="C733">
        <v>1.2327999999999999</v>
      </c>
      <c r="D733">
        <v>130.15</v>
      </c>
      <c r="G733">
        <v>1.0885</v>
      </c>
      <c r="H733">
        <f t="shared" si="67"/>
        <v>1.0868</v>
      </c>
      <c r="I733">
        <f t="shared" si="67"/>
        <v>1.0854999999999999</v>
      </c>
      <c r="J733">
        <f t="shared" si="67"/>
        <v>1.0827</v>
      </c>
      <c r="L733">
        <f t="shared" si="66"/>
        <v>1.7000000000000348E-3</v>
      </c>
      <c r="W733">
        <f t="shared" si="68"/>
        <v>-3.9032603704269933E-3</v>
      </c>
      <c r="X733">
        <f t="shared" si="69"/>
        <v>8.4124411515011464E-3</v>
      </c>
      <c r="Y733">
        <f t="shared" si="69"/>
        <v>8.954991434356064E-3</v>
      </c>
      <c r="Z733">
        <f t="shared" si="69"/>
        <v>-3.5692116697703907E-3</v>
      </c>
      <c r="AE733">
        <f>W733-mu-theta*AE732</f>
        <v>-1.7189163254173853E-3</v>
      </c>
      <c r="AF733">
        <f t="shared" si="71"/>
        <v>1.010302891636029E-2</v>
      </c>
      <c r="AG733">
        <f t="shared" si="71"/>
        <v>8.0579032396625727E-3</v>
      </c>
      <c r="AK733">
        <f t="shared" si="70"/>
        <v>2.9546733337864066E-6</v>
      </c>
    </row>
    <row r="734" spans="1:37" x14ac:dyDescent="0.3">
      <c r="A734" s="1">
        <v>44951</v>
      </c>
      <c r="B734">
        <v>1.0914999999999999</v>
      </c>
      <c r="C734">
        <v>1.24</v>
      </c>
      <c r="D734">
        <v>129.59</v>
      </c>
      <c r="G734">
        <v>1.0914999999999999</v>
      </c>
      <c r="H734">
        <f t="shared" si="67"/>
        <v>1.0885</v>
      </c>
      <c r="I734">
        <f t="shared" si="67"/>
        <v>1.0868</v>
      </c>
      <c r="J734">
        <f t="shared" si="67"/>
        <v>1.0854999999999999</v>
      </c>
      <c r="L734">
        <f t="shared" si="66"/>
        <v>2.9999999999998916E-3</v>
      </c>
      <c r="W734">
        <f t="shared" si="68"/>
        <v>-4.302727621974662E-3</v>
      </c>
      <c r="X734">
        <f t="shared" si="69"/>
        <v>-3.9032603704269933E-3</v>
      </c>
      <c r="Y734">
        <f t="shared" si="69"/>
        <v>8.4124411515011464E-3</v>
      </c>
      <c r="Z734">
        <f t="shared" si="69"/>
        <v>8.954991434356064E-3</v>
      </c>
      <c r="AE734">
        <f>W734-mu-theta*AE733</f>
        <v>-4.9725649963426417E-3</v>
      </c>
      <c r="AF734">
        <f t="shared" si="71"/>
        <v>-1.7189163254173853E-3</v>
      </c>
      <c r="AG734">
        <f t="shared" si="71"/>
        <v>1.010302891636029E-2</v>
      </c>
      <c r="AK734">
        <f t="shared" si="70"/>
        <v>2.4726402642852098E-5</v>
      </c>
    </row>
    <row r="735" spans="1:37" x14ac:dyDescent="0.3">
      <c r="A735" s="1">
        <v>44952</v>
      </c>
      <c r="B735">
        <v>1.0889</v>
      </c>
      <c r="C735">
        <v>1.2405999999999999</v>
      </c>
      <c r="D735">
        <v>130.21</v>
      </c>
      <c r="G735">
        <v>1.0889</v>
      </c>
      <c r="H735">
        <f t="shared" si="67"/>
        <v>1.0914999999999999</v>
      </c>
      <c r="I735">
        <f t="shared" si="67"/>
        <v>1.0885</v>
      </c>
      <c r="J735">
        <f t="shared" si="67"/>
        <v>1.0868</v>
      </c>
      <c r="L735">
        <f t="shared" si="66"/>
        <v>-2.5999999999999357E-3</v>
      </c>
      <c r="W735">
        <f t="shared" si="68"/>
        <v>4.7843197777606645E-3</v>
      </c>
      <c r="X735">
        <f t="shared" si="69"/>
        <v>-4.302727621974662E-3</v>
      </c>
      <c r="Y735">
        <f t="shared" si="69"/>
        <v>-3.9032603704269933E-3</v>
      </c>
      <c r="Z735">
        <f t="shared" si="69"/>
        <v>8.4124411515011464E-3</v>
      </c>
      <c r="AE735">
        <f>W735-mu-theta*AE734</f>
        <v>3.3289514783364769E-3</v>
      </c>
      <c r="AF735">
        <f t="shared" si="71"/>
        <v>-4.9725649963426417E-3</v>
      </c>
      <c r="AG735">
        <f t="shared" si="71"/>
        <v>-1.7189163254173853E-3</v>
      </c>
      <c r="AK735">
        <f t="shared" si="70"/>
        <v>1.1081917945118615E-5</v>
      </c>
    </row>
    <row r="736" spans="1:37" x14ac:dyDescent="0.3">
      <c r="A736" s="1">
        <v>44953</v>
      </c>
      <c r="B736">
        <v>1.0867</v>
      </c>
      <c r="C736">
        <v>1.2397</v>
      </c>
      <c r="D736">
        <v>129.85</v>
      </c>
      <c r="G736">
        <v>1.0867</v>
      </c>
      <c r="H736">
        <f t="shared" si="67"/>
        <v>1.0889</v>
      </c>
      <c r="I736">
        <f t="shared" si="67"/>
        <v>1.0914999999999999</v>
      </c>
      <c r="J736">
        <f t="shared" si="67"/>
        <v>1.0885</v>
      </c>
      <c r="L736">
        <f t="shared" si="66"/>
        <v>-2.1999999999999797E-3</v>
      </c>
      <c r="W736">
        <f t="shared" si="68"/>
        <v>-2.7647646110130837E-3</v>
      </c>
      <c r="X736">
        <f t="shared" si="69"/>
        <v>4.7843197777606645E-3</v>
      </c>
      <c r="Y736">
        <f t="shared" si="69"/>
        <v>-4.302727621974662E-3</v>
      </c>
      <c r="Z736">
        <f t="shared" si="69"/>
        <v>-3.9032603704269933E-3</v>
      </c>
      <c r="AE736">
        <f>W736-mu-theta*AE735</f>
        <v>-2.2158913418878312E-3</v>
      </c>
      <c r="AF736">
        <f t="shared" si="71"/>
        <v>3.3289514783364769E-3</v>
      </c>
      <c r="AG736">
        <f t="shared" si="71"/>
        <v>-4.9725649963426417E-3</v>
      </c>
      <c r="AK736">
        <f t="shared" si="70"/>
        <v>4.910174439053453E-6</v>
      </c>
    </row>
    <row r="737" spans="1:37" x14ac:dyDescent="0.3">
      <c r="A737" s="1">
        <v>44956</v>
      </c>
      <c r="B737">
        <v>1.0844</v>
      </c>
      <c r="C737">
        <v>1.2352000000000001</v>
      </c>
      <c r="D737">
        <v>130.44</v>
      </c>
      <c r="G737">
        <v>1.0844</v>
      </c>
      <c r="H737">
        <f t="shared" si="67"/>
        <v>1.0867</v>
      </c>
      <c r="I737">
        <f t="shared" si="67"/>
        <v>1.0889</v>
      </c>
      <c r="J737">
        <f t="shared" si="67"/>
        <v>1.0914999999999999</v>
      </c>
      <c r="L737">
        <f t="shared" si="66"/>
        <v>-2.2999999999999687E-3</v>
      </c>
      <c r="W737">
        <f t="shared" si="68"/>
        <v>4.5437042741625217E-3</v>
      </c>
      <c r="X737">
        <f t="shared" si="69"/>
        <v>-2.7647646110130837E-3</v>
      </c>
      <c r="Y737">
        <f t="shared" si="69"/>
        <v>4.7843197777606645E-3</v>
      </c>
      <c r="Z737">
        <f t="shared" si="69"/>
        <v>-4.302727621974662E-3</v>
      </c>
      <c r="AE737">
        <f>W737-mu-theta*AE736</f>
        <v>3.7538818356705667E-3</v>
      </c>
      <c r="AF737">
        <f t="shared" si="71"/>
        <v>-2.2158913418878312E-3</v>
      </c>
      <c r="AG737">
        <f t="shared" si="71"/>
        <v>3.3289514783364769E-3</v>
      </c>
      <c r="AK737">
        <f t="shared" si="70"/>
        <v>1.4091628836177424E-5</v>
      </c>
    </row>
    <row r="738" spans="1:37" x14ac:dyDescent="0.3">
      <c r="A738" s="1">
        <v>44957</v>
      </c>
      <c r="B738">
        <v>1.0862000000000001</v>
      </c>
      <c r="C738">
        <v>1.232</v>
      </c>
      <c r="D738">
        <v>130.09</v>
      </c>
      <c r="G738">
        <v>1.0862000000000001</v>
      </c>
      <c r="H738">
        <f t="shared" si="67"/>
        <v>1.0844</v>
      </c>
      <c r="I738">
        <f t="shared" si="67"/>
        <v>1.0867</v>
      </c>
      <c r="J738">
        <f t="shared" si="67"/>
        <v>1.0889</v>
      </c>
      <c r="L738">
        <f t="shared" si="66"/>
        <v>1.8000000000000238E-3</v>
      </c>
      <c r="W738">
        <f t="shared" si="68"/>
        <v>-2.6832260042931179E-3</v>
      </c>
      <c r="X738">
        <f t="shared" si="69"/>
        <v>4.5437042741625217E-3</v>
      </c>
      <c r="Y738">
        <f t="shared" si="69"/>
        <v>-2.7647646110130837E-3</v>
      </c>
      <c r="Z738">
        <f t="shared" si="69"/>
        <v>4.7843197777606645E-3</v>
      </c>
      <c r="AE738">
        <f>W738-mu-theta*AE737</f>
        <v>-2.0317614690413387E-3</v>
      </c>
      <c r="AF738">
        <f t="shared" si="71"/>
        <v>3.7538818356705667E-3</v>
      </c>
      <c r="AG738">
        <f t="shared" si="71"/>
        <v>-2.2158913418878312E-3</v>
      </c>
      <c r="AK738">
        <f t="shared" si="70"/>
        <v>4.128054667081019E-6</v>
      </c>
    </row>
    <row r="739" spans="1:37" x14ac:dyDescent="0.3">
      <c r="A739" s="1">
        <v>44958</v>
      </c>
      <c r="B739">
        <v>1.0989</v>
      </c>
      <c r="C739">
        <v>1.2376</v>
      </c>
      <c r="D739">
        <v>128.93</v>
      </c>
      <c r="G739">
        <v>1.0989</v>
      </c>
      <c r="H739">
        <f t="shared" si="67"/>
        <v>1.0862000000000001</v>
      </c>
      <c r="I739">
        <f t="shared" si="67"/>
        <v>1.0844</v>
      </c>
      <c r="J739">
        <f t="shared" si="67"/>
        <v>1.0867</v>
      </c>
      <c r="L739">
        <f t="shared" si="66"/>
        <v>1.2699999999999934E-2</v>
      </c>
      <c r="W739">
        <f t="shared" si="68"/>
        <v>-8.9169036820662354E-3</v>
      </c>
      <c r="X739">
        <f t="shared" si="69"/>
        <v>-2.6832260042931179E-3</v>
      </c>
      <c r="Y739">
        <f t="shared" si="69"/>
        <v>4.5437042741625217E-3</v>
      </c>
      <c r="Z739">
        <f t="shared" si="69"/>
        <v>-2.7647646110130837E-3</v>
      </c>
      <c r="AE739">
        <f>W739-mu-theta*AE738</f>
        <v>-9.6622715023813432E-3</v>
      </c>
      <c r="AF739">
        <f t="shared" si="71"/>
        <v>-2.0317614690413387E-3</v>
      </c>
      <c r="AG739">
        <f t="shared" si="71"/>
        <v>3.7538818356705667E-3</v>
      </c>
      <c r="AK739">
        <f t="shared" si="70"/>
        <v>9.3359490585730621E-5</v>
      </c>
    </row>
    <row r="740" spans="1:37" x14ac:dyDescent="0.3">
      <c r="A740" s="1">
        <v>44959</v>
      </c>
      <c r="B740">
        <v>1.091</v>
      </c>
      <c r="C740">
        <v>1.2222999999999999</v>
      </c>
      <c r="D740">
        <v>128.65</v>
      </c>
      <c r="G740">
        <v>1.091</v>
      </c>
      <c r="H740">
        <f t="shared" si="67"/>
        <v>1.0989</v>
      </c>
      <c r="I740">
        <f t="shared" si="67"/>
        <v>1.0862000000000001</v>
      </c>
      <c r="J740">
        <f t="shared" si="67"/>
        <v>1.0844</v>
      </c>
      <c r="L740">
        <f t="shared" si="66"/>
        <v>-7.9000000000000181E-3</v>
      </c>
      <c r="W740">
        <f t="shared" si="68"/>
        <v>-2.171721088963012E-3</v>
      </c>
      <c r="X740">
        <f t="shared" si="69"/>
        <v>-8.9169036820662354E-3</v>
      </c>
      <c r="Y740">
        <f t="shared" si="69"/>
        <v>-2.6832260042931179E-3</v>
      </c>
      <c r="Z740">
        <f t="shared" si="69"/>
        <v>4.5437042741625217E-3</v>
      </c>
      <c r="AE740">
        <f>W740-mu-theta*AE739</f>
        <v>-4.7593288716633961E-3</v>
      </c>
      <c r="AF740">
        <f t="shared" si="71"/>
        <v>-9.6622715023813432E-3</v>
      </c>
      <c r="AG740">
        <f t="shared" si="71"/>
        <v>-2.0317614690413387E-3</v>
      </c>
      <c r="AK740">
        <f t="shared" si="70"/>
        <v>2.2651211308648775E-5</v>
      </c>
    </row>
    <row r="741" spans="1:37" x14ac:dyDescent="0.3">
      <c r="A741" s="1">
        <v>44960</v>
      </c>
      <c r="B741">
        <v>1.0792999999999999</v>
      </c>
      <c r="C741">
        <v>1.2051000000000001</v>
      </c>
      <c r="D741">
        <v>131.16999999999999</v>
      </c>
      <c r="G741">
        <v>1.0792999999999999</v>
      </c>
      <c r="H741">
        <f t="shared" si="67"/>
        <v>1.091</v>
      </c>
      <c r="I741">
        <f t="shared" si="67"/>
        <v>1.0989</v>
      </c>
      <c r="J741">
        <f t="shared" si="67"/>
        <v>1.0862000000000001</v>
      </c>
      <c r="L741">
        <f t="shared" si="66"/>
        <v>-1.1700000000000044E-2</v>
      </c>
      <c r="W741">
        <f t="shared" si="68"/>
        <v>1.9588029537504714E-2</v>
      </c>
      <c r="X741">
        <f t="shared" si="69"/>
        <v>-2.171721088963012E-3</v>
      </c>
      <c r="Y741">
        <f t="shared" si="69"/>
        <v>-8.9169036820662354E-3</v>
      </c>
      <c r="Z741">
        <f t="shared" si="69"/>
        <v>-2.6832260042931179E-3</v>
      </c>
      <c r="AE741">
        <f>W741-mu-theta*AE740</f>
        <v>1.8184143001238148E-2</v>
      </c>
      <c r="AF741">
        <f t="shared" si="71"/>
        <v>-4.7593288716633961E-3</v>
      </c>
      <c r="AG741">
        <f t="shared" si="71"/>
        <v>-9.6622715023813432E-3</v>
      </c>
      <c r="AK741">
        <f t="shared" si="70"/>
        <v>3.3066305668947834E-4</v>
      </c>
    </row>
    <row r="742" spans="1:37" x14ac:dyDescent="0.3">
      <c r="A742" s="1">
        <v>44963</v>
      </c>
      <c r="B742">
        <v>1.073</v>
      </c>
      <c r="C742">
        <v>1.2016</v>
      </c>
      <c r="D742">
        <v>132.65</v>
      </c>
      <c r="G742">
        <v>1.073</v>
      </c>
      <c r="H742">
        <f t="shared" si="67"/>
        <v>1.0792999999999999</v>
      </c>
      <c r="I742">
        <f t="shared" si="67"/>
        <v>1.091</v>
      </c>
      <c r="J742">
        <f t="shared" si="67"/>
        <v>1.0989</v>
      </c>
      <c r="L742">
        <f t="shared" si="66"/>
        <v>-6.2999999999999723E-3</v>
      </c>
      <c r="W742">
        <f t="shared" si="68"/>
        <v>1.1283067774643732E-2</v>
      </c>
      <c r="X742">
        <f t="shared" si="69"/>
        <v>1.9588029537504714E-2</v>
      </c>
      <c r="Y742">
        <f t="shared" si="69"/>
        <v>-2.171721088963012E-3</v>
      </c>
      <c r="Z742">
        <f t="shared" si="69"/>
        <v>-8.9169036820662354E-3</v>
      </c>
      <c r="AE742">
        <f>W742-mu-theta*AE741</f>
        <v>1.5418441468092197E-2</v>
      </c>
      <c r="AF742">
        <f t="shared" si="71"/>
        <v>1.8184143001238148E-2</v>
      </c>
      <c r="AG742">
        <f t="shared" si="71"/>
        <v>-4.7593288716633961E-3</v>
      </c>
      <c r="AK742">
        <f t="shared" si="70"/>
        <v>2.3772833730498506E-4</v>
      </c>
    </row>
    <row r="743" spans="1:37" x14ac:dyDescent="0.3">
      <c r="A743" s="1">
        <v>44964</v>
      </c>
      <c r="B743">
        <v>1.0723</v>
      </c>
      <c r="C743">
        <v>1.2041999999999999</v>
      </c>
      <c r="D743">
        <v>131.05000000000001</v>
      </c>
      <c r="G743">
        <v>1.0723</v>
      </c>
      <c r="H743">
        <f t="shared" si="67"/>
        <v>1.073</v>
      </c>
      <c r="I743">
        <f t="shared" si="67"/>
        <v>1.0792999999999999</v>
      </c>
      <c r="J743">
        <f t="shared" si="67"/>
        <v>1.091</v>
      </c>
      <c r="L743">
        <f t="shared" si="66"/>
        <v>-6.9999999999992291E-4</v>
      </c>
      <c r="W743">
        <f t="shared" si="68"/>
        <v>-1.2061816811157137E-2</v>
      </c>
      <c r="X743">
        <f t="shared" si="69"/>
        <v>1.1283067774643732E-2</v>
      </c>
      <c r="Y743">
        <f t="shared" si="69"/>
        <v>1.9588029537504714E-2</v>
      </c>
      <c r="Z743">
        <f t="shared" si="69"/>
        <v>-2.171721088963012E-3</v>
      </c>
      <c r="AE743">
        <f>W743-mu-theta*AE742</f>
        <v>-8.5941685864033904E-3</v>
      </c>
      <c r="AF743">
        <f t="shared" si="71"/>
        <v>1.5418441468092197E-2</v>
      </c>
      <c r="AG743">
        <f t="shared" si="71"/>
        <v>1.8184143001238148E-2</v>
      </c>
      <c r="AK743">
        <f t="shared" si="70"/>
        <v>7.3859733691522845E-5</v>
      </c>
    </row>
    <row r="744" spans="1:37" x14ac:dyDescent="0.3">
      <c r="A744" s="1">
        <v>44965</v>
      </c>
      <c r="B744">
        <v>1.0709</v>
      </c>
      <c r="C744">
        <v>1.2071000000000001</v>
      </c>
      <c r="D744">
        <v>131.37</v>
      </c>
      <c r="G744">
        <v>1.0709</v>
      </c>
      <c r="H744">
        <f t="shared" si="67"/>
        <v>1.0723</v>
      </c>
      <c r="I744">
        <f t="shared" si="67"/>
        <v>1.073</v>
      </c>
      <c r="J744">
        <f t="shared" si="67"/>
        <v>1.0792999999999999</v>
      </c>
      <c r="L744">
        <f t="shared" si="66"/>
        <v>-1.4000000000000679E-3</v>
      </c>
      <c r="W744">
        <f t="shared" si="68"/>
        <v>2.4418161007248619E-3</v>
      </c>
      <c r="X744">
        <f t="shared" si="69"/>
        <v>-1.2061816811157137E-2</v>
      </c>
      <c r="Y744">
        <f t="shared" si="69"/>
        <v>1.1283067774643732E-2</v>
      </c>
      <c r="Z744">
        <f t="shared" si="69"/>
        <v>1.9588029537504714E-2</v>
      </c>
      <c r="AE744">
        <f>W744-mu-theta*AE743</f>
        <v>1.120812344032442E-4</v>
      </c>
      <c r="AF744">
        <f t="shared" si="71"/>
        <v>-8.5941685864033904E-3</v>
      </c>
      <c r="AG744">
        <f t="shared" si="71"/>
        <v>1.5418441468092197E-2</v>
      </c>
      <c r="AK744">
        <f t="shared" si="70"/>
        <v>1.2562203105354971E-8</v>
      </c>
    </row>
    <row r="745" spans="1:37" x14ac:dyDescent="0.3">
      <c r="A745" s="1">
        <v>44966</v>
      </c>
      <c r="B745">
        <v>1.0736000000000001</v>
      </c>
      <c r="C745">
        <v>1.2121999999999999</v>
      </c>
      <c r="D745">
        <v>131.56</v>
      </c>
      <c r="G745">
        <v>1.0736000000000001</v>
      </c>
      <c r="H745">
        <f t="shared" si="67"/>
        <v>1.0709</v>
      </c>
      <c r="I745">
        <f t="shared" si="67"/>
        <v>1.0723</v>
      </c>
      <c r="J745">
        <f t="shared" si="67"/>
        <v>1.073</v>
      </c>
      <c r="L745">
        <f t="shared" si="66"/>
        <v>2.7000000000001467E-3</v>
      </c>
      <c r="W745">
        <f t="shared" si="68"/>
        <v>1.4462967191900564E-3</v>
      </c>
      <c r="X745">
        <f t="shared" si="69"/>
        <v>2.4418161007248619E-3</v>
      </c>
      <c r="Y745">
        <f t="shared" si="69"/>
        <v>-1.2061816811157137E-2</v>
      </c>
      <c r="Z745">
        <f t="shared" si="69"/>
        <v>1.1283067774643732E-2</v>
      </c>
      <c r="AE745">
        <f>W745-mu-theta*AE744</f>
        <v>1.2185185074459687E-3</v>
      </c>
      <c r="AF745">
        <f t="shared" si="71"/>
        <v>1.120812344032442E-4</v>
      </c>
      <c r="AG745">
        <f t="shared" si="71"/>
        <v>-8.5941685864033904E-3</v>
      </c>
      <c r="AK745">
        <f t="shared" si="70"/>
        <v>1.4847873529883513E-6</v>
      </c>
    </row>
    <row r="746" spans="1:37" x14ac:dyDescent="0.3">
      <c r="A746" s="1">
        <v>44967</v>
      </c>
      <c r="B746">
        <v>1.0674999999999999</v>
      </c>
      <c r="C746">
        <v>1.2058</v>
      </c>
      <c r="D746">
        <v>131.41</v>
      </c>
      <c r="G746">
        <v>1.0674999999999999</v>
      </c>
      <c r="H746">
        <f t="shared" si="67"/>
        <v>1.0736000000000001</v>
      </c>
      <c r="I746">
        <f t="shared" si="67"/>
        <v>1.0709</v>
      </c>
      <c r="J746">
        <f t="shared" si="67"/>
        <v>1.0723</v>
      </c>
      <c r="L746">
        <f t="shared" si="66"/>
        <v>-6.1000000000002164E-3</v>
      </c>
      <c r="W746">
        <f t="shared" si="68"/>
        <v>-1.1401641836424877E-3</v>
      </c>
      <c r="X746">
        <f t="shared" si="69"/>
        <v>1.4462967191900564E-3</v>
      </c>
      <c r="Y746">
        <f t="shared" si="69"/>
        <v>2.4418161007248619E-3</v>
      </c>
      <c r="Z746">
        <f t="shared" si="69"/>
        <v>-1.2061816811157137E-2</v>
      </c>
      <c r="AE746">
        <f>W746-mu-theta*AE745</f>
        <v>-1.1008143854153089E-3</v>
      </c>
      <c r="AF746">
        <f t="shared" si="71"/>
        <v>1.2185185074459687E-3</v>
      </c>
      <c r="AG746">
        <f t="shared" si="71"/>
        <v>1.120812344032442E-4</v>
      </c>
      <c r="AK746">
        <f t="shared" si="70"/>
        <v>1.2117923111372843E-6</v>
      </c>
    </row>
    <row r="747" spans="1:37" x14ac:dyDescent="0.3">
      <c r="A747" s="1">
        <v>44970</v>
      </c>
      <c r="B747">
        <v>1.0720000000000001</v>
      </c>
      <c r="C747">
        <v>1.2135</v>
      </c>
      <c r="D747">
        <v>132.4</v>
      </c>
      <c r="G747">
        <v>1.0720000000000001</v>
      </c>
      <c r="H747">
        <f t="shared" si="67"/>
        <v>1.0674999999999999</v>
      </c>
      <c r="I747">
        <f t="shared" si="67"/>
        <v>1.0736000000000001</v>
      </c>
      <c r="J747">
        <f t="shared" si="67"/>
        <v>1.0709</v>
      </c>
      <c r="L747">
        <f t="shared" si="66"/>
        <v>4.5000000000001705E-3</v>
      </c>
      <c r="W747">
        <f t="shared" si="68"/>
        <v>7.5336732364356526E-3</v>
      </c>
      <c r="X747">
        <f t="shared" si="69"/>
        <v>-1.1401641836424877E-3</v>
      </c>
      <c r="Y747">
        <f t="shared" si="69"/>
        <v>1.4462967191900564E-3</v>
      </c>
      <c r="Z747">
        <f t="shared" si="69"/>
        <v>2.4418161007248619E-3</v>
      </c>
      <c r="AE747">
        <f>W747-mu-theta*AE746</f>
        <v>7.0130646933940716E-3</v>
      </c>
      <c r="AF747">
        <f t="shared" si="71"/>
        <v>-1.1008143854153089E-3</v>
      </c>
      <c r="AG747">
        <f t="shared" si="71"/>
        <v>1.2185185074459687E-3</v>
      </c>
      <c r="AK747">
        <f t="shared" si="70"/>
        <v>4.9183076393730487E-5</v>
      </c>
    </row>
    <row r="748" spans="1:37" x14ac:dyDescent="0.3">
      <c r="A748" s="1">
        <v>44971</v>
      </c>
      <c r="B748">
        <v>1.0734999999999999</v>
      </c>
      <c r="C748">
        <v>1.2170000000000001</v>
      </c>
      <c r="D748">
        <v>133.11000000000001</v>
      </c>
      <c r="G748">
        <v>1.0734999999999999</v>
      </c>
      <c r="H748">
        <f t="shared" si="67"/>
        <v>1.0720000000000001</v>
      </c>
      <c r="I748">
        <f t="shared" si="67"/>
        <v>1.0674999999999999</v>
      </c>
      <c r="J748">
        <f t="shared" si="67"/>
        <v>1.0736000000000001</v>
      </c>
      <c r="L748">
        <f t="shared" si="66"/>
        <v>1.4999999999998348E-3</v>
      </c>
      <c r="W748">
        <f t="shared" si="68"/>
        <v>5.3625377643505131E-3</v>
      </c>
      <c r="X748">
        <f t="shared" si="69"/>
        <v>7.5336732364356526E-3</v>
      </c>
      <c r="Y748">
        <f t="shared" si="69"/>
        <v>-1.1401641836424877E-3</v>
      </c>
      <c r="Z748">
        <f t="shared" si="69"/>
        <v>1.4462967191900564E-3</v>
      </c>
      <c r="AE748">
        <f>W748-mu-theta*AE747</f>
        <v>6.8008693476744571E-3</v>
      </c>
      <c r="AF748">
        <f t="shared" si="71"/>
        <v>7.0130646933940716E-3</v>
      </c>
      <c r="AG748">
        <f t="shared" si="71"/>
        <v>-1.1008143854153089E-3</v>
      </c>
      <c r="AK748">
        <f t="shared" si="70"/>
        <v>4.6251823884137997E-5</v>
      </c>
    </row>
    <row r="749" spans="1:37" x14ac:dyDescent="0.3">
      <c r="A749" s="1">
        <v>44972</v>
      </c>
      <c r="B749">
        <v>1.0689</v>
      </c>
      <c r="C749">
        <v>1.2025999999999999</v>
      </c>
      <c r="D749">
        <v>134.11000000000001</v>
      </c>
      <c r="G749">
        <v>1.0689</v>
      </c>
      <c r="H749">
        <f t="shared" si="67"/>
        <v>1.0734999999999999</v>
      </c>
      <c r="I749">
        <f t="shared" si="67"/>
        <v>1.0720000000000001</v>
      </c>
      <c r="J749">
        <f t="shared" si="67"/>
        <v>1.0674999999999999</v>
      </c>
      <c r="L749">
        <f t="shared" si="66"/>
        <v>-4.5999999999999375E-3</v>
      </c>
      <c r="W749">
        <f t="shared" si="68"/>
        <v>7.5125835774922985E-3</v>
      </c>
      <c r="X749">
        <f t="shared" si="69"/>
        <v>5.3625377643505131E-3</v>
      </c>
      <c r="Y749">
        <f t="shared" si="69"/>
        <v>7.5336732364356526E-3</v>
      </c>
      <c r="Z749">
        <f t="shared" si="69"/>
        <v>-1.1401641836424877E-3</v>
      </c>
      <c r="AE749">
        <f>W749-mu-theta*AE748</f>
        <v>8.8996846737310013E-3</v>
      </c>
      <c r="AF749">
        <f t="shared" si="71"/>
        <v>6.8008693476744571E-3</v>
      </c>
      <c r="AG749">
        <f t="shared" si="71"/>
        <v>7.0130646933940716E-3</v>
      </c>
      <c r="AK749">
        <f t="shared" si="70"/>
        <v>7.9204387291842472E-5</v>
      </c>
    </row>
    <row r="750" spans="1:37" x14ac:dyDescent="0.3">
      <c r="A750" s="1">
        <v>44973</v>
      </c>
      <c r="B750">
        <v>1.0668</v>
      </c>
      <c r="C750">
        <v>1.1993</v>
      </c>
      <c r="D750">
        <v>133.94</v>
      </c>
      <c r="G750">
        <v>1.0668</v>
      </c>
      <c r="H750">
        <f t="shared" si="67"/>
        <v>1.0689</v>
      </c>
      <c r="I750">
        <f t="shared" si="67"/>
        <v>1.0734999999999999</v>
      </c>
      <c r="J750">
        <f t="shared" si="67"/>
        <v>1.0720000000000001</v>
      </c>
      <c r="L750">
        <f t="shared" si="66"/>
        <v>-2.0999999999999908E-3</v>
      </c>
      <c r="W750">
        <f t="shared" si="68"/>
        <v>-1.2676161360078734E-3</v>
      </c>
      <c r="X750">
        <f t="shared" si="69"/>
        <v>7.5125835774922985E-3</v>
      </c>
      <c r="Y750">
        <f t="shared" si="69"/>
        <v>5.3625377643505131E-3</v>
      </c>
      <c r="Z750">
        <f t="shared" si="69"/>
        <v>7.5336732364356526E-3</v>
      </c>
      <c r="AE750">
        <f>W750-mu-theta*AE749</f>
        <v>6.2620357411562145E-4</v>
      </c>
      <c r="AF750">
        <f t="shared" si="71"/>
        <v>8.8996846737310013E-3</v>
      </c>
      <c r="AG750">
        <f t="shared" si="71"/>
        <v>6.8008693476744571E-3</v>
      </c>
      <c r="AK750">
        <f t="shared" si="70"/>
        <v>3.9213091623517858E-7</v>
      </c>
    </row>
    <row r="751" spans="1:37" x14ac:dyDescent="0.3">
      <c r="A751" s="1">
        <v>44974</v>
      </c>
      <c r="B751">
        <v>1.0693999999999999</v>
      </c>
      <c r="C751">
        <v>1.2035</v>
      </c>
      <c r="D751">
        <v>134.15</v>
      </c>
      <c r="G751">
        <v>1.0693999999999999</v>
      </c>
      <c r="H751">
        <f t="shared" si="67"/>
        <v>1.0668</v>
      </c>
      <c r="I751">
        <f t="shared" si="67"/>
        <v>1.0689</v>
      </c>
      <c r="J751">
        <f t="shared" si="67"/>
        <v>1.0734999999999999</v>
      </c>
      <c r="L751">
        <f t="shared" si="66"/>
        <v>2.5999999999999357E-3</v>
      </c>
      <c r="W751">
        <f t="shared" si="68"/>
        <v>1.567866208750246E-3</v>
      </c>
      <c r="X751">
        <f t="shared" si="69"/>
        <v>-1.2676161360078734E-3</v>
      </c>
      <c r="Y751">
        <f t="shared" si="69"/>
        <v>7.5125835774922985E-3</v>
      </c>
      <c r="Z751">
        <f t="shared" si="69"/>
        <v>5.3625377643505131E-3</v>
      </c>
      <c r="AE751">
        <f>W751-mu-theta*AE750</f>
        <v>1.4642129526952058E-3</v>
      </c>
      <c r="AF751">
        <f t="shared" si="71"/>
        <v>6.2620357411562145E-4</v>
      </c>
      <c r="AG751">
        <f t="shared" si="71"/>
        <v>8.8996846737310013E-3</v>
      </c>
      <c r="AK751">
        <f t="shared" si="70"/>
        <v>2.1439195708404129E-6</v>
      </c>
    </row>
    <row r="752" spans="1:37" x14ac:dyDescent="0.3">
      <c r="A752" s="1">
        <v>44977</v>
      </c>
      <c r="B752">
        <v>1.0682</v>
      </c>
      <c r="C752">
        <v>1.2038</v>
      </c>
      <c r="D752">
        <v>134.22999999999999</v>
      </c>
      <c r="G752">
        <v>1.0682</v>
      </c>
      <c r="H752">
        <f t="shared" si="67"/>
        <v>1.0693999999999999</v>
      </c>
      <c r="I752">
        <f t="shared" si="67"/>
        <v>1.0668</v>
      </c>
      <c r="J752">
        <f t="shared" si="67"/>
        <v>1.0689</v>
      </c>
      <c r="L752">
        <f t="shared" si="66"/>
        <v>-1.1999999999998678E-3</v>
      </c>
      <c r="W752">
        <f t="shared" si="68"/>
        <v>5.9634737234427195E-4</v>
      </c>
      <c r="X752">
        <f t="shared" si="69"/>
        <v>1.567866208750246E-3</v>
      </c>
      <c r="Y752">
        <f t="shared" si="69"/>
        <v>-1.2676161360078734E-3</v>
      </c>
      <c r="Z752">
        <f t="shared" si="69"/>
        <v>7.5125835774922985E-3</v>
      </c>
      <c r="AE752">
        <f>W752-mu-theta*AE751</f>
        <v>6.9501537126793838E-4</v>
      </c>
      <c r="AF752">
        <f t="shared" si="71"/>
        <v>1.4642129526952058E-3</v>
      </c>
      <c r="AG752">
        <f t="shared" si="71"/>
        <v>6.2620357411562145E-4</v>
      </c>
      <c r="AK752">
        <f t="shared" si="70"/>
        <v>4.8304636629871022E-7</v>
      </c>
    </row>
    <row r="753" spans="1:37" x14ac:dyDescent="0.3">
      <c r="A753" s="1">
        <v>44978</v>
      </c>
      <c r="B753">
        <v>1.0646</v>
      </c>
      <c r="C753">
        <v>1.2115</v>
      </c>
      <c r="D753">
        <v>134.99</v>
      </c>
      <c r="G753">
        <v>1.0646</v>
      </c>
      <c r="H753">
        <f t="shared" si="67"/>
        <v>1.0682</v>
      </c>
      <c r="I753">
        <f t="shared" si="67"/>
        <v>1.0693999999999999</v>
      </c>
      <c r="J753">
        <f t="shared" si="67"/>
        <v>1.0668</v>
      </c>
      <c r="L753">
        <f t="shared" si="66"/>
        <v>-3.6000000000000476E-3</v>
      </c>
      <c r="W753">
        <f t="shared" si="68"/>
        <v>5.6619235640320304E-3</v>
      </c>
      <c r="X753">
        <f t="shared" si="69"/>
        <v>5.9634737234427195E-4</v>
      </c>
      <c r="Y753">
        <f t="shared" si="69"/>
        <v>1.567866208750246E-3</v>
      </c>
      <c r="Z753">
        <f t="shared" si="69"/>
        <v>-1.2676161360078734E-3</v>
      </c>
      <c r="AE753">
        <f>W753-mu-theta*AE752</f>
        <v>5.5748835935953379E-3</v>
      </c>
      <c r="AF753">
        <f t="shared" si="71"/>
        <v>6.9501537126793838E-4</v>
      </c>
      <c r="AG753">
        <f t="shared" si="71"/>
        <v>1.4642129526952058E-3</v>
      </c>
      <c r="AK753">
        <f t="shared" si="70"/>
        <v>3.1079327082138472E-5</v>
      </c>
    </row>
    <row r="754" spans="1:37" x14ac:dyDescent="0.3">
      <c r="A754" s="1">
        <v>44979</v>
      </c>
      <c r="B754">
        <v>1.0601</v>
      </c>
      <c r="C754">
        <v>1.2043999999999999</v>
      </c>
      <c r="D754">
        <v>134.9</v>
      </c>
      <c r="G754">
        <v>1.0601</v>
      </c>
      <c r="H754">
        <f t="shared" si="67"/>
        <v>1.0646</v>
      </c>
      <c r="I754">
        <f t="shared" si="67"/>
        <v>1.0682</v>
      </c>
      <c r="J754">
        <f t="shared" si="67"/>
        <v>1.0693999999999999</v>
      </c>
      <c r="L754">
        <f t="shared" si="66"/>
        <v>-4.4999999999999485E-3</v>
      </c>
      <c r="W754">
        <f t="shared" si="68"/>
        <v>-6.6671605304099123E-4</v>
      </c>
      <c r="X754">
        <f t="shared" si="69"/>
        <v>5.6619235640320304E-3</v>
      </c>
      <c r="Y754">
        <f t="shared" si="69"/>
        <v>5.9634737234427195E-4</v>
      </c>
      <c r="Z754">
        <f t="shared" si="69"/>
        <v>1.567866208750246E-3</v>
      </c>
      <c r="AE754">
        <f>W754-mu-theta*AE753</f>
        <v>4.2439435062129483E-4</v>
      </c>
      <c r="AF754">
        <f t="shared" si="71"/>
        <v>5.5748835935953379E-3</v>
      </c>
      <c r="AG754">
        <f t="shared" si="71"/>
        <v>6.9501537126793838E-4</v>
      </c>
      <c r="AK754">
        <f t="shared" si="70"/>
        <v>1.8011056483927052E-7</v>
      </c>
    </row>
    <row r="755" spans="1:37" x14ac:dyDescent="0.3">
      <c r="A755" s="1">
        <v>44980</v>
      </c>
      <c r="B755">
        <v>1.0595000000000001</v>
      </c>
      <c r="C755">
        <v>1.2013</v>
      </c>
      <c r="D755">
        <v>134.69999999999999</v>
      </c>
      <c r="G755">
        <v>1.0595000000000001</v>
      </c>
      <c r="H755">
        <f t="shared" si="67"/>
        <v>1.0601</v>
      </c>
      <c r="I755">
        <f t="shared" si="67"/>
        <v>1.0646</v>
      </c>
      <c r="J755">
        <f t="shared" si="67"/>
        <v>1.0682</v>
      </c>
      <c r="L755">
        <f t="shared" si="66"/>
        <v>-5.9999999999993392E-4</v>
      </c>
      <c r="W755">
        <f t="shared" si="68"/>
        <v>-1.4825796886583917E-3</v>
      </c>
      <c r="X755">
        <f t="shared" si="69"/>
        <v>-6.6671605304099123E-4</v>
      </c>
      <c r="Y755">
        <f t="shared" si="69"/>
        <v>5.6619235640320304E-3</v>
      </c>
      <c r="Z755">
        <f t="shared" si="69"/>
        <v>5.9634737234427195E-4</v>
      </c>
      <c r="AE755">
        <f>W755-mu-theta*AE754</f>
        <v>-1.6349559022450736E-3</v>
      </c>
      <c r="AF755">
        <f t="shared" si="71"/>
        <v>4.2439435062129483E-4</v>
      </c>
      <c r="AG755">
        <f t="shared" si="71"/>
        <v>5.5748835935953379E-3</v>
      </c>
      <c r="AK755">
        <f t="shared" si="70"/>
        <v>2.6730808022860027E-6</v>
      </c>
    </row>
    <row r="756" spans="1:37" x14ac:dyDescent="0.3">
      <c r="A756" s="1">
        <v>44981</v>
      </c>
      <c r="B756">
        <v>1.0546</v>
      </c>
      <c r="C756">
        <v>1.1943999999999999</v>
      </c>
      <c r="D756">
        <v>136.46</v>
      </c>
      <c r="G756">
        <v>1.0546</v>
      </c>
      <c r="H756">
        <f t="shared" si="67"/>
        <v>1.0595000000000001</v>
      </c>
      <c r="I756">
        <f t="shared" si="67"/>
        <v>1.0601</v>
      </c>
      <c r="J756">
        <f t="shared" si="67"/>
        <v>1.0646</v>
      </c>
      <c r="L756">
        <f t="shared" si="66"/>
        <v>-4.9000000000001265E-3</v>
      </c>
      <c r="W756">
        <f t="shared" si="68"/>
        <v>1.306607275426889E-2</v>
      </c>
      <c r="X756">
        <f t="shared" si="69"/>
        <v>-1.4825796886583917E-3</v>
      </c>
      <c r="Y756">
        <f t="shared" si="69"/>
        <v>-6.6671605304099123E-4</v>
      </c>
      <c r="Z756">
        <f t="shared" si="69"/>
        <v>5.6619235640320304E-3</v>
      </c>
      <c r="AE756">
        <f>W756-mu-theta*AE755</f>
        <v>1.2416506010062065E-2</v>
      </c>
      <c r="AF756">
        <f t="shared" si="71"/>
        <v>-1.6349559022450736E-3</v>
      </c>
      <c r="AG756">
        <f t="shared" si="71"/>
        <v>4.2439435062129483E-4</v>
      </c>
      <c r="AK756">
        <f t="shared" si="70"/>
        <v>1.5416962149790737E-4</v>
      </c>
    </row>
    <row r="757" spans="1:37" x14ac:dyDescent="0.3">
      <c r="A757" s="1">
        <v>44984</v>
      </c>
      <c r="B757">
        <v>1.0607</v>
      </c>
      <c r="C757">
        <v>1.2061999999999999</v>
      </c>
      <c r="D757">
        <v>136.19999999999999</v>
      </c>
      <c r="G757">
        <v>1.0607</v>
      </c>
      <c r="H757">
        <f t="shared" si="67"/>
        <v>1.0546</v>
      </c>
      <c r="I757">
        <f t="shared" si="67"/>
        <v>1.0595000000000001</v>
      </c>
      <c r="J757">
        <f t="shared" si="67"/>
        <v>1.0601</v>
      </c>
      <c r="L757">
        <f t="shared" si="66"/>
        <v>6.0999999999999943E-3</v>
      </c>
      <c r="W757">
        <f t="shared" si="68"/>
        <v>-1.905320240363618E-3</v>
      </c>
      <c r="X757">
        <f t="shared" si="69"/>
        <v>1.306607275426889E-2</v>
      </c>
      <c r="Y757">
        <f t="shared" si="69"/>
        <v>-1.4825796886583917E-3</v>
      </c>
      <c r="Z757">
        <f t="shared" si="69"/>
        <v>-6.6671605304099123E-4</v>
      </c>
      <c r="AE757">
        <f>W757-mu-theta*AE756</f>
        <v>8.3756837577668528E-4</v>
      </c>
      <c r="AF757">
        <f t="shared" si="71"/>
        <v>1.2416506010062065E-2</v>
      </c>
      <c r="AG757">
        <f t="shared" si="71"/>
        <v>-1.6349559022450736E-3</v>
      </c>
      <c r="AK757">
        <f t="shared" si="70"/>
        <v>7.0152078410119469E-7</v>
      </c>
    </row>
    <row r="758" spans="1:37" x14ac:dyDescent="0.3">
      <c r="A758" s="1">
        <v>44985</v>
      </c>
      <c r="B758">
        <v>1.0576000000000001</v>
      </c>
      <c r="C758">
        <v>1.202</v>
      </c>
      <c r="D758">
        <v>136.19999999999999</v>
      </c>
      <c r="G758">
        <v>1.0576000000000001</v>
      </c>
      <c r="H758">
        <f t="shared" si="67"/>
        <v>1.0607</v>
      </c>
      <c r="I758">
        <f t="shared" si="67"/>
        <v>1.0546</v>
      </c>
      <c r="J758">
        <f t="shared" si="67"/>
        <v>1.0595000000000001</v>
      </c>
      <c r="L758">
        <f t="shared" si="66"/>
        <v>-3.0999999999998806E-3</v>
      </c>
      <c r="W758">
        <f t="shared" si="68"/>
        <v>0</v>
      </c>
      <c r="X758">
        <f t="shared" si="69"/>
        <v>-1.905320240363618E-3</v>
      </c>
      <c r="Y758">
        <f t="shared" si="69"/>
        <v>1.306607275426889E-2</v>
      </c>
      <c r="Z758">
        <f t="shared" si="69"/>
        <v>-1.4825796886583917E-3</v>
      </c>
      <c r="AE758">
        <f>W758-mu-theta*AE757</f>
        <v>-5.2623287866765704E-5</v>
      </c>
      <c r="AF758">
        <f t="shared" si="71"/>
        <v>8.3756837577668528E-4</v>
      </c>
      <c r="AG758">
        <f t="shared" si="71"/>
        <v>1.2416506010062065E-2</v>
      </c>
      <c r="AK758">
        <f t="shared" si="70"/>
        <v>2.7692104259084907E-9</v>
      </c>
    </row>
    <row r="759" spans="1:37" x14ac:dyDescent="0.3">
      <c r="A759" s="1">
        <v>44986</v>
      </c>
      <c r="B759">
        <v>1.0665</v>
      </c>
      <c r="C759">
        <v>1.2031000000000001</v>
      </c>
      <c r="D759">
        <v>136.16</v>
      </c>
      <c r="G759">
        <v>1.0665</v>
      </c>
      <c r="H759">
        <f t="shared" si="67"/>
        <v>1.0576000000000001</v>
      </c>
      <c r="I759">
        <f t="shared" si="67"/>
        <v>1.0607</v>
      </c>
      <c r="J759">
        <f t="shared" si="67"/>
        <v>1.0546</v>
      </c>
      <c r="L759">
        <f t="shared" si="66"/>
        <v>8.899999999999908E-3</v>
      </c>
      <c r="W759">
        <f t="shared" si="68"/>
        <v>-2.9368575624076393E-4</v>
      </c>
      <c r="X759">
        <f t="shared" si="69"/>
        <v>0</v>
      </c>
      <c r="Y759">
        <f t="shared" si="69"/>
        <v>-1.905320240363618E-3</v>
      </c>
      <c r="Z759">
        <f t="shared" si="69"/>
        <v>1.306607275426889E-2</v>
      </c>
      <c r="AE759">
        <f>W759-mu-theta*AE758</f>
        <v>-5.612287086883736E-4</v>
      </c>
      <c r="AF759">
        <f t="shared" si="71"/>
        <v>-5.2623287866765704E-5</v>
      </c>
      <c r="AG759">
        <f t="shared" si="71"/>
        <v>8.3756837577668528E-4</v>
      </c>
      <c r="AK759">
        <f t="shared" si="70"/>
        <v>3.1497766345601932E-7</v>
      </c>
    </row>
    <row r="760" spans="1:37" x14ac:dyDescent="0.3">
      <c r="A760" s="1">
        <v>44987</v>
      </c>
      <c r="B760">
        <v>1.0596000000000001</v>
      </c>
      <c r="C760">
        <v>1.1940999999999999</v>
      </c>
      <c r="D760">
        <v>136.76</v>
      </c>
      <c r="G760">
        <v>1.0596000000000001</v>
      </c>
      <c r="H760">
        <f t="shared" si="67"/>
        <v>1.0665</v>
      </c>
      <c r="I760">
        <f t="shared" si="67"/>
        <v>1.0576000000000001</v>
      </c>
      <c r="J760">
        <f t="shared" si="67"/>
        <v>1.0607</v>
      </c>
      <c r="L760">
        <f t="shared" si="66"/>
        <v>-6.8999999999999062E-3</v>
      </c>
      <c r="W760">
        <f t="shared" si="68"/>
        <v>4.4065804935369737E-3</v>
      </c>
      <c r="X760">
        <f t="shared" si="69"/>
        <v>-2.9368575624076393E-4</v>
      </c>
      <c r="Y760">
        <f t="shared" si="69"/>
        <v>0</v>
      </c>
      <c r="Z760">
        <f t="shared" si="69"/>
        <v>-1.905320240363618E-3</v>
      </c>
      <c r="AE760">
        <f>W760-mu-theta*AE759</f>
        <v>4.0162445394119626E-3</v>
      </c>
      <c r="AF760">
        <f t="shared" si="71"/>
        <v>-5.612287086883736E-4</v>
      </c>
      <c r="AG760">
        <f t="shared" si="71"/>
        <v>-5.2623287866765704E-5</v>
      </c>
      <c r="AK760">
        <f t="shared" si="70"/>
        <v>1.6130220200356406E-5</v>
      </c>
    </row>
    <row r="761" spans="1:37" x14ac:dyDescent="0.3">
      <c r="A761" s="1">
        <v>44988</v>
      </c>
      <c r="B761">
        <v>1.0631999999999999</v>
      </c>
      <c r="C761">
        <v>1.204</v>
      </c>
      <c r="D761">
        <v>135.86000000000001</v>
      </c>
      <c r="G761">
        <v>1.0631999999999999</v>
      </c>
      <c r="H761">
        <f t="shared" si="67"/>
        <v>1.0596000000000001</v>
      </c>
      <c r="I761">
        <f t="shared" si="67"/>
        <v>1.0665</v>
      </c>
      <c r="J761">
        <f t="shared" si="67"/>
        <v>1.0576000000000001</v>
      </c>
      <c r="L761">
        <f t="shared" si="66"/>
        <v>3.5999999999998256E-3</v>
      </c>
      <c r="W761">
        <f t="shared" si="68"/>
        <v>-6.5808715998828407E-3</v>
      </c>
      <c r="X761">
        <f t="shared" si="69"/>
        <v>4.4065804935369737E-3</v>
      </c>
      <c r="Y761">
        <f t="shared" si="69"/>
        <v>-2.9368575624076393E-4</v>
      </c>
      <c r="Z761">
        <f t="shared" si="69"/>
        <v>0</v>
      </c>
      <c r="AE761">
        <f>W761-mu-theta*AE760</f>
        <v>-5.8660646333440298E-3</v>
      </c>
      <c r="AF761">
        <f t="shared" si="71"/>
        <v>4.0162445394119626E-3</v>
      </c>
      <c r="AG761">
        <f t="shared" si="71"/>
        <v>-5.612287086883736E-4</v>
      </c>
      <c r="AK761">
        <f t="shared" si="70"/>
        <v>3.4410714282569626E-5</v>
      </c>
    </row>
    <row r="762" spans="1:37" x14ac:dyDescent="0.3">
      <c r="A762" s="1">
        <v>44991</v>
      </c>
      <c r="B762">
        <v>1.0678000000000001</v>
      </c>
      <c r="C762">
        <v>1.2020999999999999</v>
      </c>
      <c r="D762">
        <v>135.91</v>
      </c>
      <c r="G762">
        <v>1.0678000000000001</v>
      </c>
      <c r="H762">
        <f t="shared" si="67"/>
        <v>1.0631999999999999</v>
      </c>
      <c r="I762">
        <f t="shared" si="67"/>
        <v>1.0596000000000001</v>
      </c>
      <c r="J762">
        <f t="shared" si="67"/>
        <v>1.0665</v>
      </c>
      <c r="L762">
        <f t="shared" si="66"/>
        <v>4.6000000000001595E-3</v>
      </c>
      <c r="W762">
        <f t="shared" si="68"/>
        <v>3.6802590902386976E-4</v>
      </c>
      <c r="X762">
        <f t="shared" si="69"/>
        <v>-6.5808715998828407E-3</v>
      </c>
      <c r="Y762">
        <f t="shared" si="69"/>
        <v>4.4065804935369737E-3</v>
      </c>
      <c r="Z762">
        <f t="shared" si="69"/>
        <v>-2.9368575624076393E-4</v>
      </c>
      <c r="AE762">
        <f>W762-mu-theta*AE761</f>
        <v>-1.3030607015575859E-3</v>
      </c>
      <c r="AF762">
        <f t="shared" si="71"/>
        <v>-5.8660646333440298E-3</v>
      </c>
      <c r="AG762">
        <f t="shared" si="71"/>
        <v>4.0162445394119626E-3</v>
      </c>
      <c r="AK762">
        <f t="shared" si="70"/>
        <v>1.697967191943748E-6</v>
      </c>
    </row>
    <row r="763" spans="1:37" x14ac:dyDescent="0.3">
      <c r="A763" s="1">
        <v>44992</v>
      </c>
      <c r="B763">
        <v>1.0547</v>
      </c>
      <c r="C763">
        <v>1.1827000000000001</v>
      </c>
      <c r="D763">
        <v>137.13999999999999</v>
      </c>
      <c r="G763">
        <v>1.0547</v>
      </c>
      <c r="H763">
        <f t="shared" si="67"/>
        <v>1.0678000000000001</v>
      </c>
      <c r="I763">
        <f t="shared" si="67"/>
        <v>1.0631999999999999</v>
      </c>
      <c r="J763">
        <f t="shared" si="67"/>
        <v>1.0596000000000001</v>
      </c>
      <c r="L763">
        <f t="shared" si="66"/>
        <v>-1.3100000000000112E-2</v>
      </c>
      <c r="W763">
        <f t="shared" si="68"/>
        <v>9.0501066882495013E-3</v>
      </c>
      <c r="X763">
        <f t="shared" si="69"/>
        <v>3.6802590902386976E-4</v>
      </c>
      <c r="Y763">
        <f t="shared" si="69"/>
        <v>-6.5808715998828407E-3</v>
      </c>
      <c r="Z763">
        <f t="shared" si="69"/>
        <v>4.4065804935369737E-3</v>
      </c>
      <c r="AE763">
        <f>W763-mu-theta*AE762</f>
        <v>8.4806696600588857E-3</v>
      </c>
      <c r="AF763">
        <f t="shared" si="71"/>
        <v>-1.3030607015575859E-3</v>
      </c>
      <c r="AG763">
        <f t="shared" si="71"/>
        <v>-5.8660646333440298E-3</v>
      </c>
      <c r="AK763">
        <f t="shared" si="70"/>
        <v>7.1921757883043302E-5</v>
      </c>
    </row>
    <row r="764" spans="1:37" x14ac:dyDescent="0.3">
      <c r="A764" s="1">
        <v>44993</v>
      </c>
      <c r="B764">
        <v>1.0544</v>
      </c>
      <c r="C764">
        <v>1.1841999999999999</v>
      </c>
      <c r="D764">
        <v>137.34</v>
      </c>
      <c r="G764">
        <v>1.0544</v>
      </c>
      <c r="H764">
        <f t="shared" si="67"/>
        <v>1.0547</v>
      </c>
      <c r="I764">
        <f t="shared" si="67"/>
        <v>1.0678000000000001</v>
      </c>
      <c r="J764">
        <f t="shared" si="67"/>
        <v>1.0631999999999999</v>
      </c>
      <c r="L764">
        <f t="shared" si="66"/>
        <v>-2.9999999999996696E-4</v>
      </c>
      <c r="W764">
        <f t="shared" si="68"/>
        <v>1.4583637159108725E-3</v>
      </c>
      <c r="X764">
        <f t="shared" si="69"/>
        <v>9.0501066882495013E-3</v>
      </c>
      <c r="Y764">
        <f t="shared" si="69"/>
        <v>3.6802590902386976E-4</v>
      </c>
      <c r="Z764">
        <f t="shared" si="69"/>
        <v>-6.5808715998828407E-3</v>
      </c>
      <c r="AE764">
        <f>W764-mu-theta*AE763</f>
        <v>3.2510203059213727E-3</v>
      </c>
      <c r="AF764">
        <f t="shared" si="71"/>
        <v>8.4806696600588857E-3</v>
      </c>
      <c r="AG764">
        <f t="shared" si="71"/>
        <v>-1.3030607015575859E-3</v>
      </c>
      <c r="AK764">
        <f t="shared" si="70"/>
        <v>1.0569133029513097E-5</v>
      </c>
    </row>
    <row r="765" spans="1:37" x14ac:dyDescent="0.3">
      <c r="A765" s="1">
        <v>44994</v>
      </c>
      <c r="B765">
        <v>1.0580000000000001</v>
      </c>
      <c r="C765">
        <v>1.1924999999999999</v>
      </c>
      <c r="D765">
        <v>136.13999999999999</v>
      </c>
      <c r="G765">
        <v>1.0580000000000001</v>
      </c>
      <c r="H765">
        <f t="shared" si="67"/>
        <v>1.0544</v>
      </c>
      <c r="I765">
        <f t="shared" si="67"/>
        <v>1.0547</v>
      </c>
      <c r="J765">
        <f t="shared" si="67"/>
        <v>1.0678000000000001</v>
      </c>
      <c r="L765">
        <f t="shared" si="66"/>
        <v>3.6000000000000476E-3</v>
      </c>
      <c r="W765">
        <f t="shared" si="68"/>
        <v>-8.7374399301006038E-3</v>
      </c>
      <c r="X765">
        <f t="shared" si="69"/>
        <v>1.4583637159108725E-3</v>
      </c>
      <c r="Y765">
        <f t="shared" si="69"/>
        <v>9.0501066882495013E-3</v>
      </c>
      <c r="Z765">
        <f t="shared" si="69"/>
        <v>3.6802590902386976E-4</v>
      </c>
      <c r="AE765">
        <f>W765-mu-theta*AE764</f>
        <v>-8.2073816444445218E-3</v>
      </c>
      <c r="AF765">
        <f t="shared" si="71"/>
        <v>3.2510203059213727E-3</v>
      </c>
      <c r="AG765">
        <f t="shared" si="71"/>
        <v>8.4806696600588857E-3</v>
      </c>
      <c r="AK765">
        <f t="shared" si="70"/>
        <v>6.7361113457564857E-5</v>
      </c>
    </row>
    <row r="766" spans="1:37" x14ac:dyDescent="0.3">
      <c r="A766" s="1">
        <v>44995</v>
      </c>
      <c r="B766">
        <v>1.0643</v>
      </c>
      <c r="C766">
        <v>1.2028000000000001</v>
      </c>
      <c r="D766">
        <v>134.97999999999999</v>
      </c>
      <c r="G766">
        <v>1.0643</v>
      </c>
      <c r="H766">
        <f t="shared" si="67"/>
        <v>1.0580000000000001</v>
      </c>
      <c r="I766">
        <f t="shared" si="67"/>
        <v>1.0544</v>
      </c>
      <c r="J766">
        <f t="shared" si="67"/>
        <v>1.0547</v>
      </c>
      <c r="L766">
        <f t="shared" si="66"/>
        <v>6.2999999999999723E-3</v>
      </c>
      <c r="W766">
        <f t="shared" si="68"/>
        <v>-8.5206405171147099E-3</v>
      </c>
      <c r="X766">
        <f t="shared" si="69"/>
        <v>-8.7374399301006038E-3</v>
      </c>
      <c r="Y766">
        <f t="shared" si="69"/>
        <v>1.4583637159108725E-3</v>
      </c>
      <c r="Z766">
        <f t="shared" si="69"/>
        <v>9.0501066882495013E-3</v>
      </c>
      <c r="AE766">
        <f>W766-mu-theta*AE765</f>
        <v>-1.0756993111701927E-2</v>
      </c>
      <c r="AF766">
        <f t="shared" si="71"/>
        <v>-8.2073816444445218E-3</v>
      </c>
      <c r="AG766">
        <f t="shared" si="71"/>
        <v>3.2510203059213727E-3</v>
      </c>
      <c r="AK766">
        <f t="shared" si="70"/>
        <v>1.1571290080520269E-4</v>
      </c>
    </row>
    <row r="767" spans="1:37" x14ac:dyDescent="0.3">
      <c r="A767" s="1">
        <v>44998</v>
      </c>
      <c r="B767">
        <v>1.0729</v>
      </c>
      <c r="C767">
        <v>1.2181</v>
      </c>
      <c r="D767">
        <v>133.18</v>
      </c>
      <c r="G767">
        <v>1.0729</v>
      </c>
      <c r="H767">
        <f t="shared" si="67"/>
        <v>1.0643</v>
      </c>
      <c r="I767">
        <f t="shared" si="67"/>
        <v>1.0580000000000001</v>
      </c>
      <c r="J767">
        <f t="shared" si="67"/>
        <v>1.0544</v>
      </c>
      <c r="L767">
        <f t="shared" si="66"/>
        <v>8.599999999999941E-3</v>
      </c>
      <c r="W767">
        <f t="shared" si="68"/>
        <v>-1.3335308934656861E-2</v>
      </c>
      <c r="X767">
        <f t="shared" si="69"/>
        <v>-8.5206405171147099E-3</v>
      </c>
      <c r="Y767">
        <f t="shared" si="69"/>
        <v>-8.7374399301006038E-3</v>
      </c>
      <c r="Z767">
        <f t="shared" si="69"/>
        <v>1.4583637159108725E-3</v>
      </c>
      <c r="AE767">
        <f>W767-mu-theta*AE766</f>
        <v>-1.6187216205538944E-2</v>
      </c>
      <c r="AF767">
        <f t="shared" si="71"/>
        <v>-1.0756993111701927E-2</v>
      </c>
      <c r="AG767">
        <f t="shared" si="71"/>
        <v>-8.2073816444445218E-3</v>
      </c>
      <c r="AK767">
        <f t="shared" si="70"/>
        <v>2.6202596848486261E-4</v>
      </c>
    </row>
    <row r="768" spans="1:37" x14ac:dyDescent="0.3">
      <c r="A768" s="1">
        <v>44999</v>
      </c>
      <c r="B768">
        <v>1.0731999999999999</v>
      </c>
      <c r="C768">
        <v>1.2158</v>
      </c>
      <c r="D768">
        <v>134.22</v>
      </c>
      <c r="G768">
        <v>1.0731999999999999</v>
      </c>
      <c r="H768">
        <f t="shared" si="67"/>
        <v>1.0729</v>
      </c>
      <c r="I768">
        <f t="shared" si="67"/>
        <v>1.0643</v>
      </c>
      <c r="J768">
        <f t="shared" si="67"/>
        <v>1.0580000000000001</v>
      </c>
      <c r="L768">
        <f t="shared" si="66"/>
        <v>2.9999999999996696E-4</v>
      </c>
      <c r="W768">
        <f t="shared" si="68"/>
        <v>7.8089803273764229E-3</v>
      </c>
      <c r="X768">
        <f t="shared" si="69"/>
        <v>-1.3335308934656861E-2</v>
      </c>
      <c r="Y768">
        <f t="shared" si="69"/>
        <v>-8.5206405171147099E-3</v>
      </c>
      <c r="Z768">
        <f t="shared" si="69"/>
        <v>-8.7374399301006038E-3</v>
      </c>
      <c r="AE768">
        <f>W768-mu-theta*AE767</f>
        <v>3.646050078420204E-3</v>
      </c>
      <c r="AF768">
        <f t="shared" si="71"/>
        <v>-1.6187216205538944E-2</v>
      </c>
      <c r="AG768">
        <f t="shared" si="71"/>
        <v>-1.0756993111701927E-2</v>
      </c>
      <c r="AK768">
        <f t="shared" si="70"/>
        <v>1.3293681174347976E-5</v>
      </c>
    </row>
    <row r="769" spans="1:37" x14ac:dyDescent="0.3">
      <c r="A769" s="1">
        <v>45000</v>
      </c>
      <c r="B769">
        <v>1.0575000000000001</v>
      </c>
      <c r="C769">
        <v>1.2064999999999999</v>
      </c>
      <c r="D769">
        <v>133.4</v>
      </c>
      <c r="G769">
        <v>1.0575000000000001</v>
      </c>
      <c r="H769">
        <f t="shared" si="67"/>
        <v>1.0731999999999999</v>
      </c>
      <c r="I769">
        <f t="shared" si="67"/>
        <v>1.0729</v>
      </c>
      <c r="J769">
        <f t="shared" si="67"/>
        <v>1.0643</v>
      </c>
      <c r="L769">
        <f t="shared" si="66"/>
        <v>-1.5699999999999825E-2</v>
      </c>
      <c r="W769">
        <f t="shared" si="68"/>
        <v>-6.1093726717329246E-3</v>
      </c>
      <c r="X769">
        <f t="shared" si="69"/>
        <v>7.8089803273764229E-3</v>
      </c>
      <c r="Y769">
        <f t="shared" si="69"/>
        <v>-1.3335308934656861E-2</v>
      </c>
      <c r="Z769">
        <f t="shared" si="69"/>
        <v>-8.5206405171147099E-3</v>
      </c>
      <c r="AE769">
        <f>W769-mu-theta*AE768</f>
        <v>-5.483942041364682E-3</v>
      </c>
      <c r="AF769">
        <f t="shared" si="71"/>
        <v>3.646050078420204E-3</v>
      </c>
      <c r="AG769">
        <f t="shared" si="71"/>
        <v>-1.6187216205538944E-2</v>
      </c>
      <c r="AK769">
        <f t="shared" si="70"/>
        <v>3.0073620313047034E-5</v>
      </c>
    </row>
    <row r="770" spans="1:37" x14ac:dyDescent="0.3">
      <c r="A770" s="1">
        <v>45001</v>
      </c>
      <c r="B770">
        <v>1.0605</v>
      </c>
      <c r="C770">
        <v>1.2107000000000001</v>
      </c>
      <c r="D770">
        <v>133.72</v>
      </c>
      <c r="G770">
        <v>1.0605</v>
      </c>
      <c r="H770">
        <f t="shared" si="67"/>
        <v>1.0575000000000001</v>
      </c>
      <c r="I770">
        <f t="shared" si="67"/>
        <v>1.0731999999999999</v>
      </c>
      <c r="J770">
        <f t="shared" si="67"/>
        <v>1.0729</v>
      </c>
      <c r="L770">
        <f t="shared" si="66"/>
        <v>2.9999999999998916E-3</v>
      </c>
      <c r="W770">
        <f t="shared" si="68"/>
        <v>2.3988005997000986E-3</v>
      </c>
      <c r="X770">
        <f t="shared" si="69"/>
        <v>-6.1093726717329246E-3</v>
      </c>
      <c r="Y770">
        <f t="shared" si="69"/>
        <v>7.8089803273764229E-3</v>
      </c>
      <c r="Z770">
        <f t="shared" si="69"/>
        <v>-1.3335308934656861E-2</v>
      </c>
      <c r="AE770">
        <f>W770-mu-theta*AE769</f>
        <v>8.1997014321565326E-4</v>
      </c>
      <c r="AF770">
        <f t="shared" si="71"/>
        <v>-5.483942041364682E-3</v>
      </c>
      <c r="AG770">
        <f t="shared" si="71"/>
        <v>3.646050078420204E-3</v>
      </c>
      <c r="AK770">
        <f t="shared" si="70"/>
        <v>6.7235103576509887E-7</v>
      </c>
    </row>
    <row r="771" spans="1:37" x14ac:dyDescent="0.3">
      <c r="A771" s="1">
        <v>45002</v>
      </c>
      <c r="B771">
        <v>1.0666</v>
      </c>
      <c r="C771">
        <v>1.2175</v>
      </c>
      <c r="D771">
        <v>131.79</v>
      </c>
      <c r="G771">
        <v>1.0666</v>
      </c>
      <c r="H771">
        <f t="shared" si="67"/>
        <v>1.0605</v>
      </c>
      <c r="I771">
        <f t="shared" si="67"/>
        <v>1.0575000000000001</v>
      </c>
      <c r="J771">
        <f t="shared" si="67"/>
        <v>1.0731999999999999</v>
      </c>
      <c r="L771">
        <f t="shared" si="66"/>
        <v>6.0999999999999943E-3</v>
      </c>
      <c r="W771">
        <f t="shared" si="68"/>
        <v>-1.4433143882740106E-2</v>
      </c>
      <c r="X771">
        <f t="shared" si="69"/>
        <v>2.3988005997000986E-3</v>
      </c>
      <c r="Y771">
        <f t="shared" si="69"/>
        <v>-6.1093726717329246E-3</v>
      </c>
      <c r="Z771">
        <f t="shared" si="69"/>
        <v>7.8089803273764229E-3</v>
      </c>
      <c r="AE771">
        <f>W771-mu-theta*AE770</f>
        <v>-1.449001592555898E-2</v>
      </c>
      <c r="AF771">
        <f t="shared" si="71"/>
        <v>8.1997014321565326E-4</v>
      </c>
      <c r="AG771">
        <f t="shared" si="71"/>
        <v>-5.483942041364682E-3</v>
      </c>
      <c r="AK771">
        <f t="shared" si="70"/>
        <v>2.0996056152295287E-4</v>
      </c>
    </row>
    <row r="772" spans="1:37" x14ac:dyDescent="0.3">
      <c r="A772" s="1">
        <v>45005</v>
      </c>
      <c r="B772">
        <v>1.0719000000000001</v>
      </c>
      <c r="C772">
        <v>1.2276</v>
      </c>
      <c r="D772">
        <v>131.31</v>
      </c>
      <c r="G772">
        <v>1.0719000000000001</v>
      </c>
      <c r="H772">
        <f t="shared" si="67"/>
        <v>1.0666</v>
      </c>
      <c r="I772">
        <f t="shared" si="67"/>
        <v>1.0605</v>
      </c>
      <c r="J772">
        <f t="shared" si="67"/>
        <v>1.0575000000000001</v>
      </c>
      <c r="L772">
        <f t="shared" si="66"/>
        <v>5.3000000000000824E-3</v>
      </c>
      <c r="W772">
        <f t="shared" si="68"/>
        <v>-3.6421579786022444E-3</v>
      </c>
      <c r="X772">
        <f t="shared" si="69"/>
        <v>-1.4433143882740106E-2</v>
      </c>
      <c r="Y772">
        <f t="shared" si="69"/>
        <v>2.3988005997000986E-3</v>
      </c>
      <c r="Z772">
        <f t="shared" si="69"/>
        <v>-6.1093726717329246E-3</v>
      </c>
      <c r="AE772">
        <f>W772-mu-theta*AE771</f>
        <v>-7.3953318460991263E-3</v>
      </c>
      <c r="AF772">
        <f t="shared" si="71"/>
        <v>-1.449001592555898E-2</v>
      </c>
      <c r="AG772">
        <f t="shared" si="71"/>
        <v>8.1997014321565326E-4</v>
      </c>
      <c r="AK772">
        <f t="shared" si="70"/>
        <v>5.4690933113927909E-5</v>
      </c>
    </row>
    <row r="773" spans="1:37" x14ac:dyDescent="0.3">
      <c r="A773" s="1">
        <v>45006</v>
      </c>
      <c r="B773">
        <v>1.0767</v>
      </c>
      <c r="C773">
        <v>1.2214</v>
      </c>
      <c r="D773">
        <v>132.49</v>
      </c>
      <c r="G773">
        <v>1.0767</v>
      </c>
      <c r="H773">
        <f t="shared" si="67"/>
        <v>1.0719000000000001</v>
      </c>
      <c r="I773">
        <f t="shared" si="67"/>
        <v>1.0666</v>
      </c>
      <c r="J773">
        <f t="shared" si="67"/>
        <v>1.0605</v>
      </c>
      <c r="L773">
        <f t="shared" si="66"/>
        <v>4.7999999999999154E-3</v>
      </c>
      <c r="W773">
        <f t="shared" si="68"/>
        <v>8.9863681364709992E-3</v>
      </c>
      <c r="X773">
        <f t="shared" si="69"/>
        <v>-3.6421579786022444E-3</v>
      </c>
      <c r="Y773">
        <f t="shared" si="69"/>
        <v>-1.4433143882740106E-2</v>
      </c>
      <c r="Z773">
        <f t="shared" si="69"/>
        <v>2.3988005997000986E-3</v>
      </c>
      <c r="AE773">
        <f>W773-mu-theta*AE772</f>
        <v>6.9460693552491218E-3</v>
      </c>
      <c r="AF773">
        <f t="shared" si="71"/>
        <v>-7.3953318460991263E-3</v>
      </c>
      <c r="AG773">
        <f t="shared" si="71"/>
        <v>-1.449001592555898E-2</v>
      </c>
      <c r="AK773">
        <f t="shared" si="70"/>
        <v>4.8247879487930949E-5</v>
      </c>
    </row>
    <row r="774" spans="1:37" x14ac:dyDescent="0.3">
      <c r="A774" s="1">
        <v>45007</v>
      </c>
      <c r="B774">
        <v>1.0854999999999999</v>
      </c>
      <c r="C774">
        <v>1.2263999999999999</v>
      </c>
      <c r="D774">
        <v>131.44</v>
      </c>
      <c r="G774">
        <v>1.0854999999999999</v>
      </c>
      <c r="H774">
        <f t="shared" si="67"/>
        <v>1.0767</v>
      </c>
      <c r="I774">
        <f t="shared" si="67"/>
        <v>1.0719000000000001</v>
      </c>
      <c r="J774">
        <f t="shared" si="67"/>
        <v>1.0666</v>
      </c>
      <c r="L774">
        <f t="shared" ref="L774:L837" si="72">G774-H774</f>
        <v>8.799999999999919E-3</v>
      </c>
      <c r="W774">
        <f t="shared" si="68"/>
        <v>-7.9251264246359074E-3</v>
      </c>
      <c r="X774">
        <f t="shared" si="69"/>
        <v>8.9863681364709992E-3</v>
      </c>
      <c r="Y774">
        <f t="shared" si="69"/>
        <v>-3.6421579786022444E-3</v>
      </c>
      <c r="Z774">
        <f t="shared" si="69"/>
        <v>-1.4433143882740106E-2</v>
      </c>
      <c r="AE774">
        <f>W774-mu-theta*AE773</f>
        <v>-6.5029695778216941E-3</v>
      </c>
      <c r="AF774">
        <f t="shared" si="71"/>
        <v>6.9460693552491218E-3</v>
      </c>
      <c r="AG774">
        <f t="shared" si="71"/>
        <v>-7.3953318460991263E-3</v>
      </c>
      <c r="AK774">
        <f t="shared" si="70"/>
        <v>4.2288613330074465E-5</v>
      </c>
    </row>
    <row r="775" spans="1:37" x14ac:dyDescent="0.3">
      <c r="A775" s="1">
        <v>45008</v>
      </c>
      <c r="B775">
        <v>1.083</v>
      </c>
      <c r="C775">
        <v>1.2284999999999999</v>
      </c>
      <c r="D775">
        <v>130.81</v>
      </c>
      <c r="G775">
        <v>1.083</v>
      </c>
      <c r="H775">
        <f t="shared" ref="H775:J838" si="73">G774</f>
        <v>1.0854999999999999</v>
      </c>
      <c r="I775">
        <f t="shared" si="73"/>
        <v>1.0767</v>
      </c>
      <c r="J775">
        <f t="shared" si="73"/>
        <v>1.0719000000000001</v>
      </c>
      <c r="L775">
        <f t="shared" si="72"/>
        <v>-2.4999999999999467E-3</v>
      </c>
      <c r="W775">
        <f t="shared" ref="W775:W838" si="74">(D775-D774)/D774</f>
        <v>-4.7930614729153644E-3</v>
      </c>
      <c r="X775">
        <f t="shared" si="69"/>
        <v>-7.9251264246359074E-3</v>
      </c>
      <c r="Y775">
        <f t="shared" si="69"/>
        <v>8.9863681364709992E-3</v>
      </c>
      <c r="Z775">
        <f t="shared" si="69"/>
        <v>-3.6421579786022444E-3</v>
      </c>
      <c r="AE775">
        <f>W775-mu-theta*AE774</f>
        <v>-6.6179165387941575E-3</v>
      </c>
      <c r="AF775">
        <f t="shared" si="71"/>
        <v>-6.5029695778216941E-3</v>
      </c>
      <c r="AG775">
        <f t="shared" si="71"/>
        <v>6.9460693552491218E-3</v>
      </c>
      <c r="AK775">
        <f t="shared" si="70"/>
        <v>4.379681931444524E-5</v>
      </c>
    </row>
    <row r="776" spans="1:37" x14ac:dyDescent="0.3">
      <c r="A776" s="1">
        <v>45009</v>
      </c>
      <c r="B776">
        <v>1.0759000000000001</v>
      </c>
      <c r="C776">
        <v>1.2230000000000001</v>
      </c>
      <c r="D776">
        <v>130.69</v>
      </c>
      <c r="G776">
        <v>1.0759000000000001</v>
      </c>
      <c r="H776">
        <f t="shared" si="73"/>
        <v>1.083</v>
      </c>
      <c r="I776">
        <f t="shared" si="73"/>
        <v>1.0854999999999999</v>
      </c>
      <c r="J776">
        <f t="shared" si="73"/>
        <v>1.0767</v>
      </c>
      <c r="L776">
        <f t="shared" si="72"/>
        <v>-7.0999999999998842E-3</v>
      </c>
      <c r="W776">
        <f t="shared" si="74"/>
        <v>-9.1736105802312168E-4</v>
      </c>
      <c r="X776">
        <f t="shared" ref="X776:Z839" si="75">W775</f>
        <v>-4.7930614729153644E-3</v>
      </c>
      <c r="Y776">
        <f t="shared" si="75"/>
        <v>-7.9251264246359074E-3</v>
      </c>
      <c r="Z776">
        <f t="shared" si="75"/>
        <v>8.9863681364709992E-3</v>
      </c>
      <c r="AE776">
        <f>W776-mu-theta*AE775</f>
        <v>-2.7699678579449828E-3</v>
      </c>
      <c r="AF776">
        <f t="shared" si="71"/>
        <v>-6.6179165387941575E-3</v>
      </c>
      <c r="AG776">
        <f t="shared" si="71"/>
        <v>-6.5029695778216941E-3</v>
      </c>
      <c r="AK776">
        <f t="shared" ref="AK776:AK839" si="76">POWER(AE776,2)</f>
        <v>7.672721934048316E-6</v>
      </c>
    </row>
    <row r="777" spans="1:37" x14ac:dyDescent="0.3">
      <c r="A777" s="1">
        <v>45012</v>
      </c>
      <c r="B777">
        <v>1.0795999999999999</v>
      </c>
      <c r="C777">
        <v>1.2283999999999999</v>
      </c>
      <c r="D777">
        <v>131.56</v>
      </c>
      <c r="G777">
        <v>1.0795999999999999</v>
      </c>
      <c r="H777">
        <f t="shared" si="73"/>
        <v>1.0759000000000001</v>
      </c>
      <c r="I777">
        <f t="shared" si="73"/>
        <v>1.083</v>
      </c>
      <c r="J777">
        <f t="shared" si="73"/>
        <v>1.0854999999999999</v>
      </c>
      <c r="L777">
        <f t="shared" si="72"/>
        <v>3.6999999999998145E-3</v>
      </c>
      <c r="W777">
        <f t="shared" si="74"/>
        <v>6.6569745198561828E-3</v>
      </c>
      <c r="X777">
        <f t="shared" si="75"/>
        <v>-9.1736105802312168E-4</v>
      </c>
      <c r="Y777">
        <f t="shared" si="75"/>
        <v>-4.7930614729153644E-3</v>
      </c>
      <c r="Z777">
        <f t="shared" si="75"/>
        <v>-7.9251264246359074E-3</v>
      </c>
      <c r="AE777">
        <f>W777-mu-theta*AE776</f>
        <v>5.7333809578561318E-3</v>
      </c>
      <c r="AF777">
        <f t="shared" ref="AF777:AG840" si="77">AE776</f>
        <v>-2.7699678579449828E-3</v>
      </c>
      <c r="AG777">
        <f t="shared" si="77"/>
        <v>-6.6179165387941575E-3</v>
      </c>
      <c r="AK777">
        <f t="shared" si="76"/>
        <v>3.2871657207907294E-5</v>
      </c>
    </row>
    <row r="778" spans="1:37" x14ac:dyDescent="0.3">
      <c r="A778" s="1">
        <v>45013</v>
      </c>
      <c r="B778">
        <v>1.0843</v>
      </c>
      <c r="C778">
        <v>1.234</v>
      </c>
      <c r="D778">
        <v>130.86000000000001</v>
      </c>
      <c r="G778">
        <v>1.0843</v>
      </c>
      <c r="H778">
        <f t="shared" si="73"/>
        <v>1.0795999999999999</v>
      </c>
      <c r="I778">
        <f t="shared" si="73"/>
        <v>1.0759000000000001</v>
      </c>
      <c r="J778">
        <f t="shared" si="73"/>
        <v>1.083</v>
      </c>
      <c r="L778">
        <f t="shared" si="72"/>
        <v>4.7000000000001485E-3</v>
      </c>
      <c r="W778">
        <f t="shared" si="74"/>
        <v>-5.3207661903313212E-3</v>
      </c>
      <c r="X778">
        <f t="shared" si="75"/>
        <v>6.6569745198561828E-3</v>
      </c>
      <c r="Y778">
        <f t="shared" si="75"/>
        <v>-9.1736105802312168E-4</v>
      </c>
      <c r="Z778">
        <f t="shared" si="75"/>
        <v>-4.7930614729153644E-3</v>
      </c>
      <c r="AE778">
        <f>W778-mu-theta*AE777</f>
        <v>-4.1913896449434912E-3</v>
      </c>
      <c r="AF778">
        <f t="shared" si="77"/>
        <v>5.7333809578561318E-3</v>
      </c>
      <c r="AG778">
        <f t="shared" si="77"/>
        <v>-2.7699678579449828E-3</v>
      </c>
      <c r="AK778">
        <f t="shared" si="76"/>
        <v>1.7567747155739526E-5</v>
      </c>
    </row>
    <row r="779" spans="1:37" x14ac:dyDescent="0.3">
      <c r="A779" s="1">
        <v>45014</v>
      </c>
      <c r="B779">
        <v>1.0843</v>
      </c>
      <c r="C779">
        <v>1.2311000000000001</v>
      </c>
      <c r="D779">
        <v>132.84</v>
      </c>
      <c r="G779">
        <v>1.0843</v>
      </c>
      <c r="H779">
        <f t="shared" si="73"/>
        <v>1.0843</v>
      </c>
      <c r="I779">
        <f t="shared" si="73"/>
        <v>1.0795999999999999</v>
      </c>
      <c r="J779">
        <f t="shared" si="73"/>
        <v>1.0759000000000001</v>
      </c>
      <c r="L779">
        <f t="shared" si="72"/>
        <v>0</v>
      </c>
      <c r="W779">
        <f t="shared" si="74"/>
        <v>1.5130674002750952E-2</v>
      </c>
      <c r="X779">
        <f t="shared" si="75"/>
        <v>-5.3207661903313212E-3</v>
      </c>
      <c r="Y779">
        <f t="shared" si="75"/>
        <v>6.6569745198561828E-3</v>
      </c>
      <c r="Z779">
        <f t="shared" si="75"/>
        <v>-9.1736105802312168E-4</v>
      </c>
      <c r="AE779">
        <f>W779-mu-theta*AE778</f>
        <v>1.3863905474992088E-2</v>
      </c>
      <c r="AF779">
        <f t="shared" si="77"/>
        <v>-4.1913896449434912E-3</v>
      </c>
      <c r="AG779">
        <f t="shared" si="77"/>
        <v>5.7333809578561318E-3</v>
      </c>
      <c r="AK779">
        <f t="shared" si="76"/>
        <v>1.922078750195156E-4</v>
      </c>
    </row>
    <row r="780" spans="1:37" x14ac:dyDescent="0.3">
      <c r="A780" s="1">
        <v>45015</v>
      </c>
      <c r="B780">
        <v>1.0901000000000001</v>
      </c>
      <c r="C780">
        <v>1.2383</v>
      </c>
      <c r="D780">
        <v>132.65</v>
      </c>
      <c r="G780">
        <v>1.0901000000000001</v>
      </c>
      <c r="H780">
        <f t="shared" si="73"/>
        <v>1.0843</v>
      </c>
      <c r="I780">
        <f t="shared" si="73"/>
        <v>1.0843</v>
      </c>
      <c r="J780">
        <f t="shared" si="73"/>
        <v>1.0795999999999999</v>
      </c>
      <c r="L780">
        <f t="shared" si="72"/>
        <v>5.8000000000000274E-3</v>
      </c>
      <c r="W780">
        <f t="shared" si="74"/>
        <v>-1.4302920806985675E-3</v>
      </c>
      <c r="X780">
        <f t="shared" si="75"/>
        <v>1.5130674002750952E-2</v>
      </c>
      <c r="Y780">
        <f t="shared" si="75"/>
        <v>-5.3207661903313212E-3</v>
      </c>
      <c r="Z780">
        <f t="shared" si="75"/>
        <v>6.6569745198561828E-3</v>
      </c>
      <c r="AE780">
        <f>W780-mu-theta*AE779</f>
        <v>1.6620433121550349E-3</v>
      </c>
      <c r="AF780">
        <f t="shared" si="77"/>
        <v>1.3863905474992088E-2</v>
      </c>
      <c r="AG780">
        <f t="shared" si="77"/>
        <v>-4.1913896449434912E-3</v>
      </c>
      <c r="AK780">
        <f t="shared" si="76"/>
        <v>2.7623879714792789E-6</v>
      </c>
    </row>
    <row r="781" spans="1:37" x14ac:dyDescent="0.3">
      <c r="A781" s="1">
        <v>45016</v>
      </c>
      <c r="B781">
        <v>1.0839000000000001</v>
      </c>
      <c r="C781">
        <v>1.2333000000000001</v>
      </c>
      <c r="D781">
        <v>132.79</v>
      </c>
      <c r="G781">
        <v>1.0839000000000001</v>
      </c>
      <c r="H781">
        <f t="shared" si="73"/>
        <v>1.0901000000000001</v>
      </c>
      <c r="I781">
        <f t="shared" si="73"/>
        <v>1.0843</v>
      </c>
      <c r="J781">
        <f t="shared" si="73"/>
        <v>1.0843</v>
      </c>
      <c r="L781">
        <f t="shared" si="72"/>
        <v>-6.1999999999999833E-3</v>
      </c>
      <c r="W781">
        <f t="shared" si="74"/>
        <v>1.0554089709761505E-3</v>
      </c>
      <c r="X781">
        <f t="shared" si="75"/>
        <v>-1.4302920806985675E-3</v>
      </c>
      <c r="Y781">
        <f t="shared" si="75"/>
        <v>1.5130674002750952E-2</v>
      </c>
      <c r="Z781">
        <f t="shared" si="75"/>
        <v>-5.3207661903313212E-3</v>
      </c>
      <c r="AE781">
        <f>W781-mu-theta*AE780</f>
        <v>1.2018393071980505E-3</v>
      </c>
      <c r="AF781">
        <f t="shared" si="77"/>
        <v>1.6620433121550349E-3</v>
      </c>
      <c r="AG781">
        <f t="shared" si="77"/>
        <v>1.3863905474992088E-2</v>
      </c>
      <c r="AK781">
        <f t="shared" si="76"/>
        <v>1.44441772032629E-6</v>
      </c>
    </row>
    <row r="782" spans="1:37" x14ac:dyDescent="0.3">
      <c r="A782" s="1">
        <v>45019</v>
      </c>
      <c r="B782">
        <v>1.0894999999999999</v>
      </c>
      <c r="C782">
        <v>1.2411000000000001</v>
      </c>
      <c r="D782">
        <v>132.41</v>
      </c>
      <c r="G782">
        <v>1.0894999999999999</v>
      </c>
      <c r="H782">
        <f t="shared" si="73"/>
        <v>1.0839000000000001</v>
      </c>
      <c r="I782">
        <f t="shared" si="73"/>
        <v>1.0901000000000001</v>
      </c>
      <c r="J782">
        <f t="shared" si="73"/>
        <v>1.0843</v>
      </c>
      <c r="L782">
        <f t="shared" si="72"/>
        <v>5.5999999999998273E-3</v>
      </c>
      <c r="W782">
        <f t="shared" si="74"/>
        <v>-2.8616612696738871E-3</v>
      </c>
      <c r="X782">
        <f t="shared" si="75"/>
        <v>1.0554089709761505E-3</v>
      </c>
      <c r="Y782">
        <f t="shared" si="75"/>
        <v>-1.4302920806985675E-3</v>
      </c>
      <c r="Z782">
        <f t="shared" si="75"/>
        <v>1.5130674002750952E-2</v>
      </c>
      <c r="AE782">
        <f>W782-mu-theta*AE781</f>
        <v>-2.826338343713842E-3</v>
      </c>
      <c r="AF782">
        <f t="shared" si="77"/>
        <v>1.2018393071980505E-3</v>
      </c>
      <c r="AG782">
        <f t="shared" si="77"/>
        <v>1.6620433121550349E-3</v>
      </c>
      <c r="AK782">
        <f t="shared" si="76"/>
        <v>7.9881884331471041E-6</v>
      </c>
    </row>
    <row r="783" spans="1:37" x14ac:dyDescent="0.3">
      <c r="A783" s="1">
        <v>45020</v>
      </c>
      <c r="B783">
        <v>1.0952</v>
      </c>
      <c r="C783">
        <v>1.2499</v>
      </c>
      <c r="D783">
        <v>131.69</v>
      </c>
      <c r="G783">
        <v>1.0952</v>
      </c>
      <c r="H783">
        <f t="shared" si="73"/>
        <v>1.0894999999999999</v>
      </c>
      <c r="I783">
        <f t="shared" si="73"/>
        <v>1.0839000000000001</v>
      </c>
      <c r="J783">
        <f t="shared" si="73"/>
        <v>1.0901000000000001</v>
      </c>
      <c r="L783">
        <f t="shared" si="72"/>
        <v>5.7000000000000384E-3</v>
      </c>
      <c r="W783">
        <f t="shared" si="74"/>
        <v>-5.4376557661807937E-3</v>
      </c>
      <c r="X783">
        <f t="shared" si="75"/>
        <v>-2.8616612696738871E-3</v>
      </c>
      <c r="Y783">
        <f t="shared" si="75"/>
        <v>1.0554089709761505E-3</v>
      </c>
      <c r="Z783">
        <f t="shared" si="75"/>
        <v>-1.4302920806985675E-3</v>
      </c>
      <c r="AE783">
        <f>W783-mu-theta*AE782</f>
        <v>-6.3748588983312962E-3</v>
      </c>
      <c r="AF783">
        <f t="shared" si="77"/>
        <v>-2.826338343713842E-3</v>
      </c>
      <c r="AG783">
        <f t="shared" si="77"/>
        <v>1.2018393071980505E-3</v>
      </c>
      <c r="AK783">
        <f t="shared" si="76"/>
        <v>4.0638825973633707E-5</v>
      </c>
    </row>
    <row r="784" spans="1:37" x14ac:dyDescent="0.3">
      <c r="A784" s="1">
        <v>45021</v>
      </c>
      <c r="B784">
        <v>1.0903</v>
      </c>
      <c r="C784">
        <v>1.2457</v>
      </c>
      <c r="D784">
        <v>131.31</v>
      </c>
      <c r="G784">
        <v>1.0903</v>
      </c>
      <c r="H784">
        <f t="shared" si="73"/>
        <v>1.0952</v>
      </c>
      <c r="I784">
        <f t="shared" si="73"/>
        <v>1.0894999999999999</v>
      </c>
      <c r="J784">
        <f t="shared" si="73"/>
        <v>1.0839000000000001</v>
      </c>
      <c r="L784">
        <f t="shared" si="72"/>
        <v>-4.8999999999999044E-3</v>
      </c>
      <c r="W784">
        <f t="shared" si="74"/>
        <v>-2.8855645834914988E-3</v>
      </c>
      <c r="X784">
        <f t="shared" si="75"/>
        <v>-5.4376557661807937E-3</v>
      </c>
      <c r="Y784">
        <f t="shared" si="75"/>
        <v>-2.8616612696738871E-3</v>
      </c>
      <c r="Z784">
        <f t="shared" si="75"/>
        <v>1.0554089709761505E-3</v>
      </c>
      <c r="AE784">
        <f>W784-mu-theta*AE783</f>
        <v>-4.6794897885439066E-3</v>
      </c>
      <c r="AF784">
        <f t="shared" si="77"/>
        <v>-6.3748588983312962E-3</v>
      </c>
      <c r="AG784">
        <f t="shared" si="77"/>
        <v>-2.826338343713842E-3</v>
      </c>
      <c r="AK784">
        <f t="shared" si="76"/>
        <v>2.1897624681086695E-5</v>
      </c>
    </row>
    <row r="785" spans="1:37" x14ac:dyDescent="0.3">
      <c r="A785" s="1">
        <v>45022</v>
      </c>
      <c r="B785">
        <v>1.0920000000000001</v>
      </c>
      <c r="C785">
        <v>1.2439</v>
      </c>
      <c r="D785">
        <v>131.76</v>
      </c>
      <c r="G785">
        <v>1.0920000000000001</v>
      </c>
      <c r="H785">
        <f t="shared" si="73"/>
        <v>1.0903</v>
      </c>
      <c r="I785">
        <f t="shared" si="73"/>
        <v>1.0952</v>
      </c>
      <c r="J785">
        <f t="shared" si="73"/>
        <v>1.0894999999999999</v>
      </c>
      <c r="L785">
        <f t="shared" si="72"/>
        <v>1.7000000000000348E-3</v>
      </c>
      <c r="W785">
        <f t="shared" si="74"/>
        <v>3.4270047978066302E-3</v>
      </c>
      <c r="X785">
        <f t="shared" si="75"/>
        <v>-2.8855645834914988E-3</v>
      </c>
      <c r="Y785">
        <f t="shared" si="75"/>
        <v>-5.4376557661807937E-3</v>
      </c>
      <c r="Z785">
        <f t="shared" si="75"/>
        <v>-2.8616612696738871E-3</v>
      </c>
      <c r="AE785">
        <f>W785-mu-theta*AE784</f>
        <v>2.042393873372076E-3</v>
      </c>
      <c r="AF785">
        <f t="shared" si="77"/>
        <v>-4.6794897885439066E-3</v>
      </c>
      <c r="AG785">
        <f t="shared" si="77"/>
        <v>-6.3748588983312962E-3</v>
      </c>
      <c r="AK785">
        <f t="shared" si="76"/>
        <v>4.1713727339877917E-6</v>
      </c>
    </row>
    <row r="786" spans="1:37" x14ac:dyDescent="0.3">
      <c r="A786" s="1">
        <v>45023</v>
      </c>
      <c r="B786">
        <v>1.0896999999999999</v>
      </c>
      <c r="C786">
        <v>1.2413000000000001</v>
      </c>
      <c r="D786">
        <v>132.13</v>
      </c>
      <c r="G786">
        <v>1.0896999999999999</v>
      </c>
      <c r="H786">
        <f t="shared" si="73"/>
        <v>1.0920000000000001</v>
      </c>
      <c r="I786">
        <f t="shared" si="73"/>
        <v>1.0903</v>
      </c>
      <c r="J786">
        <f t="shared" si="73"/>
        <v>1.0952</v>
      </c>
      <c r="L786">
        <f t="shared" si="72"/>
        <v>-2.3000000000001908E-3</v>
      </c>
      <c r="W786">
        <f t="shared" si="74"/>
        <v>2.8081360048573512E-3</v>
      </c>
      <c r="X786">
        <f t="shared" si="75"/>
        <v>3.4270047978066302E-3</v>
      </c>
      <c r="Y786">
        <f t="shared" si="75"/>
        <v>-2.8855645834914988E-3</v>
      </c>
      <c r="Z786">
        <f t="shared" si="75"/>
        <v>-5.4376557661807937E-3</v>
      </c>
      <c r="AE786">
        <f>W786-mu-theta*AE785</f>
        <v>3.0463946724133485E-3</v>
      </c>
      <c r="AF786">
        <f t="shared" si="77"/>
        <v>2.042393873372076E-3</v>
      </c>
      <c r="AG786">
        <f t="shared" si="77"/>
        <v>-4.6794897885439066E-3</v>
      </c>
      <c r="AK786">
        <f t="shared" si="76"/>
        <v>9.2805205001084335E-6</v>
      </c>
    </row>
    <row r="787" spans="1:37" x14ac:dyDescent="0.3">
      <c r="A787" s="1">
        <v>45026</v>
      </c>
      <c r="B787">
        <v>1.0859000000000001</v>
      </c>
      <c r="C787">
        <v>1.2381</v>
      </c>
      <c r="D787">
        <v>133.6</v>
      </c>
      <c r="G787">
        <v>1.0859000000000001</v>
      </c>
      <c r="H787">
        <f t="shared" si="73"/>
        <v>1.0896999999999999</v>
      </c>
      <c r="I787">
        <f t="shared" si="73"/>
        <v>1.0920000000000001</v>
      </c>
      <c r="J787">
        <f t="shared" si="73"/>
        <v>1.0903</v>
      </c>
      <c r="L787">
        <f t="shared" si="72"/>
        <v>-3.7999999999998035E-3</v>
      </c>
      <c r="W787">
        <f t="shared" si="74"/>
        <v>1.1125406796336933E-2</v>
      </c>
      <c r="X787">
        <f t="shared" si="75"/>
        <v>2.8081360048573512E-3</v>
      </c>
      <c r="Y787">
        <f t="shared" si="75"/>
        <v>3.4270047978066302E-3</v>
      </c>
      <c r="Z787">
        <f t="shared" si="75"/>
        <v>-2.8855645834914988E-3</v>
      </c>
      <c r="AE787">
        <f>W787-mu-theta*AE786</f>
        <v>1.1606062156404844E-2</v>
      </c>
      <c r="AF787">
        <f t="shared" si="77"/>
        <v>3.0463946724133485E-3</v>
      </c>
      <c r="AG787">
        <f t="shared" si="77"/>
        <v>2.042393873372076E-3</v>
      </c>
      <c r="AK787">
        <f t="shared" si="76"/>
        <v>1.3470067877833266E-4</v>
      </c>
    </row>
    <row r="788" spans="1:37" x14ac:dyDescent="0.3">
      <c r="A788" s="1">
        <v>45027</v>
      </c>
      <c r="B788">
        <v>1.091</v>
      </c>
      <c r="C788">
        <v>1.2423999999999999</v>
      </c>
      <c r="D788">
        <v>133.65</v>
      </c>
      <c r="G788">
        <v>1.091</v>
      </c>
      <c r="H788">
        <f t="shared" si="73"/>
        <v>1.0859000000000001</v>
      </c>
      <c r="I788">
        <f t="shared" si="73"/>
        <v>1.0896999999999999</v>
      </c>
      <c r="J788">
        <f t="shared" si="73"/>
        <v>1.0920000000000001</v>
      </c>
      <c r="L788">
        <f t="shared" si="72"/>
        <v>5.0999999999998824E-3</v>
      </c>
      <c r="W788">
        <f t="shared" si="74"/>
        <v>3.7425149700607316E-4</v>
      </c>
      <c r="X788">
        <f t="shared" si="75"/>
        <v>1.1125406796336933E-2</v>
      </c>
      <c r="Y788">
        <f t="shared" si="75"/>
        <v>2.8081360048573512E-3</v>
      </c>
      <c r="Z788">
        <f t="shared" si="75"/>
        <v>3.4270047978066302E-3</v>
      </c>
      <c r="AE788">
        <f>W788-mu-theta*AE787</f>
        <v>2.9214740242541073E-3</v>
      </c>
      <c r="AF788">
        <f t="shared" si="77"/>
        <v>1.1606062156404844E-2</v>
      </c>
      <c r="AG788">
        <f t="shared" si="77"/>
        <v>3.0463946724133485E-3</v>
      </c>
      <c r="AK788">
        <f t="shared" si="76"/>
        <v>8.5350104743914877E-6</v>
      </c>
    </row>
    <row r="789" spans="1:37" x14ac:dyDescent="0.3">
      <c r="A789" s="1">
        <v>45028</v>
      </c>
      <c r="B789">
        <v>1.0989</v>
      </c>
      <c r="C789">
        <v>1.2481</v>
      </c>
      <c r="D789">
        <v>133.12</v>
      </c>
      <c r="G789">
        <v>1.0989</v>
      </c>
      <c r="H789">
        <f t="shared" si="73"/>
        <v>1.091</v>
      </c>
      <c r="I789">
        <f t="shared" si="73"/>
        <v>1.0859000000000001</v>
      </c>
      <c r="J789">
        <f t="shared" si="73"/>
        <v>1.0896999999999999</v>
      </c>
      <c r="L789">
        <f t="shared" si="72"/>
        <v>7.9000000000000181E-3</v>
      </c>
      <c r="W789">
        <f t="shared" si="74"/>
        <v>-3.9655817433595295E-3</v>
      </c>
      <c r="X789">
        <f t="shared" si="75"/>
        <v>3.7425149700607316E-4</v>
      </c>
      <c r="Y789">
        <f t="shared" si="75"/>
        <v>1.1125406796336933E-2</v>
      </c>
      <c r="Z789">
        <f t="shared" si="75"/>
        <v>2.8081360048573512E-3</v>
      </c>
      <c r="AE789">
        <f>W789-mu-theta*AE788</f>
        <v>-3.5150860723766873E-3</v>
      </c>
      <c r="AF789">
        <f t="shared" si="77"/>
        <v>2.9214740242541073E-3</v>
      </c>
      <c r="AG789">
        <f t="shared" si="77"/>
        <v>1.1606062156404844E-2</v>
      </c>
      <c r="AK789">
        <f t="shared" si="76"/>
        <v>1.2355830096216566E-5</v>
      </c>
    </row>
    <row r="790" spans="1:37" x14ac:dyDescent="0.3">
      <c r="A790" s="1">
        <v>45029</v>
      </c>
      <c r="B790">
        <v>1.1044</v>
      </c>
      <c r="C790">
        <v>1.252</v>
      </c>
      <c r="D790">
        <v>132.56</v>
      </c>
      <c r="G790">
        <v>1.1044</v>
      </c>
      <c r="H790">
        <f t="shared" si="73"/>
        <v>1.0989</v>
      </c>
      <c r="I790">
        <f t="shared" si="73"/>
        <v>1.091</v>
      </c>
      <c r="J790">
        <f t="shared" si="73"/>
        <v>1.0859000000000001</v>
      </c>
      <c r="L790">
        <f t="shared" si="72"/>
        <v>5.5000000000000604E-3</v>
      </c>
      <c r="W790">
        <f t="shared" si="74"/>
        <v>-4.2067307692307864E-3</v>
      </c>
      <c r="X790">
        <f t="shared" si="75"/>
        <v>-3.9655817433595295E-3</v>
      </c>
      <c r="Y790">
        <f t="shared" si="75"/>
        <v>3.7425149700607316E-4</v>
      </c>
      <c r="Z790">
        <f t="shared" si="75"/>
        <v>1.1125406796336933E-2</v>
      </c>
      <c r="AE790">
        <f>W790-mu-theta*AE789</f>
        <v>-5.3102188003200023E-3</v>
      </c>
      <c r="AF790">
        <f t="shared" si="77"/>
        <v>-3.5150860723766873E-3</v>
      </c>
      <c r="AG790">
        <f t="shared" si="77"/>
        <v>2.9214740242541073E-3</v>
      </c>
      <c r="AK790">
        <f t="shared" si="76"/>
        <v>2.8198423707272003E-5</v>
      </c>
    </row>
    <row r="791" spans="1:37" x14ac:dyDescent="0.3">
      <c r="A791" s="1">
        <v>45030</v>
      </c>
      <c r="B791">
        <v>1.1000000000000001</v>
      </c>
      <c r="C791">
        <v>1.2413000000000001</v>
      </c>
      <c r="D791">
        <v>133.77000000000001</v>
      </c>
      <c r="G791">
        <v>1.1000000000000001</v>
      </c>
      <c r="H791">
        <f t="shared" si="73"/>
        <v>1.1044</v>
      </c>
      <c r="I791">
        <f t="shared" si="73"/>
        <v>1.0989</v>
      </c>
      <c r="J791">
        <f t="shared" si="73"/>
        <v>1.091</v>
      </c>
      <c r="L791">
        <f t="shared" si="72"/>
        <v>-4.3999999999999595E-3</v>
      </c>
      <c r="W791">
        <f t="shared" si="74"/>
        <v>9.1279420639710923E-3</v>
      </c>
      <c r="X791">
        <f t="shared" si="75"/>
        <v>-4.2067307692307864E-3</v>
      </c>
      <c r="Y791">
        <f t="shared" si="75"/>
        <v>-3.9655817433595295E-3</v>
      </c>
      <c r="Z791">
        <f t="shared" si="75"/>
        <v>3.7425149700607316E-4</v>
      </c>
      <c r="AE791">
        <f>W791-mu-theta*AE790</f>
        <v>7.5910537444669086E-3</v>
      </c>
      <c r="AF791">
        <f t="shared" si="77"/>
        <v>-5.3102188003200023E-3</v>
      </c>
      <c r="AG791">
        <f t="shared" si="77"/>
        <v>-3.5150860723766873E-3</v>
      </c>
      <c r="AK791">
        <f t="shared" si="76"/>
        <v>5.7624096951385074E-5</v>
      </c>
    </row>
    <row r="792" spans="1:37" x14ac:dyDescent="0.3">
      <c r="A792" s="1">
        <v>45033</v>
      </c>
      <c r="B792">
        <v>1.0926</v>
      </c>
      <c r="C792">
        <v>1.2374000000000001</v>
      </c>
      <c r="D792">
        <v>134.46</v>
      </c>
      <c r="G792">
        <v>1.0926</v>
      </c>
      <c r="H792">
        <f t="shared" si="73"/>
        <v>1.1000000000000001</v>
      </c>
      <c r="I792">
        <f t="shared" si="73"/>
        <v>1.1044</v>
      </c>
      <c r="J792">
        <f t="shared" si="73"/>
        <v>1.0989</v>
      </c>
      <c r="L792">
        <f t="shared" si="72"/>
        <v>-7.4000000000000732E-3</v>
      </c>
      <c r="W792">
        <f t="shared" si="74"/>
        <v>5.1581071989235082E-3</v>
      </c>
      <c r="X792">
        <f t="shared" si="75"/>
        <v>9.1279420639710923E-3</v>
      </c>
      <c r="Y792">
        <f t="shared" si="75"/>
        <v>-4.2067307692307864E-3</v>
      </c>
      <c r="Z792">
        <f t="shared" si="75"/>
        <v>-3.9655817433595295E-3</v>
      </c>
      <c r="AE792">
        <f>W792-mu-theta*AE791</f>
        <v>6.7359831276522959E-3</v>
      </c>
      <c r="AF792">
        <f t="shared" si="77"/>
        <v>7.5910537444669086E-3</v>
      </c>
      <c r="AG792">
        <f t="shared" si="77"/>
        <v>-5.3102188003200023E-3</v>
      </c>
      <c r="AK792">
        <f t="shared" si="76"/>
        <v>4.5373468696016406E-5</v>
      </c>
    </row>
    <row r="793" spans="1:37" x14ac:dyDescent="0.3">
      <c r="A793" s="1">
        <v>45034</v>
      </c>
      <c r="B793">
        <v>1.0971</v>
      </c>
      <c r="C793">
        <v>1.2423999999999999</v>
      </c>
      <c r="D793">
        <v>134.09</v>
      </c>
      <c r="G793">
        <v>1.0971</v>
      </c>
      <c r="H793">
        <f t="shared" si="73"/>
        <v>1.0926</v>
      </c>
      <c r="I793">
        <f t="shared" si="73"/>
        <v>1.1000000000000001</v>
      </c>
      <c r="J793">
        <f t="shared" si="73"/>
        <v>1.1044</v>
      </c>
      <c r="L793">
        <f t="shared" si="72"/>
        <v>4.4999999999999485E-3</v>
      </c>
      <c r="W793">
        <f t="shared" si="74"/>
        <v>-2.7517477316674442E-3</v>
      </c>
      <c r="X793">
        <f t="shared" si="75"/>
        <v>5.1581071989235082E-3</v>
      </c>
      <c r="Y793">
        <f t="shared" si="75"/>
        <v>9.1279420639710923E-3</v>
      </c>
      <c r="Z793">
        <f t="shared" si="75"/>
        <v>-4.2067307692307864E-3</v>
      </c>
      <c r="AE793">
        <f>W793-mu-theta*AE792</f>
        <v>-1.380312165912374E-3</v>
      </c>
      <c r="AF793">
        <f t="shared" si="77"/>
        <v>6.7359831276522959E-3</v>
      </c>
      <c r="AG793">
        <f t="shared" si="77"/>
        <v>7.5910537444669086E-3</v>
      </c>
      <c r="AK793">
        <f t="shared" si="76"/>
        <v>1.905261675365709E-6</v>
      </c>
    </row>
    <row r="794" spans="1:37" x14ac:dyDescent="0.3">
      <c r="A794" s="1">
        <v>45035</v>
      </c>
      <c r="B794">
        <v>1.0953999999999999</v>
      </c>
      <c r="C794">
        <v>1.2438</v>
      </c>
      <c r="D794">
        <v>134.69</v>
      </c>
      <c r="G794">
        <v>1.0953999999999999</v>
      </c>
      <c r="H794">
        <f t="shared" si="73"/>
        <v>1.0971</v>
      </c>
      <c r="I794">
        <f t="shared" si="73"/>
        <v>1.0926</v>
      </c>
      <c r="J794">
        <f t="shared" si="73"/>
        <v>1.1000000000000001</v>
      </c>
      <c r="L794">
        <f t="shared" si="72"/>
        <v>-1.7000000000000348E-3</v>
      </c>
      <c r="W794">
        <f t="shared" si="74"/>
        <v>4.4746066075023816E-3</v>
      </c>
      <c r="X794">
        <f t="shared" si="75"/>
        <v>-2.7517477316674442E-3</v>
      </c>
      <c r="Y794">
        <f t="shared" si="75"/>
        <v>5.1581071989235082E-3</v>
      </c>
      <c r="Z794">
        <f t="shared" si="75"/>
        <v>9.1279420639710923E-3</v>
      </c>
      <c r="AE794">
        <f>W794-mu-theta*AE793</f>
        <v>3.8865186982873839E-3</v>
      </c>
      <c r="AF794">
        <f t="shared" si="77"/>
        <v>-1.380312165912374E-3</v>
      </c>
      <c r="AG794">
        <f t="shared" si="77"/>
        <v>6.7359831276522959E-3</v>
      </c>
      <c r="AK794">
        <f t="shared" si="76"/>
        <v>1.5105027592137461E-5</v>
      </c>
    </row>
    <row r="795" spans="1:37" x14ac:dyDescent="0.3">
      <c r="A795" s="1">
        <v>45036</v>
      </c>
      <c r="B795">
        <v>1.0967</v>
      </c>
      <c r="C795">
        <v>1.2443</v>
      </c>
      <c r="D795">
        <v>134.22999999999999</v>
      </c>
      <c r="G795">
        <v>1.0967</v>
      </c>
      <c r="H795">
        <f t="shared" si="73"/>
        <v>1.0953999999999999</v>
      </c>
      <c r="I795">
        <f t="shared" si="73"/>
        <v>1.0971</v>
      </c>
      <c r="J795">
        <f t="shared" si="73"/>
        <v>1.0926</v>
      </c>
      <c r="L795">
        <f t="shared" si="72"/>
        <v>1.3000000000000789E-3</v>
      </c>
      <c r="W795">
        <f t="shared" si="74"/>
        <v>-3.4152498329497955E-3</v>
      </c>
      <c r="X795">
        <f t="shared" si="75"/>
        <v>4.4746066075023816E-3</v>
      </c>
      <c r="Y795">
        <f t="shared" si="75"/>
        <v>-2.7517477316674442E-3</v>
      </c>
      <c r="Z795">
        <f t="shared" si="75"/>
        <v>5.1581071989235082E-3</v>
      </c>
      <c r="AE795">
        <f>W795-mu-theta*AE794</f>
        <v>-2.7317626769648709E-3</v>
      </c>
      <c r="AF795">
        <f t="shared" si="77"/>
        <v>3.8865186982873839E-3</v>
      </c>
      <c r="AG795">
        <f t="shared" si="77"/>
        <v>-1.380312165912374E-3</v>
      </c>
      <c r="AK795">
        <f t="shared" si="76"/>
        <v>7.4625273232582775E-6</v>
      </c>
    </row>
    <row r="796" spans="1:37" x14ac:dyDescent="0.3">
      <c r="A796" s="1">
        <v>45037</v>
      </c>
      <c r="B796">
        <v>1.0987</v>
      </c>
      <c r="C796">
        <v>1.2430000000000001</v>
      </c>
      <c r="D796">
        <v>134.15</v>
      </c>
      <c r="G796">
        <v>1.0987</v>
      </c>
      <c r="H796">
        <f t="shared" si="73"/>
        <v>1.0967</v>
      </c>
      <c r="I796">
        <f t="shared" si="73"/>
        <v>1.0953999999999999</v>
      </c>
      <c r="J796">
        <f t="shared" si="73"/>
        <v>1.0971</v>
      </c>
      <c r="L796">
        <f t="shared" si="72"/>
        <v>2.0000000000000018E-3</v>
      </c>
      <c r="W796">
        <f t="shared" si="74"/>
        <v>-5.9599195410850101E-4</v>
      </c>
      <c r="X796">
        <f t="shared" si="75"/>
        <v>-3.4152498329497955E-3</v>
      </c>
      <c r="Y796">
        <f t="shared" si="75"/>
        <v>4.4746066075023816E-3</v>
      </c>
      <c r="Z796">
        <f t="shared" si="75"/>
        <v>-2.7517477316674442E-3</v>
      </c>
      <c r="AE796">
        <f>W796-mu-theta*AE795</f>
        <v>-1.5103616095984759E-3</v>
      </c>
      <c r="AF796">
        <f t="shared" si="77"/>
        <v>-2.7317626769648709E-3</v>
      </c>
      <c r="AG796">
        <f t="shared" si="77"/>
        <v>3.8865186982873839E-3</v>
      </c>
      <c r="AK796">
        <f t="shared" si="76"/>
        <v>2.2811921917488987E-6</v>
      </c>
    </row>
    <row r="797" spans="1:37" x14ac:dyDescent="0.3">
      <c r="A797" s="1">
        <v>45040</v>
      </c>
      <c r="B797">
        <v>1.1041000000000001</v>
      </c>
      <c r="C797">
        <v>1.2482</v>
      </c>
      <c r="D797">
        <v>134.22</v>
      </c>
      <c r="G797">
        <v>1.1041000000000001</v>
      </c>
      <c r="H797">
        <f t="shared" si="73"/>
        <v>1.0987</v>
      </c>
      <c r="I797">
        <f t="shared" si="73"/>
        <v>1.0967</v>
      </c>
      <c r="J797">
        <f t="shared" si="73"/>
        <v>1.0953999999999999</v>
      </c>
      <c r="L797">
        <f t="shared" si="72"/>
        <v>5.4000000000000714E-3</v>
      </c>
      <c r="W797">
        <f t="shared" si="74"/>
        <v>5.2180395080129094E-4</v>
      </c>
      <c r="X797">
        <f t="shared" si="75"/>
        <v>-5.9599195410850101E-4</v>
      </c>
      <c r="Y797">
        <f t="shared" si="75"/>
        <v>-3.4152498329497955E-3</v>
      </c>
      <c r="Z797">
        <f t="shared" si="75"/>
        <v>4.4746066075023816E-3</v>
      </c>
      <c r="AE797">
        <f>W797-mu-theta*AE796</f>
        <v>-9.7681896585297015E-5</v>
      </c>
      <c r="AF797">
        <f t="shared" si="77"/>
        <v>-1.5103616095984759E-3</v>
      </c>
      <c r="AG797">
        <f t="shared" si="77"/>
        <v>-2.7317626769648709E-3</v>
      </c>
      <c r="AK797">
        <f t="shared" si="76"/>
        <v>9.54175292050066E-9</v>
      </c>
    </row>
    <row r="798" spans="1:37" x14ac:dyDescent="0.3">
      <c r="A798" s="1">
        <v>45041</v>
      </c>
      <c r="B798">
        <v>1.0972</v>
      </c>
      <c r="C798">
        <v>1.2407999999999999</v>
      </c>
      <c r="D798">
        <v>133.71</v>
      </c>
      <c r="G798">
        <v>1.0972</v>
      </c>
      <c r="H798">
        <f t="shared" si="73"/>
        <v>1.1041000000000001</v>
      </c>
      <c r="I798">
        <f t="shared" si="73"/>
        <v>1.0987</v>
      </c>
      <c r="J798">
        <f t="shared" si="73"/>
        <v>1.0967</v>
      </c>
      <c r="L798">
        <f t="shared" si="72"/>
        <v>-6.9000000000001283E-3</v>
      </c>
      <c r="W798">
        <f t="shared" si="74"/>
        <v>-3.7997317836387344E-3</v>
      </c>
      <c r="X798">
        <f t="shared" si="75"/>
        <v>5.2180395080129094E-4</v>
      </c>
      <c r="Y798">
        <f t="shared" si="75"/>
        <v>-5.9599195410850101E-4</v>
      </c>
      <c r="Z798">
        <f t="shared" si="75"/>
        <v>-3.4152498329497955E-3</v>
      </c>
      <c r="AE798">
        <f>W798-mu-theta*AE797</f>
        <v>-4.0781532709769433E-3</v>
      </c>
      <c r="AF798">
        <f t="shared" si="77"/>
        <v>-9.7681896585297015E-5</v>
      </c>
      <c r="AG798">
        <f t="shared" si="77"/>
        <v>-1.5103616095984759E-3</v>
      </c>
      <c r="AK798">
        <f t="shared" si="76"/>
        <v>1.6631334101579943E-5</v>
      </c>
    </row>
    <row r="799" spans="1:37" x14ac:dyDescent="0.3">
      <c r="A799" s="1">
        <v>45042</v>
      </c>
      <c r="B799">
        <v>1.1040000000000001</v>
      </c>
      <c r="C799">
        <v>1.2466999999999999</v>
      </c>
      <c r="D799">
        <v>133.66</v>
      </c>
      <c r="G799">
        <v>1.1040000000000001</v>
      </c>
      <c r="H799">
        <f t="shared" si="73"/>
        <v>1.0972</v>
      </c>
      <c r="I799">
        <f t="shared" si="73"/>
        <v>1.1041000000000001</v>
      </c>
      <c r="J799">
        <f t="shared" si="73"/>
        <v>1.0987</v>
      </c>
      <c r="L799">
        <f t="shared" si="72"/>
        <v>6.8000000000001393E-3</v>
      </c>
      <c r="W799">
        <f t="shared" si="74"/>
        <v>-3.7394360930380203E-4</v>
      </c>
      <c r="X799">
        <f t="shared" si="75"/>
        <v>-3.7997317836387344E-3</v>
      </c>
      <c r="Y799">
        <f t="shared" si="75"/>
        <v>5.2180395080129094E-4</v>
      </c>
      <c r="Z799">
        <f t="shared" si="75"/>
        <v>-5.9599195410850101E-4</v>
      </c>
      <c r="AE799">
        <f>W799-mu-theta*AE798</f>
        <v>-1.6133733913686959E-3</v>
      </c>
      <c r="AF799">
        <f t="shared" si="77"/>
        <v>-4.0781532709769433E-3</v>
      </c>
      <c r="AG799">
        <f t="shared" si="77"/>
        <v>-9.7681896585297015E-5</v>
      </c>
      <c r="AK799">
        <f t="shared" si="76"/>
        <v>2.6029736999765272E-6</v>
      </c>
    </row>
    <row r="800" spans="1:37" x14ac:dyDescent="0.3">
      <c r="A800" s="1">
        <v>45043</v>
      </c>
      <c r="B800">
        <v>1.1027</v>
      </c>
      <c r="C800">
        <v>1.2486999999999999</v>
      </c>
      <c r="D800">
        <v>133.94</v>
      </c>
      <c r="G800">
        <v>1.1027</v>
      </c>
      <c r="H800">
        <f t="shared" si="73"/>
        <v>1.1040000000000001</v>
      </c>
      <c r="I800">
        <f t="shared" si="73"/>
        <v>1.0972</v>
      </c>
      <c r="J800">
        <f t="shared" si="73"/>
        <v>1.1041000000000001</v>
      </c>
      <c r="L800">
        <f t="shared" si="72"/>
        <v>-1.3000000000000789E-3</v>
      </c>
      <c r="W800">
        <f t="shared" si="74"/>
        <v>2.0948675744426244E-3</v>
      </c>
      <c r="X800">
        <f t="shared" si="75"/>
        <v>-3.7394360930380203E-4</v>
      </c>
      <c r="Y800">
        <f t="shared" si="75"/>
        <v>-3.7997317836387344E-3</v>
      </c>
      <c r="Z800">
        <f t="shared" si="75"/>
        <v>5.2180395080129094E-4</v>
      </c>
      <c r="AE800">
        <f>W800-mu-theta*AE799</f>
        <v>1.4505115125953466E-3</v>
      </c>
      <c r="AF800">
        <f t="shared" si="77"/>
        <v>-1.6133733913686959E-3</v>
      </c>
      <c r="AG800">
        <f t="shared" si="77"/>
        <v>-4.0781532709769433E-3</v>
      </c>
      <c r="AK800">
        <f t="shared" si="76"/>
        <v>2.1039836481716403E-6</v>
      </c>
    </row>
    <row r="801" spans="1:37" x14ac:dyDescent="0.3">
      <c r="A801" s="1">
        <v>45044</v>
      </c>
      <c r="B801">
        <v>1.1020000000000001</v>
      </c>
      <c r="C801">
        <v>1.2572000000000001</v>
      </c>
      <c r="D801">
        <v>136.28</v>
      </c>
      <c r="G801">
        <v>1.1020000000000001</v>
      </c>
      <c r="H801">
        <f t="shared" si="73"/>
        <v>1.1027</v>
      </c>
      <c r="I801">
        <f t="shared" si="73"/>
        <v>1.1040000000000001</v>
      </c>
      <c r="J801">
        <f t="shared" si="73"/>
        <v>1.0972</v>
      </c>
      <c r="L801">
        <f t="shared" si="72"/>
        <v>-6.9999999999992291E-4</v>
      </c>
      <c r="W801">
        <f t="shared" si="74"/>
        <v>1.7470509183216392E-2</v>
      </c>
      <c r="X801">
        <f t="shared" si="75"/>
        <v>2.0948675744426244E-3</v>
      </c>
      <c r="Y801">
        <f t="shared" si="75"/>
        <v>-3.7394360930380203E-4</v>
      </c>
      <c r="Z801">
        <f t="shared" si="75"/>
        <v>-3.7997317836387344E-3</v>
      </c>
      <c r="AE801">
        <f>W801-mu-theta*AE800</f>
        <v>1.756586923281768E-2</v>
      </c>
      <c r="AF801">
        <f t="shared" si="77"/>
        <v>1.4505115125953466E-3</v>
      </c>
      <c r="AG801">
        <f t="shared" si="77"/>
        <v>-1.6133733913686959E-3</v>
      </c>
      <c r="AK801">
        <f t="shared" si="76"/>
        <v>3.085597619044508E-4</v>
      </c>
    </row>
    <row r="802" spans="1:37" x14ac:dyDescent="0.3">
      <c r="A802" s="1">
        <v>45047</v>
      </c>
      <c r="B802">
        <v>1.0974999999999999</v>
      </c>
      <c r="C802">
        <v>1.2496</v>
      </c>
      <c r="D802">
        <v>137.47999999999999</v>
      </c>
      <c r="G802">
        <v>1.0974999999999999</v>
      </c>
      <c r="H802">
        <f t="shared" si="73"/>
        <v>1.1020000000000001</v>
      </c>
      <c r="I802">
        <f t="shared" si="73"/>
        <v>1.1027</v>
      </c>
      <c r="J802">
        <f t="shared" si="73"/>
        <v>1.1040000000000001</v>
      </c>
      <c r="L802">
        <f t="shared" si="72"/>
        <v>-4.5000000000001705E-3</v>
      </c>
      <c r="W802">
        <f t="shared" si="74"/>
        <v>8.8054006457292978E-3</v>
      </c>
      <c r="X802">
        <f t="shared" si="75"/>
        <v>1.7470509183216392E-2</v>
      </c>
      <c r="Y802">
        <f t="shared" si="75"/>
        <v>2.0948675744426244E-3</v>
      </c>
      <c r="Z802">
        <f t="shared" si="75"/>
        <v>-3.7394360930380203E-4</v>
      </c>
      <c r="AE802">
        <f>W802-mu-theta*AE801</f>
        <v>1.2791504023182888E-2</v>
      </c>
      <c r="AF802">
        <f t="shared" si="77"/>
        <v>1.756586923281768E-2</v>
      </c>
      <c r="AG802">
        <f t="shared" si="77"/>
        <v>1.4505115125953466E-3</v>
      </c>
      <c r="AK802">
        <f t="shared" si="76"/>
        <v>1.6362257517510401E-4</v>
      </c>
    </row>
    <row r="803" spans="1:37" x14ac:dyDescent="0.3">
      <c r="A803" s="1">
        <v>45048</v>
      </c>
      <c r="B803">
        <v>1.0999000000000001</v>
      </c>
      <c r="C803">
        <v>1.2464</v>
      </c>
      <c r="D803">
        <v>136.53</v>
      </c>
      <c r="G803">
        <v>1.0999000000000001</v>
      </c>
      <c r="H803">
        <f t="shared" si="73"/>
        <v>1.0974999999999999</v>
      </c>
      <c r="I803">
        <f t="shared" si="73"/>
        <v>1.1020000000000001</v>
      </c>
      <c r="J803">
        <f t="shared" si="73"/>
        <v>1.1027</v>
      </c>
      <c r="L803">
        <f t="shared" si="72"/>
        <v>2.4000000000001798E-3</v>
      </c>
      <c r="W803">
        <f t="shared" si="74"/>
        <v>-6.9100960139655858E-3</v>
      </c>
      <c r="X803">
        <f t="shared" si="75"/>
        <v>8.8054006457292978E-3</v>
      </c>
      <c r="Y803">
        <f t="shared" si="75"/>
        <v>1.7470509183216392E-2</v>
      </c>
      <c r="Z803">
        <f t="shared" si="75"/>
        <v>2.0948675744426244E-3</v>
      </c>
      <c r="AE803">
        <f>W803-mu-theta*AE802</f>
        <v>-4.0766713363342699E-3</v>
      </c>
      <c r="AF803">
        <f t="shared" si="77"/>
        <v>1.2791504023182888E-2</v>
      </c>
      <c r="AG803">
        <f t="shared" si="77"/>
        <v>1.756586923281768E-2</v>
      </c>
      <c r="AK803">
        <f t="shared" si="76"/>
        <v>1.6619249184489443E-5</v>
      </c>
    </row>
    <row r="804" spans="1:37" x14ac:dyDescent="0.3">
      <c r="A804" s="1">
        <v>45049</v>
      </c>
      <c r="B804">
        <v>1.1059000000000001</v>
      </c>
      <c r="C804">
        <v>1.2564</v>
      </c>
      <c r="D804">
        <v>134.68</v>
      </c>
      <c r="G804">
        <v>1.1059000000000001</v>
      </c>
      <c r="H804">
        <f t="shared" si="73"/>
        <v>1.0999000000000001</v>
      </c>
      <c r="I804">
        <f t="shared" si="73"/>
        <v>1.0974999999999999</v>
      </c>
      <c r="J804">
        <f t="shared" si="73"/>
        <v>1.1020000000000001</v>
      </c>
      <c r="L804">
        <f t="shared" si="72"/>
        <v>6.0000000000000053E-3</v>
      </c>
      <c r="W804">
        <f t="shared" si="74"/>
        <v>-1.3550135501354971E-2</v>
      </c>
      <c r="X804">
        <f t="shared" si="75"/>
        <v>-6.9100960139655858E-3</v>
      </c>
      <c r="Y804">
        <f t="shared" si="75"/>
        <v>8.8054006457292978E-3</v>
      </c>
      <c r="Z804">
        <f t="shared" si="75"/>
        <v>1.7470509183216392E-2</v>
      </c>
      <c r="AE804">
        <f>W804-mu-theta*AE803</f>
        <v>-1.4789207498788372E-2</v>
      </c>
      <c r="AF804">
        <f t="shared" si="77"/>
        <v>-4.0766713363342699E-3</v>
      </c>
      <c r="AG804">
        <f t="shared" si="77"/>
        <v>1.2791504023182888E-2</v>
      </c>
      <c r="AK804">
        <f t="shared" si="76"/>
        <v>2.1872065844221822E-4</v>
      </c>
    </row>
    <row r="805" spans="1:37" x14ac:dyDescent="0.3">
      <c r="A805" s="1">
        <v>45050</v>
      </c>
      <c r="B805">
        <v>1.1011</v>
      </c>
      <c r="C805">
        <v>1.2572000000000001</v>
      </c>
      <c r="D805">
        <v>134.27000000000001</v>
      </c>
      <c r="G805">
        <v>1.1011</v>
      </c>
      <c r="H805">
        <f t="shared" si="73"/>
        <v>1.1059000000000001</v>
      </c>
      <c r="I805">
        <f t="shared" si="73"/>
        <v>1.0999000000000001</v>
      </c>
      <c r="J805">
        <f t="shared" si="73"/>
        <v>1.0974999999999999</v>
      </c>
      <c r="L805">
        <f t="shared" si="72"/>
        <v>-4.8000000000001375E-3</v>
      </c>
      <c r="W805">
        <f t="shared" si="74"/>
        <v>-3.0442530442530186E-3</v>
      </c>
      <c r="X805">
        <f t="shared" si="75"/>
        <v>-1.3550135501354971E-2</v>
      </c>
      <c r="Y805">
        <f t="shared" si="75"/>
        <v>-6.9100960139655858E-3</v>
      </c>
      <c r="Z805">
        <f t="shared" si="75"/>
        <v>8.8054006457292978E-3</v>
      </c>
      <c r="AE805">
        <f>W805-mu-theta*AE804</f>
        <v>-6.8696609655947705E-3</v>
      </c>
      <c r="AF805">
        <f t="shared" si="77"/>
        <v>-1.4789207498788372E-2</v>
      </c>
      <c r="AG805">
        <f t="shared" si="77"/>
        <v>-4.0766713363342699E-3</v>
      </c>
      <c r="AK805">
        <f t="shared" si="76"/>
        <v>4.7192241782216472E-5</v>
      </c>
    </row>
    <row r="806" spans="1:37" x14ac:dyDescent="0.3">
      <c r="A806" s="1">
        <v>45051</v>
      </c>
      <c r="B806">
        <v>1.1016999999999999</v>
      </c>
      <c r="C806">
        <v>1.2641</v>
      </c>
      <c r="D806">
        <v>134.83000000000001</v>
      </c>
      <c r="G806">
        <v>1.1016999999999999</v>
      </c>
      <c r="H806">
        <f t="shared" si="73"/>
        <v>1.1011</v>
      </c>
      <c r="I806">
        <f t="shared" si="73"/>
        <v>1.1059000000000001</v>
      </c>
      <c r="J806">
        <f t="shared" si="73"/>
        <v>1.0999000000000001</v>
      </c>
      <c r="L806">
        <f t="shared" si="72"/>
        <v>5.9999999999993392E-4</v>
      </c>
      <c r="W806">
        <f t="shared" si="74"/>
        <v>4.1707008266925021E-3</v>
      </c>
      <c r="X806">
        <f t="shared" si="75"/>
        <v>-3.0442530442530186E-3</v>
      </c>
      <c r="Y806">
        <f t="shared" si="75"/>
        <v>-1.3550135501354971E-2</v>
      </c>
      <c r="Z806">
        <f t="shared" si="75"/>
        <v>-6.9100960139655858E-3</v>
      </c>
      <c r="AE806">
        <f>W806-mu-theta*AE805</f>
        <v>2.2573151743304374E-3</v>
      </c>
      <c r="AF806">
        <f t="shared" si="77"/>
        <v>-6.8696609655947705E-3</v>
      </c>
      <c r="AG806">
        <f t="shared" si="77"/>
        <v>-1.4789207498788372E-2</v>
      </c>
      <c r="AK806">
        <f t="shared" si="76"/>
        <v>5.0954717962624535E-6</v>
      </c>
    </row>
    <row r="807" spans="1:37" x14ac:dyDescent="0.3">
      <c r="A807" s="1">
        <v>45054</v>
      </c>
      <c r="B807">
        <v>1.1004</v>
      </c>
      <c r="C807">
        <v>1.2617</v>
      </c>
      <c r="D807">
        <v>135.08000000000001</v>
      </c>
      <c r="G807">
        <v>1.1004</v>
      </c>
      <c r="H807">
        <f t="shared" si="73"/>
        <v>1.1016999999999999</v>
      </c>
      <c r="I807">
        <f t="shared" si="73"/>
        <v>1.1011</v>
      </c>
      <c r="J807">
        <f t="shared" si="73"/>
        <v>1.1059000000000001</v>
      </c>
      <c r="L807">
        <f t="shared" si="72"/>
        <v>-1.2999999999998568E-3</v>
      </c>
      <c r="W807">
        <f t="shared" si="74"/>
        <v>1.8541867536898315E-3</v>
      </c>
      <c r="X807">
        <f t="shared" si="75"/>
        <v>4.1707008266925021E-3</v>
      </c>
      <c r="Y807">
        <f t="shared" si="75"/>
        <v>-3.0442530442530186E-3</v>
      </c>
      <c r="Z807">
        <f t="shared" si="75"/>
        <v>-1.3550135501354971E-2</v>
      </c>
      <c r="AE807">
        <f>W807-mu-theta*AE806</f>
        <v>2.1443340378210461E-3</v>
      </c>
      <c r="AF807">
        <f t="shared" si="77"/>
        <v>2.2573151743304374E-3</v>
      </c>
      <c r="AG807">
        <f t="shared" si="77"/>
        <v>-6.8696609655947705E-3</v>
      </c>
      <c r="AK807">
        <f t="shared" si="76"/>
        <v>4.5981684657579112E-6</v>
      </c>
    </row>
    <row r="808" spans="1:37" x14ac:dyDescent="0.3">
      <c r="A808" s="1">
        <v>45055</v>
      </c>
      <c r="B808">
        <v>1.0960000000000001</v>
      </c>
      <c r="C808">
        <v>1.2619</v>
      </c>
      <c r="D808">
        <v>135.21</v>
      </c>
      <c r="G808">
        <v>1.0960000000000001</v>
      </c>
      <c r="H808">
        <f t="shared" si="73"/>
        <v>1.1004</v>
      </c>
      <c r="I808">
        <f t="shared" si="73"/>
        <v>1.1016999999999999</v>
      </c>
      <c r="J808">
        <f t="shared" si="73"/>
        <v>1.1011</v>
      </c>
      <c r="L808">
        <f t="shared" si="72"/>
        <v>-4.3999999999999595E-3</v>
      </c>
      <c r="W808">
        <f t="shared" si="74"/>
        <v>9.6239265620369735E-4</v>
      </c>
      <c r="X808">
        <f t="shared" si="75"/>
        <v>1.8541867536898315E-3</v>
      </c>
      <c r="Y808">
        <f t="shared" si="75"/>
        <v>4.1707008266925021E-3</v>
      </c>
      <c r="Z808">
        <f t="shared" si="75"/>
        <v>-3.0442530442530186E-3</v>
      </c>
      <c r="AE808">
        <f>W808-mu-theta*AE807</f>
        <v>1.2252628168184119E-3</v>
      </c>
      <c r="AF808">
        <f t="shared" si="77"/>
        <v>2.1443340378210461E-3</v>
      </c>
      <c r="AG808">
        <f t="shared" si="77"/>
        <v>2.2573151743304374E-3</v>
      </c>
      <c r="AK808">
        <f t="shared" si="76"/>
        <v>1.5012689702777893E-6</v>
      </c>
    </row>
    <row r="809" spans="1:37" x14ac:dyDescent="0.3">
      <c r="A809" s="1">
        <v>45056</v>
      </c>
      <c r="B809">
        <v>1.0980000000000001</v>
      </c>
      <c r="C809">
        <v>1.2624</v>
      </c>
      <c r="D809">
        <v>134.34</v>
      </c>
      <c r="G809">
        <v>1.0980000000000001</v>
      </c>
      <c r="H809">
        <f t="shared" si="73"/>
        <v>1.0960000000000001</v>
      </c>
      <c r="I809">
        <f t="shared" si="73"/>
        <v>1.1004</v>
      </c>
      <c r="J809">
        <f t="shared" si="73"/>
        <v>1.1016999999999999</v>
      </c>
      <c r="L809">
        <f t="shared" si="72"/>
        <v>2.0000000000000018E-3</v>
      </c>
      <c r="W809">
        <f t="shared" si="74"/>
        <v>-6.434435322831185E-3</v>
      </c>
      <c r="X809">
        <f t="shared" si="75"/>
        <v>9.6239265620369735E-4</v>
      </c>
      <c r="Y809">
        <f t="shared" si="75"/>
        <v>1.8541867536898315E-3</v>
      </c>
      <c r="Z809">
        <f t="shared" si="75"/>
        <v>4.1707008266925021E-3</v>
      </c>
      <c r="AE809">
        <f>W809-mu-theta*AE808</f>
        <v>-6.3934572407553097E-3</v>
      </c>
      <c r="AF809">
        <f t="shared" si="77"/>
        <v>1.2252628168184119E-3</v>
      </c>
      <c r="AG809">
        <f t="shared" si="77"/>
        <v>2.1443340378210461E-3</v>
      </c>
      <c r="AK809">
        <f t="shared" si="76"/>
        <v>4.0876295489366495E-5</v>
      </c>
    </row>
    <row r="810" spans="1:37" x14ac:dyDescent="0.3">
      <c r="A810" s="1">
        <v>45057</v>
      </c>
      <c r="B810">
        <v>1.0913999999999999</v>
      </c>
      <c r="C810">
        <v>1.2508999999999999</v>
      </c>
      <c r="D810">
        <v>134.54</v>
      </c>
      <c r="G810">
        <v>1.0913999999999999</v>
      </c>
      <c r="H810">
        <f t="shared" si="73"/>
        <v>1.0980000000000001</v>
      </c>
      <c r="I810">
        <f t="shared" si="73"/>
        <v>1.0960000000000001</v>
      </c>
      <c r="J810">
        <f t="shared" si="73"/>
        <v>1.1004</v>
      </c>
      <c r="L810">
        <f t="shared" si="72"/>
        <v>-6.6000000000001613E-3</v>
      </c>
      <c r="W810">
        <f t="shared" si="74"/>
        <v>1.4887598630340078E-3</v>
      </c>
      <c r="X810">
        <f t="shared" si="75"/>
        <v>-6.434435322831185E-3</v>
      </c>
      <c r="Y810">
        <f t="shared" si="75"/>
        <v>9.6239265620369735E-4</v>
      </c>
      <c r="Z810">
        <f t="shared" si="75"/>
        <v>1.8541867536898315E-3</v>
      </c>
      <c r="AE810">
        <f>W810-mu-theta*AE809</f>
        <v>-3.0965555427130836E-4</v>
      </c>
      <c r="AF810">
        <f t="shared" si="77"/>
        <v>-6.3934572407553097E-3</v>
      </c>
      <c r="AG810">
        <f t="shared" si="77"/>
        <v>1.2252628168184119E-3</v>
      </c>
      <c r="AK810">
        <f t="shared" si="76"/>
        <v>9.5886562291071202E-8</v>
      </c>
    </row>
    <row r="811" spans="1:37" x14ac:dyDescent="0.3">
      <c r="A811" s="1">
        <v>45058</v>
      </c>
      <c r="B811">
        <v>1.0848</v>
      </c>
      <c r="C811">
        <v>1.2457</v>
      </c>
      <c r="D811">
        <v>135.71</v>
      </c>
      <c r="G811">
        <v>1.0848</v>
      </c>
      <c r="H811">
        <f t="shared" si="73"/>
        <v>1.0913999999999999</v>
      </c>
      <c r="I811">
        <f t="shared" si="73"/>
        <v>1.0980000000000001</v>
      </c>
      <c r="J811">
        <f t="shared" si="73"/>
        <v>1.0960000000000001</v>
      </c>
      <c r="L811">
        <f t="shared" si="72"/>
        <v>-6.5999999999999392E-3</v>
      </c>
      <c r="W811">
        <f t="shared" si="74"/>
        <v>8.6962984985879E-3</v>
      </c>
      <c r="X811">
        <f t="shared" si="75"/>
        <v>1.4887598630340078E-3</v>
      </c>
      <c r="Y811">
        <f t="shared" si="75"/>
        <v>-6.434435322831185E-3</v>
      </c>
      <c r="Z811">
        <f t="shared" si="75"/>
        <v>9.6239265620369735E-4</v>
      </c>
      <c r="AE811">
        <f>W811-mu-theta*AE810</f>
        <v>8.366700046478541E-3</v>
      </c>
      <c r="AF811">
        <f t="shared" si="77"/>
        <v>-3.0965555427130836E-4</v>
      </c>
      <c r="AG811">
        <f t="shared" si="77"/>
        <v>-6.3934572407553097E-3</v>
      </c>
      <c r="AK811">
        <f t="shared" si="76"/>
        <v>7.0001669667744024E-5</v>
      </c>
    </row>
    <row r="812" spans="1:37" x14ac:dyDescent="0.3">
      <c r="A812" s="1">
        <v>45061</v>
      </c>
      <c r="B812">
        <v>1.0871999999999999</v>
      </c>
      <c r="C812">
        <v>1.2526999999999999</v>
      </c>
      <c r="D812">
        <v>136.11000000000001</v>
      </c>
      <c r="G812">
        <v>1.0871999999999999</v>
      </c>
      <c r="H812">
        <f t="shared" si="73"/>
        <v>1.0848</v>
      </c>
      <c r="I812">
        <f t="shared" si="73"/>
        <v>1.0913999999999999</v>
      </c>
      <c r="J812">
        <f t="shared" si="73"/>
        <v>1.0980000000000001</v>
      </c>
      <c r="L812">
        <f t="shared" si="72"/>
        <v>2.3999999999999577E-3</v>
      </c>
      <c r="W812">
        <f t="shared" si="74"/>
        <v>2.9474614987842138E-3</v>
      </c>
      <c r="X812">
        <f t="shared" si="75"/>
        <v>8.6962984985879E-3</v>
      </c>
      <c r="Y812">
        <f t="shared" si="75"/>
        <v>1.4887598630340078E-3</v>
      </c>
      <c r="Z812">
        <f t="shared" si="75"/>
        <v>-6.434435322831185E-3</v>
      </c>
      <c r="AE812">
        <f>W812-mu-theta*AE811</f>
        <v>4.7126023164914283E-3</v>
      </c>
      <c r="AF812">
        <f t="shared" si="77"/>
        <v>8.366700046478541E-3</v>
      </c>
      <c r="AG812">
        <f t="shared" si="77"/>
        <v>-3.0965555427130836E-4</v>
      </c>
      <c r="AK812">
        <f t="shared" si="76"/>
        <v>2.2208620593400377E-5</v>
      </c>
    </row>
    <row r="813" spans="1:37" x14ac:dyDescent="0.3">
      <c r="A813" s="1">
        <v>45062</v>
      </c>
      <c r="B813">
        <v>1.0861000000000001</v>
      </c>
      <c r="C813">
        <v>1.2484999999999999</v>
      </c>
      <c r="D813">
        <v>136.37</v>
      </c>
      <c r="G813">
        <v>1.0861000000000001</v>
      </c>
      <c r="H813">
        <f t="shared" si="73"/>
        <v>1.0871999999999999</v>
      </c>
      <c r="I813">
        <f t="shared" si="73"/>
        <v>1.0848</v>
      </c>
      <c r="J813">
        <f t="shared" si="73"/>
        <v>1.0913999999999999</v>
      </c>
      <c r="L813">
        <f t="shared" si="72"/>
        <v>-1.0999999999998789E-3</v>
      </c>
      <c r="W813">
        <f t="shared" si="74"/>
        <v>1.9102196752625881E-3</v>
      </c>
      <c r="X813">
        <f t="shared" si="75"/>
        <v>2.9474614987842138E-3</v>
      </c>
      <c r="Y813">
        <f t="shared" si="75"/>
        <v>8.6962984985879E-3</v>
      </c>
      <c r="Z813">
        <f t="shared" si="75"/>
        <v>1.4887598630340078E-3</v>
      </c>
      <c r="AE813">
        <f>W813-mu-theta*AE812</f>
        <v>2.7931488406384855E-3</v>
      </c>
      <c r="AF813">
        <f t="shared" si="77"/>
        <v>4.7126023164914283E-3</v>
      </c>
      <c r="AG813">
        <f t="shared" si="77"/>
        <v>8.366700046478541E-3</v>
      </c>
      <c r="AK813">
        <f t="shared" si="76"/>
        <v>7.8016804459601164E-6</v>
      </c>
    </row>
    <row r="814" spans="1:37" x14ac:dyDescent="0.3">
      <c r="A814" s="1">
        <v>45063</v>
      </c>
      <c r="B814">
        <v>1.0839000000000001</v>
      </c>
      <c r="C814">
        <v>1.2485999999999999</v>
      </c>
      <c r="D814">
        <v>137.66999999999999</v>
      </c>
      <c r="G814">
        <v>1.0839000000000001</v>
      </c>
      <c r="H814">
        <f t="shared" si="73"/>
        <v>1.0861000000000001</v>
      </c>
      <c r="I814">
        <f t="shared" si="73"/>
        <v>1.0871999999999999</v>
      </c>
      <c r="J814">
        <f t="shared" si="73"/>
        <v>1.0848</v>
      </c>
      <c r="L814">
        <f t="shared" si="72"/>
        <v>-2.1999999999999797E-3</v>
      </c>
      <c r="W814">
        <f t="shared" si="74"/>
        <v>9.532888465204831E-3</v>
      </c>
      <c r="X814">
        <f t="shared" si="75"/>
        <v>1.9102196752625881E-3</v>
      </c>
      <c r="Y814">
        <f t="shared" si="75"/>
        <v>2.9474614987842138E-3</v>
      </c>
      <c r="Z814">
        <f t="shared" si="75"/>
        <v>8.6962984985879E-3</v>
      </c>
      <c r="AE814">
        <f>W814-mu-theta*AE813</f>
        <v>9.952402487463775E-3</v>
      </c>
      <c r="AF814">
        <f t="shared" si="77"/>
        <v>2.7931488406384855E-3</v>
      </c>
      <c r="AG814">
        <f t="shared" si="77"/>
        <v>4.7126023164914283E-3</v>
      </c>
      <c r="AK814">
        <f t="shared" si="76"/>
        <v>9.9050315272475141E-5</v>
      </c>
    </row>
    <row r="815" spans="1:37" x14ac:dyDescent="0.3">
      <c r="A815" s="1">
        <v>45064</v>
      </c>
      <c r="B815">
        <v>1.0769</v>
      </c>
      <c r="C815">
        <v>1.2407999999999999</v>
      </c>
      <c r="D815">
        <v>138.71</v>
      </c>
      <c r="G815">
        <v>1.0769</v>
      </c>
      <c r="H815">
        <f t="shared" si="73"/>
        <v>1.0839000000000001</v>
      </c>
      <c r="I815">
        <f t="shared" si="73"/>
        <v>1.0861000000000001</v>
      </c>
      <c r="J815">
        <f t="shared" si="73"/>
        <v>1.0871999999999999</v>
      </c>
      <c r="L815">
        <f t="shared" si="72"/>
        <v>-7.0000000000001172E-3</v>
      </c>
      <c r="W815">
        <f t="shared" si="74"/>
        <v>7.5542965061380155E-3</v>
      </c>
      <c r="X815">
        <f t="shared" si="75"/>
        <v>9.532888465204831E-3</v>
      </c>
      <c r="Y815">
        <f t="shared" si="75"/>
        <v>1.9102196752625881E-3</v>
      </c>
      <c r="Z815">
        <f t="shared" si="75"/>
        <v>2.9474614987842138E-3</v>
      </c>
      <c r="AE815">
        <f>W815-mu-theta*AE814</f>
        <v>9.702274695458802E-3</v>
      </c>
      <c r="AF815">
        <f t="shared" si="77"/>
        <v>9.952402487463775E-3</v>
      </c>
      <c r="AG815">
        <f t="shared" si="77"/>
        <v>2.7931488406384855E-3</v>
      </c>
      <c r="AK815">
        <f t="shared" si="76"/>
        <v>9.4134134266140188E-5</v>
      </c>
    </row>
    <row r="816" spans="1:37" x14ac:dyDescent="0.3">
      <c r="A816" s="1">
        <v>45065</v>
      </c>
      <c r="B816">
        <v>1.0802</v>
      </c>
      <c r="C816">
        <v>1.2444</v>
      </c>
      <c r="D816">
        <v>137.94999999999999</v>
      </c>
      <c r="G816">
        <v>1.0802</v>
      </c>
      <c r="H816">
        <f t="shared" si="73"/>
        <v>1.0769</v>
      </c>
      <c r="I816">
        <f t="shared" si="73"/>
        <v>1.0839000000000001</v>
      </c>
      <c r="J816">
        <f t="shared" si="73"/>
        <v>1.0861000000000001</v>
      </c>
      <c r="L816">
        <f t="shared" si="72"/>
        <v>3.3000000000000806E-3</v>
      </c>
      <c r="W816">
        <f t="shared" si="74"/>
        <v>-5.4790570254489171E-3</v>
      </c>
      <c r="X816">
        <f t="shared" si="75"/>
        <v>7.5542965061380155E-3</v>
      </c>
      <c r="Y816">
        <f t="shared" si="75"/>
        <v>9.532888465204831E-3</v>
      </c>
      <c r="Z816">
        <f t="shared" si="75"/>
        <v>1.9102196752625881E-3</v>
      </c>
      <c r="AE816">
        <f>W816-mu-theta*AE815</f>
        <v>-3.3914673831743169E-3</v>
      </c>
      <c r="AF816">
        <f t="shared" si="77"/>
        <v>9.702274695458802E-3</v>
      </c>
      <c r="AG816">
        <f t="shared" si="77"/>
        <v>9.952402487463775E-3</v>
      </c>
      <c r="AK816">
        <f t="shared" si="76"/>
        <v>1.150205101113525E-5</v>
      </c>
    </row>
    <row r="817" spans="1:37" x14ac:dyDescent="0.3">
      <c r="A817" s="1">
        <v>45068</v>
      </c>
      <c r="B817">
        <v>1.0810999999999999</v>
      </c>
      <c r="C817">
        <v>1.2437</v>
      </c>
      <c r="D817">
        <v>138.6</v>
      </c>
      <c r="G817">
        <v>1.0810999999999999</v>
      </c>
      <c r="H817">
        <f t="shared" si="73"/>
        <v>1.0802</v>
      </c>
      <c r="I817">
        <f t="shared" si="73"/>
        <v>1.0769</v>
      </c>
      <c r="J817">
        <f t="shared" si="73"/>
        <v>1.0839000000000001</v>
      </c>
      <c r="L817">
        <f t="shared" si="72"/>
        <v>8.9999999999990088E-4</v>
      </c>
      <c r="W817">
        <f t="shared" si="74"/>
        <v>4.7118521203334957E-3</v>
      </c>
      <c r="X817">
        <f t="shared" si="75"/>
        <v>-5.4790570254489171E-3</v>
      </c>
      <c r="Y817">
        <f t="shared" si="75"/>
        <v>7.5542965061380155E-3</v>
      </c>
      <c r="Z817">
        <f t="shared" si="75"/>
        <v>9.532888465204831E-3</v>
      </c>
      <c r="AE817">
        <f>W817-mu-theta*AE816</f>
        <v>3.6382094453674282E-3</v>
      </c>
      <c r="AF817">
        <f t="shared" si="77"/>
        <v>-3.3914673831743169E-3</v>
      </c>
      <c r="AG817">
        <f t="shared" si="77"/>
        <v>9.702274695458802E-3</v>
      </c>
      <c r="AK817">
        <f t="shared" si="76"/>
        <v>1.3236567968360769E-5</v>
      </c>
    </row>
    <row r="818" spans="1:37" x14ac:dyDescent="0.3">
      <c r="A818" s="1">
        <v>45069</v>
      </c>
      <c r="B818">
        <v>1.0768</v>
      </c>
      <c r="C818">
        <v>1.2410000000000001</v>
      </c>
      <c r="D818">
        <v>138.58000000000001</v>
      </c>
      <c r="G818">
        <v>1.0768</v>
      </c>
      <c r="H818">
        <f t="shared" si="73"/>
        <v>1.0810999999999999</v>
      </c>
      <c r="I818">
        <f t="shared" si="73"/>
        <v>1.0802</v>
      </c>
      <c r="J818">
        <f t="shared" si="73"/>
        <v>1.0769</v>
      </c>
      <c r="L818">
        <f t="shared" si="72"/>
        <v>-4.2999999999999705E-3</v>
      </c>
      <c r="W818">
        <f t="shared" si="74"/>
        <v>-1.4430014430001306E-4</v>
      </c>
      <c r="X818">
        <f t="shared" si="75"/>
        <v>4.7118521203334957E-3</v>
      </c>
      <c r="Y818">
        <f t="shared" si="75"/>
        <v>-5.4790570254489171E-3</v>
      </c>
      <c r="Z818">
        <f t="shared" si="75"/>
        <v>7.5542965061380155E-3</v>
      </c>
      <c r="AE818">
        <f>W818-mu-theta*AE817</f>
        <v>4.7923751594210271E-4</v>
      </c>
      <c r="AF818">
        <f t="shared" si="77"/>
        <v>3.6382094453674282E-3</v>
      </c>
      <c r="AG818">
        <f t="shared" si="77"/>
        <v>-3.3914673831743169E-3</v>
      </c>
      <c r="AK818">
        <f t="shared" si="76"/>
        <v>2.2966859668635716E-7</v>
      </c>
    </row>
    <row r="819" spans="1:37" x14ac:dyDescent="0.3">
      <c r="A819" s="1">
        <v>45070</v>
      </c>
      <c r="B819">
        <v>1.0748</v>
      </c>
      <c r="C819">
        <v>1.2363999999999999</v>
      </c>
      <c r="D819">
        <v>139.46</v>
      </c>
      <c r="G819">
        <v>1.0748</v>
      </c>
      <c r="H819">
        <f t="shared" si="73"/>
        <v>1.0768</v>
      </c>
      <c r="I819">
        <f t="shared" si="73"/>
        <v>1.0810999999999999</v>
      </c>
      <c r="J819">
        <f t="shared" si="73"/>
        <v>1.0802</v>
      </c>
      <c r="L819">
        <f t="shared" si="72"/>
        <v>-2.0000000000000018E-3</v>
      </c>
      <c r="W819">
        <f t="shared" si="74"/>
        <v>6.3501226728243281E-3</v>
      </c>
      <c r="X819">
        <f t="shared" si="75"/>
        <v>-1.4430014430001306E-4</v>
      </c>
      <c r="Y819">
        <f t="shared" si="75"/>
        <v>4.7118521203334957E-3</v>
      </c>
      <c r="Z819">
        <f t="shared" si="75"/>
        <v>-5.4790570254489171E-3</v>
      </c>
      <c r="AE819">
        <f>W819-mu-theta*AE818</f>
        <v>6.2109872872263714E-3</v>
      </c>
      <c r="AF819">
        <f t="shared" si="77"/>
        <v>4.7923751594210271E-4</v>
      </c>
      <c r="AG819">
        <f t="shared" si="77"/>
        <v>3.6382094453674282E-3</v>
      </c>
      <c r="AK819">
        <f t="shared" si="76"/>
        <v>3.85763630820876E-5</v>
      </c>
    </row>
    <row r="820" spans="1:37" x14ac:dyDescent="0.3">
      <c r="A820" s="1">
        <v>45071</v>
      </c>
      <c r="B820">
        <v>1.0719000000000001</v>
      </c>
      <c r="C820">
        <v>1.2321</v>
      </c>
      <c r="D820">
        <v>140.05000000000001</v>
      </c>
      <c r="G820">
        <v>1.0719000000000001</v>
      </c>
      <c r="H820">
        <f t="shared" si="73"/>
        <v>1.0748</v>
      </c>
      <c r="I820">
        <f t="shared" si="73"/>
        <v>1.0768</v>
      </c>
      <c r="J820">
        <f t="shared" si="73"/>
        <v>1.0810999999999999</v>
      </c>
      <c r="L820">
        <f t="shared" si="72"/>
        <v>-2.8999999999999027E-3</v>
      </c>
      <c r="W820">
        <f t="shared" si="74"/>
        <v>4.2306037573498021E-3</v>
      </c>
      <c r="X820">
        <f t="shared" si="75"/>
        <v>6.3501226728243281E-3</v>
      </c>
      <c r="Y820">
        <f t="shared" si="75"/>
        <v>-1.4430014430001306E-4</v>
      </c>
      <c r="Z820">
        <f t="shared" si="75"/>
        <v>4.7118521203334957E-3</v>
      </c>
      <c r="AE820">
        <f>W820-mu-theta*AE819</f>
        <v>5.475289169695358E-3</v>
      </c>
      <c r="AF820">
        <f t="shared" si="77"/>
        <v>6.2109872872263714E-3</v>
      </c>
      <c r="AG820">
        <f t="shared" si="77"/>
        <v>4.7923751594210271E-4</v>
      </c>
      <c r="AK820">
        <f t="shared" si="76"/>
        <v>2.9978791491783281E-5</v>
      </c>
    </row>
    <row r="821" spans="1:37" x14ac:dyDescent="0.3">
      <c r="A821" s="1">
        <v>45072</v>
      </c>
      <c r="B821">
        <v>1.0724</v>
      </c>
      <c r="C821">
        <v>1.2343</v>
      </c>
      <c r="D821">
        <v>140.62</v>
      </c>
      <c r="G821">
        <v>1.0724</v>
      </c>
      <c r="H821">
        <f t="shared" si="73"/>
        <v>1.0719000000000001</v>
      </c>
      <c r="I821">
        <f t="shared" si="73"/>
        <v>1.0748</v>
      </c>
      <c r="J821">
        <f t="shared" si="73"/>
        <v>1.0768</v>
      </c>
      <c r="L821">
        <f t="shared" si="72"/>
        <v>4.9999999999994493E-4</v>
      </c>
      <c r="W821">
        <f t="shared" si="74"/>
        <v>4.0699750089253344E-3</v>
      </c>
      <c r="X821">
        <f t="shared" si="75"/>
        <v>4.2306037573498021E-3</v>
      </c>
      <c r="Y821">
        <f t="shared" si="75"/>
        <v>6.3501226728243281E-3</v>
      </c>
      <c r="Z821">
        <f t="shared" si="75"/>
        <v>-1.4430014430001306E-4</v>
      </c>
      <c r="AE821">
        <f>W821-mu-theta*AE820</f>
        <v>5.1370402534910969E-3</v>
      </c>
      <c r="AF821">
        <f t="shared" si="77"/>
        <v>5.475289169695358E-3</v>
      </c>
      <c r="AG821">
        <f t="shared" si="77"/>
        <v>6.2109872872263714E-3</v>
      </c>
      <c r="AK821">
        <f t="shared" si="76"/>
        <v>2.6389182565987872E-5</v>
      </c>
    </row>
    <row r="822" spans="1:37" x14ac:dyDescent="0.3">
      <c r="A822" s="1">
        <v>45075</v>
      </c>
      <c r="B822">
        <v>1.0705</v>
      </c>
      <c r="C822">
        <v>1.2351000000000001</v>
      </c>
      <c r="D822">
        <v>140.44</v>
      </c>
      <c r="G822">
        <v>1.0705</v>
      </c>
      <c r="H822">
        <f t="shared" si="73"/>
        <v>1.0724</v>
      </c>
      <c r="I822">
        <f t="shared" si="73"/>
        <v>1.0719000000000001</v>
      </c>
      <c r="J822">
        <f t="shared" si="73"/>
        <v>1.0748</v>
      </c>
      <c r="L822">
        <f t="shared" si="72"/>
        <v>-1.9000000000000128E-3</v>
      </c>
      <c r="W822">
        <f t="shared" si="74"/>
        <v>-1.28004551272939E-3</v>
      </c>
      <c r="X822">
        <f t="shared" si="75"/>
        <v>4.0699750089253344E-3</v>
      </c>
      <c r="Y822">
        <f t="shared" si="75"/>
        <v>4.2306037573498021E-3</v>
      </c>
      <c r="Z822">
        <f t="shared" si="75"/>
        <v>6.3501226728243281E-3</v>
      </c>
      <c r="AE822">
        <f>W822-mu-theta*AE821</f>
        <v>-2.9464396665066623E-4</v>
      </c>
      <c r="AF822">
        <f t="shared" si="77"/>
        <v>5.1370402534910969E-3</v>
      </c>
      <c r="AG822">
        <f t="shared" si="77"/>
        <v>5.475289169695358E-3</v>
      </c>
      <c r="AK822">
        <f t="shared" si="76"/>
        <v>8.681506708363891E-8</v>
      </c>
    </row>
    <row r="823" spans="1:37" x14ac:dyDescent="0.3">
      <c r="A823" s="1">
        <v>45076</v>
      </c>
      <c r="B823">
        <v>1.0732999999999999</v>
      </c>
      <c r="C823">
        <v>1.2413000000000001</v>
      </c>
      <c r="D823">
        <v>139.79</v>
      </c>
      <c r="G823">
        <v>1.0732999999999999</v>
      </c>
      <c r="H823">
        <f t="shared" si="73"/>
        <v>1.0705</v>
      </c>
      <c r="I823">
        <f t="shared" si="73"/>
        <v>1.0724</v>
      </c>
      <c r="J823">
        <f t="shared" si="73"/>
        <v>1.0719000000000001</v>
      </c>
      <c r="L823">
        <f t="shared" si="72"/>
        <v>2.7999999999999137E-3</v>
      </c>
      <c r="W823">
        <f t="shared" si="74"/>
        <v>-4.6283110225007525E-3</v>
      </c>
      <c r="X823">
        <f t="shared" si="75"/>
        <v>-1.28004551272939E-3</v>
      </c>
      <c r="Y823">
        <f t="shared" si="75"/>
        <v>4.0699750089253344E-3</v>
      </c>
      <c r="Z823">
        <f t="shared" si="75"/>
        <v>4.2306037573498021E-3</v>
      </c>
      <c r="AE823">
        <f>W823-mu-theta*AE822</f>
        <v>-4.9542852153544705E-3</v>
      </c>
      <c r="AF823">
        <f t="shared" si="77"/>
        <v>-2.9464396665066623E-4</v>
      </c>
      <c r="AG823">
        <f t="shared" si="77"/>
        <v>5.1370402534910969E-3</v>
      </c>
      <c r="AK823">
        <f t="shared" si="76"/>
        <v>2.4544941995079892E-5</v>
      </c>
    </row>
    <row r="824" spans="1:37" x14ac:dyDescent="0.3">
      <c r="A824" s="1">
        <v>45077</v>
      </c>
      <c r="B824">
        <v>1.0688</v>
      </c>
      <c r="C824">
        <v>1.2437</v>
      </c>
      <c r="D824">
        <v>139.34</v>
      </c>
      <c r="G824">
        <v>1.0688</v>
      </c>
      <c r="H824">
        <f t="shared" si="73"/>
        <v>1.0732999999999999</v>
      </c>
      <c r="I824">
        <f t="shared" si="73"/>
        <v>1.0705</v>
      </c>
      <c r="J824">
        <f t="shared" si="73"/>
        <v>1.0724</v>
      </c>
      <c r="L824">
        <f t="shared" si="72"/>
        <v>-4.4999999999999485E-3</v>
      </c>
      <c r="W824">
        <f t="shared" si="74"/>
        <v>-3.2191143858644297E-3</v>
      </c>
      <c r="X824">
        <f t="shared" si="75"/>
        <v>-4.6283110225007525E-3</v>
      </c>
      <c r="Y824">
        <f t="shared" si="75"/>
        <v>-1.28004551272939E-3</v>
      </c>
      <c r="Z824">
        <f t="shared" si="75"/>
        <v>4.0699750089253344E-3</v>
      </c>
      <c r="AE824">
        <f>W824-mu-theta*AE823</f>
        <v>-4.670069383570525E-3</v>
      </c>
      <c r="AF824">
        <f t="shared" si="77"/>
        <v>-4.9542852153544705E-3</v>
      </c>
      <c r="AG824">
        <f t="shared" si="77"/>
        <v>-2.9464396665066623E-4</v>
      </c>
      <c r="AK824">
        <f t="shared" si="76"/>
        <v>2.1809548047362782E-5</v>
      </c>
    </row>
    <row r="825" spans="1:37" x14ac:dyDescent="0.3">
      <c r="A825" s="1">
        <v>45078</v>
      </c>
      <c r="B825">
        <v>1.0761000000000001</v>
      </c>
      <c r="C825">
        <v>1.2524999999999999</v>
      </c>
      <c r="D825">
        <v>138.79</v>
      </c>
      <c r="G825">
        <v>1.0761000000000001</v>
      </c>
      <c r="H825">
        <f t="shared" si="73"/>
        <v>1.0688</v>
      </c>
      <c r="I825">
        <f t="shared" si="73"/>
        <v>1.0732999999999999</v>
      </c>
      <c r="J825">
        <f t="shared" si="73"/>
        <v>1.0705</v>
      </c>
      <c r="L825">
        <f t="shared" si="72"/>
        <v>7.3000000000000842E-3</v>
      </c>
      <c r="W825">
        <f t="shared" si="74"/>
        <v>-3.9471795607866466E-3</v>
      </c>
      <c r="X825">
        <f t="shared" si="75"/>
        <v>-3.2191143858644297E-3</v>
      </c>
      <c r="Y825">
        <f t="shared" si="75"/>
        <v>-4.6283110225007525E-3</v>
      </c>
      <c r="Z825">
        <f t="shared" si="75"/>
        <v>-1.28004551272939E-3</v>
      </c>
      <c r="AE825">
        <f>W825-mu-theta*AE824</f>
        <v>-5.3295161095336004E-3</v>
      </c>
      <c r="AF825">
        <f t="shared" si="77"/>
        <v>-4.670069383570525E-3</v>
      </c>
      <c r="AG825">
        <f t="shared" si="77"/>
        <v>-4.9542852153544705E-3</v>
      </c>
      <c r="AK825">
        <f t="shared" si="76"/>
        <v>2.8403741961778162E-5</v>
      </c>
    </row>
    <row r="826" spans="1:37" x14ac:dyDescent="0.3">
      <c r="A826" s="1">
        <v>45079</v>
      </c>
      <c r="B826">
        <v>1.0706</v>
      </c>
      <c r="C826">
        <v>1.2447999999999999</v>
      </c>
      <c r="D826">
        <v>139.94</v>
      </c>
      <c r="G826">
        <v>1.0706</v>
      </c>
      <c r="H826">
        <f t="shared" si="73"/>
        <v>1.0761000000000001</v>
      </c>
      <c r="I826">
        <f t="shared" si="73"/>
        <v>1.0688</v>
      </c>
      <c r="J826">
        <f t="shared" si="73"/>
        <v>1.0732999999999999</v>
      </c>
      <c r="L826">
        <f t="shared" si="72"/>
        <v>-5.5000000000000604E-3</v>
      </c>
      <c r="W826">
        <f t="shared" si="74"/>
        <v>8.2858995604871075E-3</v>
      </c>
      <c r="X826">
        <f t="shared" si="75"/>
        <v>-3.9471795607866466E-3</v>
      </c>
      <c r="Y826">
        <f t="shared" si="75"/>
        <v>-3.2191143858644297E-3</v>
      </c>
      <c r="Z826">
        <f t="shared" si="75"/>
        <v>-4.6283110225007525E-3</v>
      </c>
      <c r="AE826">
        <f>W826-mu-theta*AE825</f>
        <v>6.7443522766352628E-3</v>
      </c>
      <c r="AF826">
        <f t="shared" si="77"/>
        <v>-5.3295161095336004E-3</v>
      </c>
      <c r="AG826">
        <f t="shared" si="77"/>
        <v>-4.670069383570525E-3</v>
      </c>
      <c r="AK826">
        <f t="shared" si="76"/>
        <v>4.5486287631355255E-5</v>
      </c>
    </row>
    <row r="827" spans="1:37" x14ac:dyDescent="0.3">
      <c r="A827" s="1">
        <v>45082</v>
      </c>
      <c r="B827">
        <v>1.0711999999999999</v>
      </c>
      <c r="C827">
        <v>1.2437</v>
      </c>
      <c r="D827">
        <v>139.54</v>
      </c>
      <c r="G827">
        <v>1.0711999999999999</v>
      </c>
      <c r="H827">
        <f t="shared" si="73"/>
        <v>1.0706</v>
      </c>
      <c r="I827">
        <f t="shared" si="73"/>
        <v>1.0761000000000001</v>
      </c>
      <c r="J827">
        <f t="shared" si="73"/>
        <v>1.0688</v>
      </c>
      <c r="L827">
        <f t="shared" si="72"/>
        <v>5.9999999999993392E-4</v>
      </c>
      <c r="W827">
        <f t="shared" si="74"/>
        <v>-2.8583678719451599E-3</v>
      </c>
      <c r="X827">
        <f t="shared" si="75"/>
        <v>8.2858995604871075E-3</v>
      </c>
      <c r="Y827">
        <f t="shared" si="75"/>
        <v>-3.9471795607866466E-3</v>
      </c>
      <c r="Z827">
        <f t="shared" si="75"/>
        <v>-3.2191143858644297E-3</v>
      </c>
      <c r="AE827">
        <f>W827-mu-theta*AE826</f>
        <v>-1.4849117360525481E-3</v>
      </c>
      <c r="AF827">
        <f t="shared" si="77"/>
        <v>6.7443522766352628E-3</v>
      </c>
      <c r="AG827">
        <f t="shared" si="77"/>
        <v>-5.3295161095336004E-3</v>
      </c>
      <c r="AK827">
        <f t="shared" si="76"/>
        <v>2.2049628638665923E-6</v>
      </c>
    </row>
    <row r="828" spans="1:37" x14ac:dyDescent="0.3">
      <c r="A828" s="1">
        <v>45083</v>
      </c>
      <c r="B828">
        <v>1.0690999999999999</v>
      </c>
      <c r="C828">
        <v>1.2423999999999999</v>
      </c>
      <c r="D828">
        <v>139.63</v>
      </c>
      <c r="G828">
        <v>1.0690999999999999</v>
      </c>
      <c r="H828">
        <f t="shared" si="73"/>
        <v>1.0711999999999999</v>
      </c>
      <c r="I828">
        <f t="shared" si="73"/>
        <v>1.0706</v>
      </c>
      <c r="J828">
        <f t="shared" si="73"/>
        <v>1.0761000000000001</v>
      </c>
      <c r="L828">
        <f t="shared" si="72"/>
        <v>-2.0999999999999908E-3</v>
      </c>
      <c r="W828">
        <f t="shared" si="74"/>
        <v>6.4497635086715934E-4</v>
      </c>
      <c r="X828">
        <f t="shared" si="75"/>
        <v>-2.8583678719451599E-3</v>
      </c>
      <c r="Y828">
        <f t="shared" si="75"/>
        <v>8.2858995604871075E-3</v>
      </c>
      <c r="Z828">
        <f t="shared" si="75"/>
        <v>-3.9471795607866466E-3</v>
      </c>
      <c r="AE828">
        <f>W828-mu-theta*AE827</f>
        <v>3.1634886212407931E-5</v>
      </c>
      <c r="AF828">
        <f t="shared" si="77"/>
        <v>-1.4849117360525481E-3</v>
      </c>
      <c r="AG828">
        <f t="shared" si="77"/>
        <v>6.7443522766352628E-3</v>
      </c>
      <c r="AK828">
        <f t="shared" si="76"/>
        <v>1.0007660256719974E-9</v>
      </c>
    </row>
    <row r="829" spans="1:37" x14ac:dyDescent="0.3">
      <c r="A829" s="1">
        <v>45084</v>
      </c>
      <c r="B829">
        <v>1.0697000000000001</v>
      </c>
      <c r="C829">
        <v>1.2434000000000001</v>
      </c>
      <c r="D829">
        <v>140.11000000000001</v>
      </c>
      <c r="G829">
        <v>1.0697000000000001</v>
      </c>
      <c r="H829">
        <f t="shared" si="73"/>
        <v>1.0690999999999999</v>
      </c>
      <c r="I829">
        <f t="shared" si="73"/>
        <v>1.0711999999999999</v>
      </c>
      <c r="J829">
        <f t="shared" si="73"/>
        <v>1.0706</v>
      </c>
      <c r="L829">
        <f t="shared" si="72"/>
        <v>6.0000000000015596E-4</v>
      </c>
      <c r="W829">
        <f t="shared" si="74"/>
        <v>3.4376566640408092E-3</v>
      </c>
      <c r="X829">
        <f t="shared" si="75"/>
        <v>6.4497635086715934E-4</v>
      </c>
      <c r="Y829">
        <f t="shared" si="75"/>
        <v>-2.8583678719451599E-3</v>
      </c>
      <c r="Z829">
        <f t="shared" si="75"/>
        <v>8.2858995604871075E-3</v>
      </c>
      <c r="AE829">
        <f>W829-mu-theta*AE828</f>
        <v>3.190456227986999E-3</v>
      </c>
      <c r="AF829">
        <f t="shared" si="77"/>
        <v>3.1634886212407931E-5</v>
      </c>
      <c r="AG829">
        <f t="shared" si="77"/>
        <v>-1.4849117360525481E-3</v>
      </c>
      <c r="AK829">
        <f t="shared" si="76"/>
        <v>1.017901094270103E-5</v>
      </c>
    </row>
    <row r="830" spans="1:37" x14ac:dyDescent="0.3">
      <c r="A830" s="1">
        <v>45085</v>
      </c>
      <c r="B830">
        <v>1.0781000000000001</v>
      </c>
      <c r="C830">
        <v>1.2553000000000001</v>
      </c>
      <c r="D830">
        <v>138.91</v>
      </c>
      <c r="G830">
        <v>1.0781000000000001</v>
      </c>
      <c r="H830">
        <f t="shared" si="73"/>
        <v>1.0697000000000001</v>
      </c>
      <c r="I830">
        <f t="shared" si="73"/>
        <v>1.0690999999999999</v>
      </c>
      <c r="J830">
        <f t="shared" si="73"/>
        <v>1.0711999999999999</v>
      </c>
      <c r="L830">
        <f t="shared" si="72"/>
        <v>8.3999999999999631E-3</v>
      </c>
      <c r="W830">
        <f t="shared" si="74"/>
        <v>-8.5646991649419527E-3</v>
      </c>
      <c r="X830">
        <f t="shared" si="75"/>
        <v>3.4376566640408092E-3</v>
      </c>
      <c r="Y830">
        <f t="shared" si="75"/>
        <v>6.4497635086715934E-4</v>
      </c>
      <c r="Z830">
        <f t="shared" si="75"/>
        <v>-2.8583678719451599E-3</v>
      </c>
      <c r="AE830">
        <f>W830-mu-theta*AE829</f>
        <v>-8.0492629116491361E-3</v>
      </c>
      <c r="AF830">
        <f t="shared" si="77"/>
        <v>3.190456227986999E-3</v>
      </c>
      <c r="AG830">
        <f t="shared" si="77"/>
        <v>3.1634886212407931E-5</v>
      </c>
      <c r="AK830">
        <f t="shared" si="76"/>
        <v>6.4790633420850325E-5</v>
      </c>
    </row>
    <row r="831" spans="1:37" x14ac:dyDescent="0.3">
      <c r="A831" s="1">
        <v>45086</v>
      </c>
      <c r="B831">
        <v>1.0747</v>
      </c>
      <c r="C831">
        <v>1.2568999999999999</v>
      </c>
      <c r="D831">
        <v>139.34</v>
      </c>
      <c r="G831">
        <v>1.0747</v>
      </c>
      <c r="H831">
        <f t="shared" si="73"/>
        <v>1.0781000000000001</v>
      </c>
      <c r="I831">
        <f t="shared" si="73"/>
        <v>1.0697000000000001</v>
      </c>
      <c r="J831">
        <f t="shared" si="73"/>
        <v>1.0690999999999999</v>
      </c>
      <c r="L831">
        <f t="shared" si="72"/>
        <v>-3.4000000000000696E-3</v>
      </c>
      <c r="W831">
        <f t="shared" si="74"/>
        <v>3.0955294795191623E-3</v>
      </c>
      <c r="X831">
        <f t="shared" si="75"/>
        <v>-8.5646991649419527E-3</v>
      </c>
      <c r="Y831">
        <f t="shared" si="75"/>
        <v>3.4376566640408092E-3</v>
      </c>
      <c r="Z831">
        <f t="shared" si="75"/>
        <v>6.4497635086715934E-4</v>
      </c>
      <c r="AE831">
        <f>W831-mu-theta*AE830</f>
        <v>8.9735161336879001E-4</v>
      </c>
      <c r="AF831">
        <f t="shared" si="77"/>
        <v>-8.0492629116491361E-3</v>
      </c>
      <c r="AG831">
        <f t="shared" si="77"/>
        <v>3.190456227986999E-3</v>
      </c>
      <c r="AK831">
        <f t="shared" si="76"/>
        <v>8.0523991801557037E-7</v>
      </c>
    </row>
    <row r="832" spans="1:37" x14ac:dyDescent="0.3">
      <c r="A832" s="1">
        <v>45089</v>
      </c>
      <c r="B832">
        <v>1.0757000000000001</v>
      </c>
      <c r="C832">
        <v>1.2511000000000001</v>
      </c>
      <c r="D832">
        <v>139.6</v>
      </c>
      <c r="G832">
        <v>1.0757000000000001</v>
      </c>
      <c r="H832">
        <f t="shared" si="73"/>
        <v>1.0747</v>
      </c>
      <c r="I832">
        <f t="shared" si="73"/>
        <v>1.0781000000000001</v>
      </c>
      <c r="J832">
        <f t="shared" si="73"/>
        <v>1.0697000000000001</v>
      </c>
      <c r="L832">
        <f t="shared" si="72"/>
        <v>1.0000000000001119E-3</v>
      </c>
      <c r="W832">
        <f t="shared" si="74"/>
        <v>1.8659394287354018E-3</v>
      </c>
      <c r="X832">
        <f t="shared" si="75"/>
        <v>3.0955294795191623E-3</v>
      </c>
      <c r="Y832">
        <f t="shared" si="75"/>
        <v>-8.5646991649419527E-3</v>
      </c>
      <c r="Z832">
        <f t="shared" si="75"/>
        <v>3.4376566640408092E-3</v>
      </c>
      <c r="AE832">
        <f>W832-mu-theta*AE831</f>
        <v>1.8277496543417507E-3</v>
      </c>
      <c r="AF832">
        <f t="shared" si="77"/>
        <v>8.9735161336879001E-4</v>
      </c>
      <c r="AG832">
        <f t="shared" si="77"/>
        <v>-8.0492629116491361E-3</v>
      </c>
      <c r="AK832">
        <f t="shared" si="76"/>
        <v>3.3406687989463892E-6</v>
      </c>
    </row>
    <row r="833" spans="1:37" x14ac:dyDescent="0.3">
      <c r="A833" s="1">
        <v>45090</v>
      </c>
      <c r="B833">
        <v>1.0790999999999999</v>
      </c>
      <c r="C833">
        <v>1.2612000000000001</v>
      </c>
      <c r="D833">
        <v>140.21</v>
      </c>
      <c r="G833">
        <v>1.0790999999999999</v>
      </c>
      <c r="H833">
        <f t="shared" si="73"/>
        <v>1.0757000000000001</v>
      </c>
      <c r="I833">
        <f t="shared" si="73"/>
        <v>1.0747</v>
      </c>
      <c r="J833">
        <f t="shared" si="73"/>
        <v>1.0781000000000001</v>
      </c>
      <c r="L833">
        <f t="shared" si="72"/>
        <v>3.3999999999998476E-3</v>
      </c>
      <c r="W833">
        <f t="shared" si="74"/>
        <v>4.3696275071634216E-3</v>
      </c>
      <c r="X833">
        <f t="shared" si="75"/>
        <v>1.8659394287354018E-3</v>
      </c>
      <c r="Y833">
        <f t="shared" si="75"/>
        <v>3.0955294795191623E-3</v>
      </c>
      <c r="Z833">
        <f t="shared" si="75"/>
        <v>-8.5646991649419527E-3</v>
      </c>
      <c r="AE833">
        <f>W833-mu-theta*AE832</f>
        <v>4.5560644542492401E-3</v>
      </c>
      <c r="AF833">
        <f t="shared" si="77"/>
        <v>1.8277496543417507E-3</v>
      </c>
      <c r="AG833">
        <f t="shared" si="77"/>
        <v>8.9735161336879001E-4</v>
      </c>
      <c r="AK833">
        <f t="shared" si="76"/>
        <v>2.0757723311273426E-5</v>
      </c>
    </row>
    <row r="834" spans="1:37" x14ac:dyDescent="0.3">
      <c r="A834" s="1">
        <v>45091</v>
      </c>
      <c r="B834">
        <v>1.0831</v>
      </c>
      <c r="C834">
        <v>1.2661</v>
      </c>
      <c r="D834">
        <v>140.09</v>
      </c>
      <c r="G834">
        <v>1.0831</v>
      </c>
      <c r="H834">
        <f t="shared" si="73"/>
        <v>1.0790999999999999</v>
      </c>
      <c r="I834">
        <f t="shared" si="73"/>
        <v>1.0757000000000001</v>
      </c>
      <c r="J834">
        <f t="shared" si="73"/>
        <v>1.0747</v>
      </c>
      <c r="L834">
        <f t="shared" si="72"/>
        <v>4.0000000000000036E-3</v>
      </c>
      <c r="W834">
        <f t="shared" si="74"/>
        <v>-8.5585906854007947E-4</v>
      </c>
      <c r="X834">
        <f t="shared" si="75"/>
        <v>4.3696275071634216E-3</v>
      </c>
      <c r="Y834">
        <f t="shared" si="75"/>
        <v>1.8659394287354018E-3</v>
      </c>
      <c r="Z834">
        <f t="shared" si="75"/>
        <v>3.0955294795191623E-3</v>
      </c>
      <c r="AE834">
        <f>W834-mu-theta*AE833</f>
        <v>-1.0722960795834287E-5</v>
      </c>
      <c r="AF834">
        <f t="shared" si="77"/>
        <v>4.5560644542492401E-3</v>
      </c>
      <c r="AG834">
        <f t="shared" si="77"/>
        <v>1.8277496543417507E-3</v>
      </c>
      <c r="AK834">
        <f t="shared" si="76"/>
        <v>1.149818882289991E-10</v>
      </c>
    </row>
    <row r="835" spans="1:37" x14ac:dyDescent="0.3">
      <c r="A835" s="1">
        <v>45092</v>
      </c>
      <c r="B835">
        <v>1.0945</v>
      </c>
      <c r="C835">
        <v>1.2781</v>
      </c>
      <c r="D835">
        <v>140.27000000000001</v>
      </c>
      <c r="G835">
        <v>1.0945</v>
      </c>
      <c r="H835">
        <f t="shared" si="73"/>
        <v>1.0831</v>
      </c>
      <c r="I835">
        <f t="shared" si="73"/>
        <v>1.0790999999999999</v>
      </c>
      <c r="J835">
        <f t="shared" si="73"/>
        <v>1.0757000000000001</v>
      </c>
      <c r="L835">
        <f t="shared" si="72"/>
        <v>1.1400000000000077E-2</v>
      </c>
      <c r="W835">
        <f t="shared" si="74"/>
        <v>1.2848882861018404E-3</v>
      </c>
      <c r="X835">
        <f t="shared" si="75"/>
        <v>-8.5585906854007947E-4</v>
      </c>
      <c r="Y835">
        <f t="shared" si="75"/>
        <v>4.3696275071634216E-3</v>
      </c>
      <c r="Z835">
        <f t="shared" si="75"/>
        <v>1.8659394287354018E-3</v>
      </c>
      <c r="AE835">
        <f>W835-mu-theta*AE834</f>
        <v>1.0274613621542674E-3</v>
      </c>
      <c r="AF835">
        <f t="shared" si="77"/>
        <v>-1.0722960795834287E-5</v>
      </c>
      <c r="AG835">
        <f t="shared" si="77"/>
        <v>4.5560644542492401E-3</v>
      </c>
      <c r="AK835">
        <f t="shared" si="76"/>
        <v>1.0556768507199026E-6</v>
      </c>
    </row>
    <row r="836" spans="1:37" x14ac:dyDescent="0.3">
      <c r="A836" s="1">
        <v>45093</v>
      </c>
      <c r="B836">
        <v>1.0932999999999999</v>
      </c>
      <c r="C836">
        <v>1.2817000000000001</v>
      </c>
      <c r="D836">
        <v>141.82</v>
      </c>
      <c r="G836">
        <v>1.0932999999999999</v>
      </c>
      <c r="H836">
        <f t="shared" si="73"/>
        <v>1.0945</v>
      </c>
      <c r="I836">
        <f t="shared" si="73"/>
        <v>1.0831</v>
      </c>
      <c r="J836">
        <f t="shared" si="73"/>
        <v>1.0790999999999999</v>
      </c>
      <c r="L836">
        <f t="shared" si="72"/>
        <v>-1.2000000000000899E-3</v>
      </c>
      <c r="W836">
        <f t="shared" si="74"/>
        <v>1.105011763028433E-2</v>
      </c>
      <c r="X836">
        <f t="shared" si="75"/>
        <v>1.2848882861018404E-3</v>
      </c>
      <c r="Y836">
        <f t="shared" si="75"/>
        <v>-8.5585906854007947E-4</v>
      </c>
      <c r="Z836">
        <f t="shared" si="75"/>
        <v>4.3696275071634216E-3</v>
      </c>
      <c r="AE836">
        <f>W836-mu-theta*AE835</f>
        <v>1.1043340353569239E-2</v>
      </c>
      <c r="AF836">
        <f t="shared" si="77"/>
        <v>1.0274613621542674E-3</v>
      </c>
      <c r="AG836">
        <f t="shared" si="77"/>
        <v>-1.0722960795834287E-5</v>
      </c>
      <c r="AK836">
        <f t="shared" si="76"/>
        <v>1.2195536616477075E-4</v>
      </c>
    </row>
    <row r="837" spans="1:37" x14ac:dyDescent="0.3">
      <c r="A837" s="1">
        <v>45096</v>
      </c>
      <c r="B837">
        <v>1.0922000000000001</v>
      </c>
      <c r="C837">
        <v>1.2789999999999999</v>
      </c>
      <c r="D837">
        <v>141.97999999999999</v>
      </c>
      <c r="G837">
        <v>1.0922000000000001</v>
      </c>
      <c r="H837">
        <f t="shared" si="73"/>
        <v>1.0932999999999999</v>
      </c>
      <c r="I837">
        <f t="shared" si="73"/>
        <v>1.0945</v>
      </c>
      <c r="J837">
        <f t="shared" si="73"/>
        <v>1.0831</v>
      </c>
      <c r="L837">
        <f t="shared" si="72"/>
        <v>-1.0999999999998789E-3</v>
      </c>
      <c r="W837">
        <f t="shared" si="74"/>
        <v>1.1281906642222296E-3</v>
      </c>
      <c r="X837">
        <f t="shared" si="75"/>
        <v>1.105011763028433E-2</v>
      </c>
      <c r="Y837">
        <f t="shared" si="75"/>
        <v>1.2848882861018404E-3</v>
      </c>
      <c r="Z837">
        <f t="shared" si="75"/>
        <v>-8.5585906854007947E-4</v>
      </c>
      <c r="AE837">
        <f>W837-mu-theta*AE836</f>
        <v>3.5395548296622424E-3</v>
      </c>
      <c r="AF837">
        <f t="shared" si="77"/>
        <v>1.1043340353569239E-2</v>
      </c>
      <c r="AG837">
        <f t="shared" si="77"/>
        <v>1.0274613621542674E-3</v>
      </c>
      <c r="AK837">
        <f t="shared" si="76"/>
        <v>1.2528448392185306E-5</v>
      </c>
    </row>
    <row r="838" spans="1:37" x14ac:dyDescent="0.3">
      <c r="A838" s="1">
        <v>45097</v>
      </c>
      <c r="B838">
        <v>1.0915999999999999</v>
      </c>
      <c r="C838">
        <v>1.2761</v>
      </c>
      <c r="D838">
        <v>141.44</v>
      </c>
      <c r="G838">
        <v>1.0915999999999999</v>
      </c>
      <c r="H838">
        <f t="shared" si="73"/>
        <v>1.0922000000000001</v>
      </c>
      <c r="I838">
        <f t="shared" si="73"/>
        <v>1.0932999999999999</v>
      </c>
      <c r="J838">
        <f t="shared" si="73"/>
        <v>1.0945</v>
      </c>
      <c r="L838">
        <f t="shared" ref="L838:L901" si="78">G838-H838</f>
        <v>-6.0000000000015596E-4</v>
      </c>
      <c r="W838">
        <f t="shared" si="74"/>
        <v>-3.8033525848710529E-3</v>
      </c>
      <c r="X838">
        <f t="shared" si="75"/>
        <v>1.1281906642222296E-3</v>
      </c>
      <c r="Y838">
        <f t="shared" si="75"/>
        <v>1.105011763028433E-2</v>
      </c>
      <c r="Z838">
        <f t="shared" si="75"/>
        <v>1.2848882861018404E-3</v>
      </c>
      <c r="AE838">
        <f>W838-mu-theta*AE837</f>
        <v>-3.2036331851032374E-3</v>
      </c>
      <c r="AF838">
        <f t="shared" si="77"/>
        <v>3.5395548296622424E-3</v>
      </c>
      <c r="AG838">
        <f t="shared" si="77"/>
        <v>1.1043340353569239E-2</v>
      </c>
      <c r="AK838">
        <f t="shared" si="76"/>
        <v>1.0263265584694714E-5</v>
      </c>
    </row>
    <row r="839" spans="1:37" x14ac:dyDescent="0.3">
      <c r="A839" s="1">
        <v>45098</v>
      </c>
      <c r="B839">
        <v>1.0984</v>
      </c>
      <c r="C839">
        <v>1.2768999999999999</v>
      </c>
      <c r="D839">
        <v>141.88</v>
      </c>
      <c r="G839">
        <v>1.0984</v>
      </c>
      <c r="H839">
        <f t="shared" ref="H839:J902" si="79">G838</f>
        <v>1.0915999999999999</v>
      </c>
      <c r="I839">
        <f t="shared" si="79"/>
        <v>1.0922000000000001</v>
      </c>
      <c r="J839">
        <f t="shared" si="79"/>
        <v>1.0932999999999999</v>
      </c>
      <c r="L839">
        <f t="shared" si="78"/>
        <v>6.8000000000001393E-3</v>
      </c>
      <c r="W839">
        <f t="shared" ref="W839:W902" si="80">(D839-D838)/D838</f>
        <v>3.1108597285067715E-3</v>
      </c>
      <c r="X839">
        <f t="shared" si="75"/>
        <v>-3.8033525848710529E-3</v>
      </c>
      <c r="Y839">
        <f t="shared" si="75"/>
        <v>1.1281906642222296E-3</v>
      </c>
      <c r="Z839">
        <f t="shared" si="75"/>
        <v>1.105011763028433E-2</v>
      </c>
      <c r="AE839">
        <f>W839-mu-theta*AE838</f>
        <v>2.0825660098329046E-3</v>
      </c>
      <c r="AF839">
        <f t="shared" si="77"/>
        <v>-3.2036331851032374E-3</v>
      </c>
      <c r="AG839">
        <f t="shared" si="77"/>
        <v>3.5395548296622424E-3</v>
      </c>
      <c r="AK839">
        <f t="shared" si="76"/>
        <v>4.3370811853113458E-6</v>
      </c>
    </row>
    <row r="840" spans="1:37" x14ac:dyDescent="0.3">
      <c r="A840" s="1">
        <v>45099</v>
      </c>
      <c r="B840">
        <v>1.0955999999999999</v>
      </c>
      <c r="C840">
        <v>1.2746</v>
      </c>
      <c r="D840">
        <v>143.11000000000001</v>
      </c>
      <c r="G840">
        <v>1.0955999999999999</v>
      </c>
      <c r="H840">
        <f t="shared" si="79"/>
        <v>1.0984</v>
      </c>
      <c r="I840">
        <f t="shared" si="79"/>
        <v>1.0915999999999999</v>
      </c>
      <c r="J840">
        <f t="shared" si="79"/>
        <v>1.0922000000000001</v>
      </c>
      <c r="L840">
        <f t="shared" si="78"/>
        <v>-2.8000000000001357E-3</v>
      </c>
      <c r="W840">
        <f t="shared" si="80"/>
        <v>8.6692979983085585E-3</v>
      </c>
      <c r="X840">
        <f t="shared" ref="X840:Z903" si="81">W839</f>
        <v>3.1108597285067715E-3</v>
      </c>
      <c r="Y840">
        <f t="shared" si="81"/>
        <v>-3.8033525848710529E-3</v>
      </c>
      <c r="Z840">
        <f t="shared" si="81"/>
        <v>1.1281906642222296E-3</v>
      </c>
      <c r="AE840">
        <f>W840-mu-theta*AE839</f>
        <v>8.9172554559636685E-3</v>
      </c>
      <c r="AF840">
        <f t="shared" si="77"/>
        <v>2.0825660098329046E-3</v>
      </c>
      <c r="AG840">
        <f t="shared" si="77"/>
        <v>-3.2036331851032374E-3</v>
      </c>
      <c r="AK840">
        <f t="shared" ref="AK840:AK903" si="82">POWER(AE840,2)</f>
        <v>7.9517444866913819E-5</v>
      </c>
    </row>
    <row r="841" spans="1:37" x14ac:dyDescent="0.3">
      <c r="A841" s="1">
        <v>45100</v>
      </c>
      <c r="B841">
        <v>1.0889</v>
      </c>
      <c r="C841">
        <v>1.2710999999999999</v>
      </c>
      <c r="D841">
        <v>143.68</v>
      </c>
      <c r="G841">
        <v>1.0889</v>
      </c>
      <c r="H841">
        <f t="shared" si="79"/>
        <v>1.0955999999999999</v>
      </c>
      <c r="I841">
        <f t="shared" si="79"/>
        <v>1.0984</v>
      </c>
      <c r="J841">
        <f t="shared" si="79"/>
        <v>1.0915999999999999</v>
      </c>
      <c r="L841">
        <f t="shared" si="78"/>
        <v>-6.6999999999999282E-3</v>
      </c>
      <c r="W841">
        <f t="shared" si="80"/>
        <v>3.9829501781845651E-3</v>
      </c>
      <c r="X841">
        <f t="shared" si="81"/>
        <v>8.6692979983085585E-3</v>
      </c>
      <c r="Y841">
        <f t="shared" si="81"/>
        <v>3.1108597285067715E-3</v>
      </c>
      <c r="Z841">
        <f t="shared" si="81"/>
        <v>-3.8033525848710529E-3</v>
      </c>
      <c r="AE841">
        <f>W841-mu-theta*AE840</f>
        <v>5.8810120159060782E-3</v>
      </c>
      <c r="AF841">
        <f t="shared" ref="AF841:AG904" si="83">AE840</f>
        <v>8.9172554559636685E-3</v>
      </c>
      <c r="AG841">
        <f t="shared" si="83"/>
        <v>2.0825660098329046E-3</v>
      </c>
      <c r="AK841">
        <f t="shared" si="82"/>
        <v>3.4586302331231675E-5</v>
      </c>
    </row>
    <row r="842" spans="1:37" x14ac:dyDescent="0.3">
      <c r="A842" s="1">
        <v>45103</v>
      </c>
      <c r="B842">
        <v>1.0904</v>
      </c>
      <c r="C842">
        <v>1.2712000000000001</v>
      </c>
      <c r="D842">
        <v>143.5</v>
      </c>
      <c r="G842">
        <v>1.0904</v>
      </c>
      <c r="H842">
        <f t="shared" si="79"/>
        <v>1.0889</v>
      </c>
      <c r="I842">
        <f t="shared" si="79"/>
        <v>1.0955999999999999</v>
      </c>
      <c r="J842">
        <f t="shared" si="79"/>
        <v>1.0984</v>
      </c>
      <c r="L842">
        <f t="shared" si="78"/>
        <v>1.5000000000000568E-3</v>
      </c>
      <c r="W842">
        <f t="shared" si="80"/>
        <v>-1.2527839643653035E-3</v>
      </c>
      <c r="X842">
        <f t="shared" si="81"/>
        <v>3.9829501781845651E-3</v>
      </c>
      <c r="Y842">
        <f t="shared" si="81"/>
        <v>8.6692979983085585E-3</v>
      </c>
      <c r="Z842">
        <f t="shared" si="81"/>
        <v>3.1108597285067715E-3</v>
      </c>
      <c r="AE842">
        <f>W842-mu-theta*AE841</f>
        <v>-8.7764737998023744E-5</v>
      </c>
      <c r="AF842">
        <f t="shared" si="83"/>
        <v>5.8810120159060782E-3</v>
      </c>
      <c r="AG842">
        <f t="shared" si="83"/>
        <v>8.9172554559636685E-3</v>
      </c>
      <c r="AK842">
        <f t="shared" si="82"/>
        <v>7.7026492358617523E-9</v>
      </c>
    </row>
    <row r="843" spans="1:37" x14ac:dyDescent="0.3">
      <c r="A843" s="1">
        <v>45104</v>
      </c>
      <c r="B843">
        <v>1.0959000000000001</v>
      </c>
      <c r="C843">
        <v>1.2746</v>
      </c>
      <c r="D843">
        <v>144.07</v>
      </c>
      <c r="G843">
        <v>1.0959000000000001</v>
      </c>
      <c r="H843">
        <f t="shared" si="79"/>
        <v>1.0904</v>
      </c>
      <c r="I843">
        <f t="shared" si="79"/>
        <v>1.0889</v>
      </c>
      <c r="J843">
        <f t="shared" si="79"/>
        <v>1.0955999999999999</v>
      </c>
      <c r="L843">
        <f t="shared" si="78"/>
        <v>5.5000000000000604E-3</v>
      </c>
      <c r="W843">
        <f t="shared" si="80"/>
        <v>3.9721254355400224E-3</v>
      </c>
      <c r="X843">
        <f t="shared" si="81"/>
        <v>-1.2527839643653035E-3</v>
      </c>
      <c r="Y843">
        <f t="shared" si="81"/>
        <v>3.9829501781845651E-3</v>
      </c>
      <c r="Z843">
        <f t="shared" si="81"/>
        <v>8.6692979983085585E-3</v>
      </c>
      <c r="AE843">
        <f>W843-mu-theta*AE842</f>
        <v>3.6960982555001407E-3</v>
      </c>
      <c r="AF843">
        <f t="shared" si="83"/>
        <v>-8.7764737998023744E-5</v>
      </c>
      <c r="AG843">
        <f t="shared" si="83"/>
        <v>5.8810120159060782E-3</v>
      </c>
      <c r="AK843">
        <f t="shared" si="82"/>
        <v>1.3661142314311182E-5</v>
      </c>
    </row>
    <row r="844" spans="1:37" x14ac:dyDescent="0.3">
      <c r="A844" s="1">
        <v>45105</v>
      </c>
      <c r="B844">
        <v>1.0911</v>
      </c>
      <c r="C844">
        <v>1.264</v>
      </c>
      <c r="D844">
        <v>144.46</v>
      </c>
      <c r="G844">
        <v>1.0911</v>
      </c>
      <c r="H844">
        <f t="shared" si="79"/>
        <v>1.0959000000000001</v>
      </c>
      <c r="I844">
        <f t="shared" si="79"/>
        <v>1.0904</v>
      </c>
      <c r="J844">
        <f t="shared" si="79"/>
        <v>1.0889</v>
      </c>
      <c r="L844">
        <f t="shared" si="78"/>
        <v>-4.8000000000001375E-3</v>
      </c>
      <c r="W844">
        <f t="shared" si="80"/>
        <v>2.7070174220865883E-3</v>
      </c>
      <c r="X844">
        <f t="shared" si="81"/>
        <v>3.9721254355400224E-3</v>
      </c>
      <c r="Y844">
        <f t="shared" si="81"/>
        <v>-1.2527839643653035E-3</v>
      </c>
      <c r="Z844">
        <f t="shared" si="81"/>
        <v>3.9829501781845651E-3</v>
      </c>
      <c r="AE844">
        <f>W844-mu-theta*AE843</f>
        <v>3.3445312227092881E-3</v>
      </c>
      <c r="AF844">
        <f t="shared" si="83"/>
        <v>3.6960982555001407E-3</v>
      </c>
      <c r="AG844">
        <f t="shared" si="83"/>
        <v>-8.7764737998023744E-5</v>
      </c>
      <c r="AK844">
        <f t="shared" si="82"/>
        <v>1.1185889099677286E-5</v>
      </c>
    </row>
    <row r="845" spans="1:37" x14ac:dyDescent="0.3">
      <c r="A845" s="1">
        <v>45106</v>
      </c>
      <c r="B845">
        <v>1.0864</v>
      </c>
      <c r="C845">
        <v>1.2612000000000001</v>
      </c>
      <c r="D845">
        <v>144.77000000000001</v>
      </c>
      <c r="G845">
        <v>1.0864</v>
      </c>
      <c r="H845">
        <f t="shared" si="79"/>
        <v>1.0911</v>
      </c>
      <c r="I845">
        <f t="shared" si="79"/>
        <v>1.0959000000000001</v>
      </c>
      <c r="J845">
        <f t="shared" si="79"/>
        <v>1.0904</v>
      </c>
      <c r="L845">
        <f t="shared" si="78"/>
        <v>-4.6999999999999265E-3</v>
      </c>
      <c r="W845">
        <f t="shared" si="80"/>
        <v>2.1459227467811315E-3</v>
      </c>
      <c r="X845">
        <f t="shared" si="81"/>
        <v>2.7070174220865883E-3</v>
      </c>
      <c r="Y845">
        <f t="shared" si="81"/>
        <v>3.9721254355400224E-3</v>
      </c>
      <c r="Z845">
        <f t="shared" si="81"/>
        <v>-1.2527839643653035E-3</v>
      </c>
      <c r="AE845">
        <f>W845-mu-theta*AE844</f>
        <v>2.698557445687871E-3</v>
      </c>
      <c r="AF845">
        <f t="shared" si="83"/>
        <v>3.3445312227092881E-3</v>
      </c>
      <c r="AG845">
        <f t="shared" si="83"/>
        <v>3.6960982555001407E-3</v>
      </c>
      <c r="AK845">
        <f t="shared" si="82"/>
        <v>7.2822122876774473E-6</v>
      </c>
    </row>
    <row r="846" spans="1:37" x14ac:dyDescent="0.3">
      <c r="A846" s="1">
        <v>45107</v>
      </c>
      <c r="B846">
        <v>1.091</v>
      </c>
      <c r="C846">
        <v>1.2704</v>
      </c>
      <c r="D846">
        <v>144.32</v>
      </c>
      <c r="G846">
        <v>1.091</v>
      </c>
      <c r="H846">
        <f t="shared" si="79"/>
        <v>1.0864</v>
      </c>
      <c r="I846">
        <f t="shared" si="79"/>
        <v>1.0911</v>
      </c>
      <c r="J846">
        <f t="shared" si="79"/>
        <v>1.0959000000000001</v>
      </c>
      <c r="L846">
        <f t="shared" si="78"/>
        <v>4.5999999999999375E-3</v>
      </c>
      <c r="W846">
        <f t="shared" si="80"/>
        <v>-3.108378807764157E-3</v>
      </c>
      <c r="X846">
        <f t="shared" si="81"/>
        <v>2.1459227467811315E-3</v>
      </c>
      <c r="Y846">
        <f t="shared" si="81"/>
        <v>2.7070174220865883E-3</v>
      </c>
      <c r="Z846">
        <f t="shared" si="81"/>
        <v>3.9721254355400224E-3</v>
      </c>
      <c r="AE846">
        <f>W846-mu-theta*AE845</f>
        <v>-2.7117020594376764E-3</v>
      </c>
      <c r="AF846">
        <f t="shared" si="83"/>
        <v>2.698557445687871E-3</v>
      </c>
      <c r="AG846">
        <f t="shared" si="83"/>
        <v>3.3445312227092881E-3</v>
      </c>
      <c r="AK846">
        <f t="shared" si="82"/>
        <v>7.3533280591585356E-6</v>
      </c>
    </row>
    <row r="847" spans="1:37" x14ac:dyDescent="0.3">
      <c r="A847" s="1">
        <v>45110</v>
      </c>
      <c r="B847">
        <v>1.0911</v>
      </c>
      <c r="C847">
        <v>1.2690999999999999</v>
      </c>
      <c r="D847">
        <v>144.66</v>
      </c>
      <c r="G847">
        <v>1.0911</v>
      </c>
      <c r="H847">
        <f t="shared" si="79"/>
        <v>1.091</v>
      </c>
      <c r="I847">
        <f t="shared" si="79"/>
        <v>1.0864</v>
      </c>
      <c r="J847">
        <f t="shared" si="79"/>
        <v>1.0911</v>
      </c>
      <c r="L847">
        <f t="shared" si="78"/>
        <v>9.9999999999988987E-5</v>
      </c>
      <c r="W847">
        <f t="shared" si="80"/>
        <v>2.3558758314856112E-3</v>
      </c>
      <c r="X847">
        <f t="shared" si="81"/>
        <v>-3.108378807764157E-3</v>
      </c>
      <c r="Y847">
        <f t="shared" si="81"/>
        <v>2.1459227467811315E-3</v>
      </c>
      <c r="Z847">
        <f t="shared" si="81"/>
        <v>2.7070174220865883E-3</v>
      </c>
      <c r="AE847">
        <f>W847-mu-theta*AE846</f>
        <v>1.4463494264621514E-3</v>
      </c>
      <c r="AF847">
        <f t="shared" si="83"/>
        <v>-2.7117020594376764E-3</v>
      </c>
      <c r="AG847">
        <f t="shared" si="83"/>
        <v>2.698557445687871E-3</v>
      </c>
      <c r="AK847">
        <f t="shared" si="82"/>
        <v>2.0919266634273943E-6</v>
      </c>
    </row>
    <row r="848" spans="1:37" x14ac:dyDescent="0.3">
      <c r="A848" s="1">
        <v>45111</v>
      </c>
      <c r="B848">
        <v>1.0876999999999999</v>
      </c>
      <c r="C848">
        <v>1.2712000000000001</v>
      </c>
      <c r="D848">
        <v>144.44999999999999</v>
      </c>
      <c r="G848">
        <v>1.0876999999999999</v>
      </c>
      <c r="H848">
        <f t="shared" si="79"/>
        <v>1.0911</v>
      </c>
      <c r="I848">
        <f t="shared" si="79"/>
        <v>1.091</v>
      </c>
      <c r="J848">
        <f t="shared" si="79"/>
        <v>1.0864</v>
      </c>
      <c r="L848">
        <f t="shared" si="78"/>
        <v>-3.4000000000000696E-3</v>
      </c>
      <c r="W848">
        <f t="shared" si="80"/>
        <v>-1.4516798009125394E-3</v>
      </c>
      <c r="X848">
        <f t="shared" si="81"/>
        <v>2.3558758314856112E-3</v>
      </c>
      <c r="Y848">
        <f t="shared" si="81"/>
        <v>-3.108378807764157E-3</v>
      </c>
      <c r="Z848">
        <f t="shared" si="81"/>
        <v>2.1459227467811315E-3</v>
      </c>
      <c r="AE848">
        <f>W848-mu-theta*AE847</f>
        <v>-1.3573246069982186E-3</v>
      </c>
      <c r="AF848">
        <f t="shared" si="83"/>
        <v>1.4463494264621514E-3</v>
      </c>
      <c r="AG848">
        <f t="shared" si="83"/>
        <v>-2.7117020594376764E-3</v>
      </c>
      <c r="AK848">
        <f t="shared" si="82"/>
        <v>1.8423300887628688E-6</v>
      </c>
    </row>
    <row r="849" spans="1:37" x14ac:dyDescent="0.3">
      <c r="A849" s="1">
        <v>45112</v>
      </c>
      <c r="B849">
        <v>1.0851</v>
      </c>
      <c r="C849">
        <v>1.2704</v>
      </c>
      <c r="D849">
        <v>144.63999999999999</v>
      </c>
      <c r="G849">
        <v>1.0851</v>
      </c>
      <c r="H849">
        <f t="shared" si="79"/>
        <v>1.0876999999999999</v>
      </c>
      <c r="I849">
        <f t="shared" si="79"/>
        <v>1.0911</v>
      </c>
      <c r="J849">
        <f t="shared" si="79"/>
        <v>1.091</v>
      </c>
      <c r="L849">
        <f t="shared" si="78"/>
        <v>-2.5999999999999357E-3</v>
      </c>
      <c r="W849">
        <f t="shared" si="80"/>
        <v>1.3153340256143839E-3</v>
      </c>
      <c r="X849">
        <f t="shared" si="81"/>
        <v>-1.4516798009125394E-3</v>
      </c>
      <c r="Y849">
        <f t="shared" si="81"/>
        <v>2.3558758314856112E-3</v>
      </c>
      <c r="Z849">
        <f t="shared" si="81"/>
        <v>-3.108378807764157E-3</v>
      </c>
      <c r="AE849">
        <f>W849-mu-theta*AE848</f>
        <v>7.3279602059770461E-4</v>
      </c>
      <c r="AF849">
        <f t="shared" si="83"/>
        <v>-1.3573246069982186E-3</v>
      </c>
      <c r="AG849">
        <f t="shared" si="83"/>
        <v>1.4463494264621514E-3</v>
      </c>
      <c r="AK849">
        <f t="shared" si="82"/>
        <v>5.3699000780383148E-7</v>
      </c>
    </row>
    <row r="850" spans="1:37" x14ac:dyDescent="0.3">
      <c r="A850" s="1">
        <v>45113</v>
      </c>
      <c r="B850">
        <v>1.0887</v>
      </c>
      <c r="C850">
        <v>1.274</v>
      </c>
      <c r="D850">
        <v>144.06</v>
      </c>
      <c r="G850">
        <v>1.0887</v>
      </c>
      <c r="H850">
        <f t="shared" si="79"/>
        <v>1.0851</v>
      </c>
      <c r="I850">
        <f t="shared" si="79"/>
        <v>1.0876999999999999</v>
      </c>
      <c r="J850">
        <f t="shared" si="79"/>
        <v>1.0911</v>
      </c>
      <c r="L850">
        <f t="shared" si="78"/>
        <v>3.6000000000000476E-3</v>
      </c>
      <c r="W850">
        <f t="shared" si="80"/>
        <v>-4.0099557522122794E-3</v>
      </c>
      <c r="X850">
        <f t="shared" si="81"/>
        <v>1.3153340256143839E-3</v>
      </c>
      <c r="Y850">
        <f t="shared" si="81"/>
        <v>-1.4516798009125394E-3</v>
      </c>
      <c r="Z850">
        <f t="shared" si="81"/>
        <v>2.3558758314856112E-3</v>
      </c>
      <c r="AE850">
        <f>W850-mu-theta*AE849</f>
        <v>-4.0878743111448842E-3</v>
      </c>
      <c r="AF850">
        <f t="shared" si="83"/>
        <v>7.3279602059770461E-4</v>
      </c>
      <c r="AG850">
        <f t="shared" si="83"/>
        <v>-1.3573246069982186E-3</v>
      </c>
      <c r="AK850">
        <f t="shared" si="82"/>
        <v>1.6710716383718261E-5</v>
      </c>
    </row>
    <row r="851" spans="1:37" x14ac:dyDescent="0.3">
      <c r="A851" s="1">
        <v>45114</v>
      </c>
      <c r="B851">
        <v>1.0967</v>
      </c>
      <c r="C851">
        <v>1.2836000000000001</v>
      </c>
      <c r="D851">
        <v>142.07</v>
      </c>
      <c r="G851">
        <v>1.0967</v>
      </c>
      <c r="H851">
        <f t="shared" si="79"/>
        <v>1.0887</v>
      </c>
      <c r="I851">
        <f t="shared" si="79"/>
        <v>1.0851</v>
      </c>
      <c r="J851">
        <f t="shared" si="79"/>
        <v>1.0876999999999999</v>
      </c>
      <c r="L851">
        <f t="shared" si="78"/>
        <v>8.0000000000000071E-3</v>
      </c>
      <c r="W851">
        <f t="shared" si="80"/>
        <v>-1.3813688740802507E-2</v>
      </c>
      <c r="X851">
        <f t="shared" si="81"/>
        <v>-4.0099557522122794E-3</v>
      </c>
      <c r="Y851">
        <f t="shared" si="81"/>
        <v>1.3153340256143839E-3</v>
      </c>
      <c r="Z851">
        <f t="shared" si="81"/>
        <v>-1.4516798009125394E-3</v>
      </c>
      <c r="AE851">
        <f>W851-mu-theta*AE850</f>
        <v>-1.5055465481143464E-2</v>
      </c>
      <c r="AF851">
        <f t="shared" si="83"/>
        <v>-4.0878743111448842E-3</v>
      </c>
      <c r="AG851">
        <f t="shared" si="83"/>
        <v>7.3279602059770461E-4</v>
      </c>
      <c r="AK851">
        <f t="shared" si="82"/>
        <v>2.266670408539024E-4</v>
      </c>
    </row>
    <row r="852" spans="1:37" x14ac:dyDescent="0.3">
      <c r="A852" s="1">
        <v>45117</v>
      </c>
      <c r="B852">
        <v>1.0999000000000001</v>
      </c>
      <c r="C852">
        <v>1.2859</v>
      </c>
      <c r="D852">
        <v>141.31</v>
      </c>
      <c r="G852">
        <v>1.0999000000000001</v>
      </c>
      <c r="H852">
        <f t="shared" si="79"/>
        <v>1.0967</v>
      </c>
      <c r="I852">
        <f t="shared" si="79"/>
        <v>1.0887</v>
      </c>
      <c r="J852">
        <f t="shared" si="79"/>
        <v>1.0851</v>
      </c>
      <c r="L852">
        <f t="shared" si="78"/>
        <v>3.2000000000000917E-3</v>
      </c>
      <c r="W852">
        <f t="shared" si="80"/>
        <v>-5.3494756106144221E-3</v>
      </c>
      <c r="X852">
        <f t="shared" si="81"/>
        <v>-1.3813688740802507E-2</v>
      </c>
      <c r="Y852">
        <f t="shared" si="81"/>
        <v>-4.0099557522122794E-3</v>
      </c>
      <c r="Z852">
        <f t="shared" si="81"/>
        <v>1.3153340256143839E-3</v>
      </c>
      <c r="AE852">
        <f>W852-mu-theta*AE851</f>
        <v>-9.2391664033835662E-3</v>
      </c>
      <c r="AF852">
        <f t="shared" si="83"/>
        <v>-1.5055465481143464E-2</v>
      </c>
      <c r="AG852">
        <f t="shared" si="83"/>
        <v>-4.0878743111448842E-3</v>
      </c>
      <c r="AK852">
        <f t="shared" si="82"/>
        <v>8.536219582941162E-5</v>
      </c>
    </row>
    <row r="853" spans="1:37" x14ac:dyDescent="0.3">
      <c r="A853" s="1">
        <v>45118</v>
      </c>
      <c r="B853">
        <v>1.1006</v>
      </c>
      <c r="C853">
        <v>1.2931999999999999</v>
      </c>
      <c r="D853">
        <v>140.37</v>
      </c>
      <c r="G853">
        <v>1.1006</v>
      </c>
      <c r="H853">
        <f t="shared" si="79"/>
        <v>1.0999000000000001</v>
      </c>
      <c r="I853">
        <f t="shared" si="79"/>
        <v>1.0967</v>
      </c>
      <c r="J853">
        <f t="shared" si="79"/>
        <v>1.0887</v>
      </c>
      <c r="L853">
        <f t="shared" si="78"/>
        <v>6.9999999999992291E-4</v>
      </c>
      <c r="W853">
        <f t="shared" si="80"/>
        <v>-6.6520416106432504E-3</v>
      </c>
      <c r="X853">
        <f t="shared" si="81"/>
        <v>-5.3494756106144221E-3</v>
      </c>
      <c r="Y853">
        <f t="shared" si="81"/>
        <v>-1.3813688740802507E-2</v>
      </c>
      <c r="Z853">
        <f t="shared" si="81"/>
        <v>-4.0099557522122794E-3</v>
      </c>
      <c r="AE853">
        <f>W853-mu-theta*AE852</f>
        <v>-9.1374988007545434E-3</v>
      </c>
      <c r="AF853">
        <f t="shared" si="83"/>
        <v>-9.2391664033835662E-3</v>
      </c>
      <c r="AG853">
        <f t="shared" si="83"/>
        <v>-1.5055465481143464E-2</v>
      </c>
      <c r="AK853">
        <f t="shared" si="82"/>
        <v>8.3493884333790721E-5</v>
      </c>
    </row>
    <row r="854" spans="1:37" x14ac:dyDescent="0.3">
      <c r="A854" s="1">
        <v>45119</v>
      </c>
      <c r="B854">
        <v>1.1128</v>
      </c>
      <c r="C854">
        <v>1.2986</v>
      </c>
      <c r="D854">
        <v>138.5</v>
      </c>
      <c r="G854">
        <v>1.1128</v>
      </c>
      <c r="H854">
        <f t="shared" si="79"/>
        <v>1.1006</v>
      </c>
      <c r="I854">
        <f t="shared" si="79"/>
        <v>1.0999000000000001</v>
      </c>
      <c r="J854">
        <f t="shared" si="79"/>
        <v>1.0967</v>
      </c>
      <c r="L854">
        <f t="shared" si="78"/>
        <v>1.2199999999999989E-2</v>
      </c>
      <c r="W854">
        <f t="shared" si="80"/>
        <v>-1.3321934886371763E-2</v>
      </c>
      <c r="X854">
        <f t="shared" si="81"/>
        <v>-6.6520416106432504E-3</v>
      </c>
      <c r="Y854">
        <f t="shared" si="81"/>
        <v>-5.3494756106144221E-3</v>
      </c>
      <c r="Z854">
        <f t="shared" si="81"/>
        <v>-1.3813688740802507E-2</v>
      </c>
      <c r="AE854">
        <f>W854-mu-theta*AE853</f>
        <v>-1.5782846388236172E-2</v>
      </c>
      <c r="AF854">
        <f t="shared" si="83"/>
        <v>-9.1374988007545434E-3</v>
      </c>
      <c r="AG854">
        <f t="shared" si="83"/>
        <v>-9.2391664033835662E-3</v>
      </c>
      <c r="AK854">
        <f t="shared" si="82"/>
        <v>2.4909824011465961E-4</v>
      </c>
    </row>
    <row r="855" spans="1:37" x14ac:dyDescent="0.3">
      <c r="A855" s="1">
        <v>45120</v>
      </c>
      <c r="B855">
        <v>1.1224000000000001</v>
      </c>
      <c r="C855">
        <v>1.3132999999999999</v>
      </c>
      <c r="D855">
        <v>138.03</v>
      </c>
      <c r="G855">
        <v>1.1224000000000001</v>
      </c>
      <c r="H855">
        <f t="shared" si="79"/>
        <v>1.1128</v>
      </c>
      <c r="I855">
        <f t="shared" si="79"/>
        <v>1.1006</v>
      </c>
      <c r="J855">
        <f t="shared" si="79"/>
        <v>1.0999000000000001</v>
      </c>
      <c r="L855">
        <f t="shared" si="78"/>
        <v>9.6000000000000529E-3</v>
      </c>
      <c r="W855">
        <f t="shared" si="80"/>
        <v>-3.3935018050541433E-3</v>
      </c>
      <c r="X855">
        <f t="shared" si="81"/>
        <v>-1.3321934886371763E-2</v>
      </c>
      <c r="Y855">
        <f t="shared" si="81"/>
        <v>-6.6520416106432504E-3</v>
      </c>
      <c r="Z855">
        <f t="shared" si="81"/>
        <v>-5.3494756106144221E-3</v>
      </c>
      <c r="AE855">
        <f>W855-mu-theta*AE854</f>
        <v>-7.4588047350287075E-3</v>
      </c>
      <c r="AF855">
        <f t="shared" si="83"/>
        <v>-1.5782846388236172E-2</v>
      </c>
      <c r="AG855">
        <f t="shared" si="83"/>
        <v>-9.1374988007545434E-3</v>
      </c>
      <c r="AK855">
        <f t="shared" si="82"/>
        <v>5.5633768075286669E-5</v>
      </c>
    </row>
    <row r="856" spans="1:37" x14ac:dyDescent="0.3">
      <c r="A856" s="1">
        <v>45121</v>
      </c>
      <c r="B856">
        <v>1.1227</v>
      </c>
      <c r="C856">
        <v>1.3086</v>
      </c>
      <c r="D856">
        <v>138.72999999999999</v>
      </c>
      <c r="G856">
        <v>1.1227</v>
      </c>
      <c r="H856">
        <f t="shared" si="79"/>
        <v>1.1224000000000001</v>
      </c>
      <c r="I856">
        <f t="shared" si="79"/>
        <v>1.1128</v>
      </c>
      <c r="J856">
        <f t="shared" si="79"/>
        <v>1.1006</v>
      </c>
      <c r="L856">
        <f t="shared" si="78"/>
        <v>2.9999999999996696E-4</v>
      </c>
      <c r="W856">
        <f t="shared" si="80"/>
        <v>5.0713612982684099E-3</v>
      </c>
      <c r="X856">
        <f t="shared" si="81"/>
        <v>-3.3935018050541433E-3</v>
      </c>
      <c r="Y856">
        <f t="shared" si="81"/>
        <v>-1.3321934886371763E-2</v>
      </c>
      <c r="Z856">
        <f t="shared" si="81"/>
        <v>-6.6520416106432504E-3</v>
      </c>
      <c r="AE856">
        <f>W856-mu-theta*AE855</f>
        <v>3.0157382081860227E-3</v>
      </c>
      <c r="AF856">
        <f t="shared" si="83"/>
        <v>-7.4588047350287075E-3</v>
      </c>
      <c r="AG856">
        <f t="shared" si="83"/>
        <v>-1.5782846388236172E-2</v>
      </c>
      <c r="AK856">
        <f t="shared" si="82"/>
        <v>9.0946769403130423E-6</v>
      </c>
    </row>
    <row r="857" spans="1:37" x14ac:dyDescent="0.3">
      <c r="A857" s="1">
        <v>45124</v>
      </c>
      <c r="B857">
        <v>1.1234</v>
      </c>
      <c r="C857">
        <v>1.3070999999999999</v>
      </c>
      <c r="D857">
        <v>138.71</v>
      </c>
      <c r="G857">
        <v>1.1234</v>
      </c>
      <c r="H857">
        <f t="shared" si="79"/>
        <v>1.1227</v>
      </c>
      <c r="I857">
        <f t="shared" si="79"/>
        <v>1.1224000000000001</v>
      </c>
      <c r="J857">
        <f t="shared" si="79"/>
        <v>1.1128</v>
      </c>
      <c r="L857">
        <f t="shared" si="78"/>
        <v>6.9999999999992291E-4</v>
      </c>
      <c r="W857">
        <f t="shared" si="80"/>
        <v>-1.4416492467369575E-4</v>
      </c>
      <c r="X857">
        <f t="shared" si="81"/>
        <v>5.0713612982684099E-3</v>
      </c>
      <c r="Y857">
        <f t="shared" si="81"/>
        <v>-3.3935018050541433E-3</v>
      </c>
      <c r="Z857">
        <f t="shared" si="81"/>
        <v>-1.3321934886371763E-2</v>
      </c>
      <c r="AE857">
        <f>W857-mu-theta*AE856</f>
        <v>3.290890214312877E-4</v>
      </c>
      <c r="AF857">
        <f t="shared" si="83"/>
        <v>3.0157382081860227E-3</v>
      </c>
      <c r="AG857">
        <f t="shared" si="83"/>
        <v>-7.4588047350287075E-3</v>
      </c>
      <c r="AK857">
        <f t="shared" si="82"/>
        <v>1.0829958402660254E-7</v>
      </c>
    </row>
    <row r="858" spans="1:37" x14ac:dyDescent="0.3">
      <c r="A858" s="1">
        <v>45125</v>
      </c>
      <c r="B858">
        <v>1.1226</v>
      </c>
      <c r="C858">
        <v>1.3033999999999999</v>
      </c>
      <c r="D858">
        <v>138.81</v>
      </c>
      <c r="G858">
        <v>1.1226</v>
      </c>
      <c r="H858">
        <f t="shared" si="79"/>
        <v>1.1234</v>
      </c>
      <c r="I858">
        <f t="shared" si="79"/>
        <v>1.1227</v>
      </c>
      <c r="J858">
        <f t="shared" si="79"/>
        <v>1.1224000000000001</v>
      </c>
      <c r="L858">
        <f t="shared" si="78"/>
        <v>-7.9999999999991189E-4</v>
      </c>
      <c r="W858">
        <f t="shared" si="80"/>
        <v>7.2092855598006138E-4</v>
      </c>
      <c r="X858">
        <f t="shared" si="81"/>
        <v>-1.4416492467369575E-4</v>
      </c>
      <c r="Y858">
        <f t="shared" si="81"/>
        <v>5.0713612982684099E-3</v>
      </c>
      <c r="Z858">
        <f t="shared" si="81"/>
        <v>-3.3935018050541433E-3</v>
      </c>
      <c r="AE858">
        <f>W858-mu-theta*AE857</f>
        <v>5.4554270276313554E-4</v>
      </c>
      <c r="AF858">
        <f t="shared" si="83"/>
        <v>3.290890214312877E-4</v>
      </c>
      <c r="AG858">
        <f t="shared" si="83"/>
        <v>3.0157382081860227E-3</v>
      </c>
      <c r="AK858">
        <f t="shared" si="82"/>
        <v>2.9761684053810686E-7</v>
      </c>
    </row>
    <row r="859" spans="1:37" x14ac:dyDescent="0.3">
      <c r="A859" s="1">
        <v>45126</v>
      </c>
      <c r="B859">
        <v>1.1197999999999999</v>
      </c>
      <c r="C859">
        <v>1.2937000000000001</v>
      </c>
      <c r="D859">
        <v>139.66999999999999</v>
      </c>
      <c r="G859">
        <v>1.1197999999999999</v>
      </c>
      <c r="H859">
        <f t="shared" si="79"/>
        <v>1.1226</v>
      </c>
      <c r="I859">
        <f t="shared" si="79"/>
        <v>1.1234</v>
      </c>
      <c r="J859">
        <f t="shared" si="79"/>
        <v>1.1227</v>
      </c>
      <c r="L859">
        <f t="shared" si="78"/>
        <v>-2.8000000000001357E-3</v>
      </c>
      <c r="W859">
        <f t="shared" si="80"/>
        <v>6.1955190548230333E-3</v>
      </c>
      <c r="X859">
        <f t="shared" si="81"/>
        <v>7.2092855598006138E-4</v>
      </c>
      <c r="Y859">
        <f t="shared" si="81"/>
        <v>-1.4416492467369575E-4</v>
      </c>
      <c r="Z859">
        <f t="shared" si="81"/>
        <v>5.0713612982684099E-3</v>
      </c>
      <c r="AE859">
        <f>W859-mu-theta*AE858</f>
        <v>6.0723917819647776E-3</v>
      </c>
      <c r="AF859">
        <f t="shared" si="83"/>
        <v>5.4554270276313554E-4</v>
      </c>
      <c r="AG859">
        <f t="shared" si="83"/>
        <v>3.290890214312877E-4</v>
      </c>
      <c r="AK859">
        <f t="shared" si="82"/>
        <v>3.6873941953673364E-5</v>
      </c>
    </row>
    <row r="860" spans="1:37" x14ac:dyDescent="0.3">
      <c r="A860" s="1">
        <v>45127</v>
      </c>
      <c r="B860">
        <v>1.1128</v>
      </c>
      <c r="C860">
        <v>1.2865</v>
      </c>
      <c r="D860">
        <v>140.07</v>
      </c>
      <c r="G860">
        <v>1.1128</v>
      </c>
      <c r="H860">
        <f t="shared" si="79"/>
        <v>1.1197999999999999</v>
      </c>
      <c r="I860">
        <f t="shared" si="79"/>
        <v>1.1226</v>
      </c>
      <c r="J860">
        <f t="shared" si="79"/>
        <v>1.1234</v>
      </c>
      <c r="L860">
        <f t="shared" si="78"/>
        <v>-6.9999999999998952E-3</v>
      </c>
      <c r="W860">
        <f t="shared" si="80"/>
        <v>2.8638934631632111E-3</v>
      </c>
      <c r="X860">
        <f t="shared" si="81"/>
        <v>6.1955190548230333E-3</v>
      </c>
      <c r="Y860">
        <f t="shared" si="81"/>
        <v>7.2092855598006138E-4</v>
      </c>
      <c r="Z860">
        <f t="shared" si="81"/>
        <v>-1.4416492467369575E-4</v>
      </c>
      <c r="AE860">
        <f>W860-mu-theta*AE859</f>
        <v>4.0751176550550506E-3</v>
      </c>
      <c r="AF860">
        <f t="shared" si="83"/>
        <v>6.0723917819647776E-3</v>
      </c>
      <c r="AG860">
        <f t="shared" si="83"/>
        <v>5.4554270276313554E-4</v>
      </c>
      <c r="AK860">
        <f t="shared" si="82"/>
        <v>1.6606583902541376E-5</v>
      </c>
    </row>
    <row r="861" spans="1:37" x14ac:dyDescent="0.3">
      <c r="A861" s="1">
        <v>45128</v>
      </c>
      <c r="B861">
        <v>1.1123000000000001</v>
      </c>
      <c r="C861">
        <v>1.2855000000000001</v>
      </c>
      <c r="D861">
        <v>141.79</v>
      </c>
      <c r="G861">
        <v>1.1123000000000001</v>
      </c>
      <c r="H861">
        <f t="shared" si="79"/>
        <v>1.1128</v>
      </c>
      <c r="I861">
        <f t="shared" si="79"/>
        <v>1.1197999999999999</v>
      </c>
      <c r="J861">
        <f t="shared" si="79"/>
        <v>1.1226</v>
      </c>
      <c r="L861">
        <f t="shared" si="78"/>
        <v>-4.9999999999994493E-4</v>
      </c>
      <c r="W861">
        <f t="shared" si="80"/>
        <v>1.2279574498465045E-2</v>
      </c>
      <c r="X861">
        <f t="shared" si="81"/>
        <v>2.8638934631632111E-3</v>
      </c>
      <c r="Y861">
        <f t="shared" si="81"/>
        <v>6.1955190548230333E-3</v>
      </c>
      <c r="Z861">
        <f t="shared" si="81"/>
        <v>7.2092855598006138E-4</v>
      </c>
      <c r="AE861">
        <f>W861-mu-theta*AE860</f>
        <v>1.3008595247028118E-2</v>
      </c>
      <c r="AF861">
        <f t="shared" si="83"/>
        <v>4.0751176550550506E-3</v>
      </c>
      <c r="AG861">
        <f t="shared" si="83"/>
        <v>6.0723917819647776E-3</v>
      </c>
      <c r="AK861">
        <f t="shared" si="82"/>
        <v>1.6922355030100255E-4</v>
      </c>
    </row>
    <row r="862" spans="1:37" x14ac:dyDescent="0.3">
      <c r="A862" s="1">
        <v>45131</v>
      </c>
      <c r="B862">
        <v>1.1062000000000001</v>
      </c>
      <c r="C862">
        <v>1.2831999999999999</v>
      </c>
      <c r="D862">
        <v>141.44</v>
      </c>
      <c r="G862">
        <v>1.1062000000000001</v>
      </c>
      <c r="H862">
        <f t="shared" si="79"/>
        <v>1.1123000000000001</v>
      </c>
      <c r="I862">
        <f t="shared" si="79"/>
        <v>1.1128</v>
      </c>
      <c r="J862">
        <f t="shared" si="79"/>
        <v>1.1197999999999999</v>
      </c>
      <c r="L862">
        <f t="shared" si="78"/>
        <v>-6.0999999999999943E-3</v>
      </c>
      <c r="W862">
        <f t="shared" si="80"/>
        <v>-2.4684392411312103E-3</v>
      </c>
      <c r="X862">
        <f t="shared" si="81"/>
        <v>1.2279574498465045E-2</v>
      </c>
      <c r="Y862">
        <f t="shared" si="81"/>
        <v>2.8638934631632111E-3</v>
      </c>
      <c r="Z862">
        <f t="shared" si="81"/>
        <v>6.1955190548230333E-3</v>
      </c>
      <c r="AE862">
        <f>W862-mu-theta*AE861</f>
        <v>4.1739793924282838E-4</v>
      </c>
      <c r="AF862">
        <f t="shared" si="83"/>
        <v>1.3008595247028118E-2</v>
      </c>
      <c r="AG862">
        <f t="shared" si="83"/>
        <v>4.0751176550550506E-3</v>
      </c>
      <c r="AK862">
        <f t="shared" si="82"/>
        <v>1.7422103968415986E-7</v>
      </c>
    </row>
    <row r="863" spans="1:37" x14ac:dyDescent="0.3">
      <c r="A863" s="1">
        <v>45132</v>
      </c>
      <c r="B863">
        <v>1.1052999999999999</v>
      </c>
      <c r="C863">
        <v>1.29</v>
      </c>
      <c r="D863">
        <v>140.9</v>
      </c>
      <c r="G863">
        <v>1.1052999999999999</v>
      </c>
      <c r="H863">
        <f t="shared" si="79"/>
        <v>1.1062000000000001</v>
      </c>
      <c r="I863">
        <f t="shared" si="79"/>
        <v>1.1123000000000001</v>
      </c>
      <c r="J863">
        <f t="shared" si="79"/>
        <v>1.1128</v>
      </c>
      <c r="L863">
        <f t="shared" si="78"/>
        <v>-9.0000000000012292E-4</v>
      </c>
      <c r="W863">
        <f t="shared" si="80"/>
        <v>-3.8178733031673647E-3</v>
      </c>
      <c r="X863">
        <f t="shared" si="81"/>
        <v>-2.4684392411312103E-3</v>
      </c>
      <c r="Y863">
        <f t="shared" si="81"/>
        <v>1.2279574498465045E-2</v>
      </c>
      <c r="Z863">
        <f t="shared" si="81"/>
        <v>2.8638934631632111E-3</v>
      </c>
      <c r="AE863">
        <f>W863-mu-theta*AE862</f>
        <v>-3.9719386657858123E-3</v>
      </c>
      <c r="AF863">
        <f t="shared" si="83"/>
        <v>4.1739793924282838E-4</v>
      </c>
      <c r="AG863">
        <f t="shared" si="83"/>
        <v>1.3008595247028118E-2</v>
      </c>
      <c r="AK863">
        <f t="shared" si="82"/>
        <v>1.577629676476438E-5</v>
      </c>
    </row>
    <row r="864" spans="1:37" x14ac:dyDescent="0.3">
      <c r="A864" s="1">
        <v>45133</v>
      </c>
      <c r="B864">
        <v>1.1083000000000001</v>
      </c>
      <c r="C864">
        <v>1.2939000000000001</v>
      </c>
      <c r="D864">
        <v>140.21</v>
      </c>
      <c r="G864">
        <v>1.1083000000000001</v>
      </c>
      <c r="H864">
        <f t="shared" si="79"/>
        <v>1.1052999999999999</v>
      </c>
      <c r="I864">
        <f t="shared" si="79"/>
        <v>1.1062000000000001</v>
      </c>
      <c r="J864">
        <f t="shared" si="79"/>
        <v>1.1123000000000001</v>
      </c>
      <c r="L864">
        <f t="shared" si="78"/>
        <v>3.0000000000001137E-3</v>
      </c>
      <c r="W864">
        <f t="shared" si="80"/>
        <v>-4.8970901348473934E-3</v>
      </c>
      <c r="X864">
        <f t="shared" si="81"/>
        <v>-3.8178733031673647E-3</v>
      </c>
      <c r="Y864">
        <f t="shared" si="81"/>
        <v>-2.4684392411312103E-3</v>
      </c>
      <c r="Z864">
        <f t="shared" si="81"/>
        <v>1.2279574498465045E-2</v>
      </c>
      <c r="AE864">
        <f>W864-mu-theta*AE863</f>
        <v>-6.1108764423061183E-3</v>
      </c>
      <c r="AF864">
        <f t="shared" si="83"/>
        <v>-3.9719386657858123E-3</v>
      </c>
      <c r="AG864">
        <f t="shared" si="83"/>
        <v>4.1739793924282838E-4</v>
      </c>
      <c r="AK864">
        <f t="shared" si="82"/>
        <v>3.734281089313188E-5</v>
      </c>
    </row>
    <row r="865" spans="1:37" x14ac:dyDescent="0.3">
      <c r="A865" s="1">
        <v>45134</v>
      </c>
      <c r="B865">
        <v>1.0972999999999999</v>
      </c>
      <c r="C865">
        <v>1.2793000000000001</v>
      </c>
      <c r="D865">
        <v>139.44</v>
      </c>
      <c r="G865">
        <v>1.0972999999999999</v>
      </c>
      <c r="H865">
        <f t="shared" si="79"/>
        <v>1.1083000000000001</v>
      </c>
      <c r="I865">
        <f t="shared" si="79"/>
        <v>1.1052999999999999</v>
      </c>
      <c r="J865">
        <f t="shared" si="79"/>
        <v>1.1062000000000001</v>
      </c>
      <c r="L865">
        <f t="shared" si="78"/>
        <v>-1.1000000000000121E-2</v>
      </c>
      <c r="W865">
        <f t="shared" si="80"/>
        <v>-5.4917623564653744E-3</v>
      </c>
      <c r="X865">
        <f t="shared" si="81"/>
        <v>-4.8970901348473934E-3</v>
      </c>
      <c r="Y865">
        <f t="shared" si="81"/>
        <v>-3.8178733031673647E-3</v>
      </c>
      <c r="Z865">
        <f t="shared" si="81"/>
        <v>-2.4684392411312103E-3</v>
      </c>
      <c r="AE865">
        <f>W865-mu-theta*AE864</f>
        <v>-7.2219540721791507E-3</v>
      </c>
      <c r="AF865">
        <f t="shared" si="83"/>
        <v>-6.1108764423061183E-3</v>
      </c>
      <c r="AG865">
        <f t="shared" si="83"/>
        <v>-3.9719386657858123E-3</v>
      </c>
      <c r="AK865">
        <f t="shared" si="82"/>
        <v>5.2156620620665021E-5</v>
      </c>
    </row>
    <row r="866" spans="1:37" x14ac:dyDescent="0.3">
      <c r="A866" s="1">
        <v>45135</v>
      </c>
      <c r="B866">
        <v>1.1014999999999999</v>
      </c>
      <c r="C866">
        <v>1.2849999999999999</v>
      </c>
      <c r="D866">
        <v>141.15</v>
      </c>
      <c r="G866">
        <v>1.1014999999999999</v>
      </c>
      <c r="H866">
        <f t="shared" si="79"/>
        <v>1.0972999999999999</v>
      </c>
      <c r="I866">
        <f t="shared" si="79"/>
        <v>1.1083000000000001</v>
      </c>
      <c r="J866">
        <f t="shared" si="79"/>
        <v>1.1052999999999999</v>
      </c>
      <c r="L866">
        <f t="shared" si="78"/>
        <v>4.1999999999999815E-3</v>
      </c>
      <c r="W866">
        <f t="shared" si="80"/>
        <v>1.2263339070568044E-2</v>
      </c>
      <c r="X866">
        <f t="shared" si="81"/>
        <v>-5.4917623564653744E-3</v>
      </c>
      <c r="Y866">
        <f t="shared" si="81"/>
        <v>-4.8970901348473934E-3</v>
      </c>
      <c r="Z866">
        <f t="shared" si="81"/>
        <v>-3.8178733031673647E-3</v>
      </c>
      <c r="AE866">
        <f>W866-mu-theta*AE865</f>
        <v>1.0264899019930258E-2</v>
      </c>
      <c r="AF866">
        <f t="shared" si="83"/>
        <v>-7.2219540721791507E-3</v>
      </c>
      <c r="AG866">
        <f t="shared" si="83"/>
        <v>-6.1108764423061183E-3</v>
      </c>
      <c r="AK866">
        <f t="shared" si="82"/>
        <v>1.0536815188936518E-4</v>
      </c>
    </row>
    <row r="867" spans="1:37" x14ac:dyDescent="0.3">
      <c r="A867" s="1">
        <v>45138</v>
      </c>
      <c r="B867">
        <v>1.0992999999999999</v>
      </c>
      <c r="C867">
        <v>1.2837000000000001</v>
      </c>
      <c r="D867">
        <v>142.28</v>
      </c>
      <c r="G867">
        <v>1.0992999999999999</v>
      </c>
      <c r="H867">
        <f t="shared" si="79"/>
        <v>1.1014999999999999</v>
      </c>
      <c r="I867">
        <f t="shared" si="79"/>
        <v>1.0972999999999999</v>
      </c>
      <c r="J867">
        <f t="shared" si="79"/>
        <v>1.1083000000000001</v>
      </c>
      <c r="L867">
        <f t="shared" si="78"/>
        <v>-2.1999999999999797E-3</v>
      </c>
      <c r="W867">
        <f t="shared" si="80"/>
        <v>8.0056677293658899E-3</v>
      </c>
      <c r="X867">
        <f t="shared" si="81"/>
        <v>1.2263339070568044E-2</v>
      </c>
      <c r="Y867">
        <f t="shared" si="81"/>
        <v>-5.4917623564653744E-3</v>
      </c>
      <c r="Z867">
        <f t="shared" si="81"/>
        <v>-4.8970901348473934E-3</v>
      </c>
      <c r="AE867">
        <f>W867-mu-theta*AE866</f>
        <v>1.0229092199171364E-2</v>
      </c>
      <c r="AF867">
        <f t="shared" si="83"/>
        <v>1.0264899019930258E-2</v>
      </c>
      <c r="AG867">
        <f t="shared" si="83"/>
        <v>-7.2219540721791507E-3</v>
      </c>
      <c r="AK867">
        <f t="shared" si="82"/>
        <v>1.0463432721914845E-4</v>
      </c>
    </row>
    <row r="868" spans="1:37" x14ac:dyDescent="0.3">
      <c r="A868" s="1">
        <v>45139</v>
      </c>
      <c r="B868">
        <v>1.0982000000000001</v>
      </c>
      <c r="C868">
        <v>1.2777000000000001</v>
      </c>
      <c r="D868">
        <v>143.32</v>
      </c>
      <c r="G868">
        <v>1.0982000000000001</v>
      </c>
      <c r="H868">
        <f t="shared" si="79"/>
        <v>1.0992999999999999</v>
      </c>
      <c r="I868">
        <f t="shared" si="79"/>
        <v>1.1014999999999999</v>
      </c>
      <c r="J868">
        <f t="shared" si="79"/>
        <v>1.0972999999999999</v>
      </c>
      <c r="L868">
        <f t="shared" si="78"/>
        <v>-1.0999999999998789E-3</v>
      </c>
      <c r="W868">
        <f t="shared" si="80"/>
        <v>7.3095305032330055E-3</v>
      </c>
      <c r="X868">
        <f t="shared" si="81"/>
        <v>8.0056677293658899E-3</v>
      </c>
      <c r="Y868">
        <f t="shared" si="81"/>
        <v>1.2263339070568044E-2</v>
      </c>
      <c r="Z868">
        <f t="shared" si="81"/>
        <v>-5.4917623564653744E-3</v>
      </c>
      <c r="AE868">
        <f>W868-mu-theta*AE867</f>
        <v>9.524310104498921E-3</v>
      </c>
      <c r="AF868">
        <f t="shared" si="83"/>
        <v>1.0229092199171364E-2</v>
      </c>
      <c r="AG868">
        <f t="shared" si="83"/>
        <v>1.0264899019930258E-2</v>
      </c>
      <c r="AK868">
        <f t="shared" si="82"/>
        <v>9.0712482966660244E-5</v>
      </c>
    </row>
    <row r="869" spans="1:37" x14ac:dyDescent="0.3">
      <c r="A869" s="1">
        <v>45140</v>
      </c>
      <c r="B869">
        <v>1.0935999999999999</v>
      </c>
      <c r="C869">
        <v>1.2708999999999999</v>
      </c>
      <c r="D869">
        <v>143.32</v>
      </c>
      <c r="G869">
        <v>1.0935999999999999</v>
      </c>
      <c r="H869">
        <f t="shared" si="79"/>
        <v>1.0982000000000001</v>
      </c>
      <c r="I869">
        <f t="shared" si="79"/>
        <v>1.0992999999999999</v>
      </c>
      <c r="J869">
        <f t="shared" si="79"/>
        <v>1.1014999999999999</v>
      </c>
      <c r="L869">
        <f t="shared" si="78"/>
        <v>-4.6000000000001595E-3</v>
      </c>
      <c r="W869">
        <f t="shared" si="80"/>
        <v>0</v>
      </c>
      <c r="X869">
        <f t="shared" si="81"/>
        <v>7.3095305032330055E-3</v>
      </c>
      <c r="Y869">
        <f t="shared" si="81"/>
        <v>8.0056677293658899E-3</v>
      </c>
      <c r="Z869">
        <f t="shared" si="81"/>
        <v>1.2263339070568044E-2</v>
      </c>
      <c r="AE869">
        <f>W869-mu-theta*AE868</f>
        <v>2.0446235128909352E-3</v>
      </c>
      <c r="AF869">
        <f t="shared" si="83"/>
        <v>9.524310104498921E-3</v>
      </c>
      <c r="AG869">
        <f t="shared" si="83"/>
        <v>1.0229092199171364E-2</v>
      </c>
      <c r="AK869">
        <f t="shared" si="82"/>
        <v>4.1804853094664687E-6</v>
      </c>
    </row>
    <row r="870" spans="1:37" x14ac:dyDescent="0.3">
      <c r="A870" s="1">
        <v>45141</v>
      </c>
      <c r="B870">
        <v>1.0944</v>
      </c>
      <c r="C870">
        <v>1.2713000000000001</v>
      </c>
      <c r="D870">
        <v>142.54</v>
      </c>
      <c r="G870">
        <v>1.0944</v>
      </c>
      <c r="H870">
        <f t="shared" si="79"/>
        <v>1.0935999999999999</v>
      </c>
      <c r="I870">
        <f t="shared" si="79"/>
        <v>1.0982000000000001</v>
      </c>
      <c r="J870">
        <f t="shared" si="79"/>
        <v>1.0992999999999999</v>
      </c>
      <c r="L870">
        <f t="shared" si="78"/>
        <v>8.0000000000013394E-4</v>
      </c>
      <c r="W870">
        <f t="shared" si="80"/>
        <v>-5.4423667317890119E-3</v>
      </c>
      <c r="X870">
        <f t="shared" si="81"/>
        <v>0</v>
      </c>
      <c r="Y870">
        <f t="shared" si="81"/>
        <v>7.3095305032330055E-3</v>
      </c>
      <c r="Z870">
        <f t="shared" si="81"/>
        <v>8.0056677293658899E-3</v>
      </c>
      <c r="AE870">
        <f>W870-mu-theta*AE869</f>
        <v>-5.2035697606326774E-3</v>
      </c>
      <c r="AF870">
        <f t="shared" si="83"/>
        <v>2.0446235128909352E-3</v>
      </c>
      <c r="AG870">
        <f t="shared" si="83"/>
        <v>9.524310104498921E-3</v>
      </c>
      <c r="AK870">
        <f t="shared" si="82"/>
        <v>2.707713825377082E-5</v>
      </c>
    </row>
    <row r="871" spans="1:37" x14ac:dyDescent="0.3">
      <c r="A871" s="1">
        <v>45142</v>
      </c>
      <c r="B871">
        <v>1.101</v>
      </c>
      <c r="C871">
        <v>1.2747999999999999</v>
      </c>
      <c r="D871">
        <v>141.75</v>
      </c>
      <c r="G871">
        <v>1.101</v>
      </c>
      <c r="H871">
        <f t="shared" si="79"/>
        <v>1.0944</v>
      </c>
      <c r="I871">
        <f t="shared" si="79"/>
        <v>1.0935999999999999</v>
      </c>
      <c r="J871">
        <f t="shared" si="79"/>
        <v>1.0982000000000001</v>
      </c>
      <c r="L871">
        <f t="shared" si="78"/>
        <v>6.5999999999999392E-3</v>
      </c>
      <c r="W871">
        <f t="shared" si="80"/>
        <v>-5.5423039146905578E-3</v>
      </c>
      <c r="X871">
        <f t="shared" si="81"/>
        <v>-5.4423667317890119E-3</v>
      </c>
      <c r="Y871">
        <f t="shared" si="81"/>
        <v>0</v>
      </c>
      <c r="Z871">
        <f t="shared" si="81"/>
        <v>7.3095305032330055E-3</v>
      </c>
      <c r="AE871">
        <f>W871-mu-theta*AE870</f>
        <v>-7.0534438737308216E-3</v>
      </c>
      <c r="AF871">
        <f t="shared" si="83"/>
        <v>-5.2035697606326774E-3</v>
      </c>
      <c r="AG871">
        <f t="shared" si="83"/>
        <v>2.0446235128909352E-3</v>
      </c>
      <c r="AK871">
        <f t="shared" si="82"/>
        <v>4.975107047987086E-5</v>
      </c>
    </row>
    <row r="872" spans="1:37" x14ac:dyDescent="0.3">
      <c r="A872" s="1">
        <v>45145</v>
      </c>
      <c r="B872">
        <v>1.1002000000000001</v>
      </c>
      <c r="C872">
        <v>1.2784</v>
      </c>
      <c r="D872">
        <v>142.49</v>
      </c>
      <c r="G872">
        <v>1.1002000000000001</v>
      </c>
      <c r="H872">
        <f t="shared" si="79"/>
        <v>1.101</v>
      </c>
      <c r="I872">
        <f t="shared" si="79"/>
        <v>1.0944</v>
      </c>
      <c r="J872">
        <f t="shared" si="79"/>
        <v>1.0935999999999999</v>
      </c>
      <c r="L872">
        <f t="shared" si="78"/>
        <v>-7.9999999999991189E-4</v>
      </c>
      <c r="W872">
        <f t="shared" si="80"/>
        <v>5.2204585537919514E-3</v>
      </c>
      <c r="X872">
        <f t="shared" si="81"/>
        <v>-5.5423039146905578E-3</v>
      </c>
      <c r="Y872">
        <f t="shared" si="81"/>
        <v>-5.4423667317890119E-3</v>
      </c>
      <c r="Z872">
        <f t="shared" si="81"/>
        <v>0</v>
      </c>
      <c r="AE872">
        <f>W872-mu-theta*AE871</f>
        <v>3.2627020512124975E-3</v>
      </c>
      <c r="AF872">
        <f t="shared" si="83"/>
        <v>-7.0534438737308216E-3</v>
      </c>
      <c r="AG872">
        <f t="shared" si="83"/>
        <v>-5.2035697606326774E-3</v>
      </c>
      <c r="AK872">
        <f t="shared" si="82"/>
        <v>1.0645224674986239E-5</v>
      </c>
    </row>
    <row r="873" spans="1:37" x14ac:dyDescent="0.3">
      <c r="A873" s="1">
        <v>45146</v>
      </c>
      <c r="B873">
        <v>1.0953999999999999</v>
      </c>
      <c r="C873">
        <v>1.2746</v>
      </c>
      <c r="D873">
        <v>143.37</v>
      </c>
      <c r="G873">
        <v>1.0953999999999999</v>
      </c>
      <c r="H873">
        <f t="shared" si="79"/>
        <v>1.1002000000000001</v>
      </c>
      <c r="I873">
        <f t="shared" si="79"/>
        <v>1.101</v>
      </c>
      <c r="J873">
        <f t="shared" si="79"/>
        <v>1.0944</v>
      </c>
      <c r="L873">
        <f t="shared" si="78"/>
        <v>-4.8000000000001375E-3</v>
      </c>
      <c r="W873">
        <f t="shared" si="80"/>
        <v>6.1758719910168808E-3</v>
      </c>
      <c r="X873">
        <f t="shared" si="81"/>
        <v>5.2204585537919514E-3</v>
      </c>
      <c r="Y873">
        <f t="shared" si="81"/>
        <v>-5.5423039146905578E-3</v>
      </c>
      <c r="Z873">
        <f t="shared" si="81"/>
        <v>-5.4423667317890119E-3</v>
      </c>
      <c r="AE873">
        <f>W873-mu-theta*AE872</f>
        <v>6.7087506095093886E-3</v>
      </c>
      <c r="AF873">
        <f t="shared" si="83"/>
        <v>3.2627020512124975E-3</v>
      </c>
      <c r="AG873">
        <f t="shared" si="83"/>
        <v>-7.0534438737308216E-3</v>
      </c>
      <c r="AK873">
        <f t="shared" si="82"/>
        <v>4.500733474059259E-5</v>
      </c>
    </row>
    <row r="874" spans="1:37" x14ac:dyDescent="0.3">
      <c r="A874" s="1">
        <v>45147</v>
      </c>
      <c r="B874">
        <v>1.0972999999999999</v>
      </c>
      <c r="C874">
        <v>1.2718</v>
      </c>
      <c r="D874">
        <v>143.72</v>
      </c>
      <c r="G874">
        <v>1.0972999999999999</v>
      </c>
      <c r="H874">
        <f t="shared" si="79"/>
        <v>1.0953999999999999</v>
      </c>
      <c r="I874">
        <f t="shared" si="79"/>
        <v>1.1002000000000001</v>
      </c>
      <c r="J874">
        <f t="shared" si="79"/>
        <v>1.101</v>
      </c>
      <c r="L874">
        <f t="shared" si="78"/>
        <v>1.9000000000000128E-3</v>
      </c>
      <c r="W874">
        <f t="shared" si="80"/>
        <v>2.4412359628931735E-3</v>
      </c>
      <c r="X874">
        <f t="shared" si="81"/>
        <v>6.1758719910168808E-3</v>
      </c>
      <c r="Y874">
        <f t="shared" si="81"/>
        <v>5.2204585537919514E-3</v>
      </c>
      <c r="Z874">
        <f t="shared" si="81"/>
        <v>-5.5423039146905578E-3</v>
      </c>
      <c r="AE874">
        <f>W874-mu-theta*AE873</f>
        <v>3.8060967606471478E-3</v>
      </c>
      <c r="AF874">
        <f t="shared" si="83"/>
        <v>6.7087506095093886E-3</v>
      </c>
      <c r="AG874">
        <f t="shared" si="83"/>
        <v>3.2627020512124975E-3</v>
      </c>
      <c r="AK874">
        <f t="shared" si="82"/>
        <v>1.4486372551408712E-5</v>
      </c>
    </row>
    <row r="875" spans="1:37" x14ac:dyDescent="0.3">
      <c r="A875" s="1">
        <v>45148</v>
      </c>
      <c r="B875">
        <v>1.0979000000000001</v>
      </c>
      <c r="C875">
        <v>1.2675000000000001</v>
      </c>
      <c r="D875">
        <v>144.72999999999999</v>
      </c>
      <c r="G875">
        <v>1.0979000000000001</v>
      </c>
      <c r="H875">
        <f t="shared" si="79"/>
        <v>1.0972999999999999</v>
      </c>
      <c r="I875">
        <f t="shared" si="79"/>
        <v>1.0953999999999999</v>
      </c>
      <c r="J875">
        <f t="shared" si="79"/>
        <v>1.1002000000000001</v>
      </c>
      <c r="L875">
        <f t="shared" si="78"/>
        <v>6.0000000000015596E-4</v>
      </c>
      <c r="W875">
        <f t="shared" si="80"/>
        <v>7.0275535763984895E-3</v>
      </c>
      <c r="X875">
        <f t="shared" si="81"/>
        <v>2.4412359628931735E-3</v>
      </c>
      <c r="Y875">
        <f t="shared" si="81"/>
        <v>6.1758719910168808E-3</v>
      </c>
      <c r="Z875">
        <f t="shared" si="81"/>
        <v>5.2204585537919514E-3</v>
      </c>
      <c r="AE875">
        <f>W875-mu-theta*AE874</f>
        <v>7.6916244015318774E-3</v>
      </c>
      <c r="AF875">
        <f t="shared" si="83"/>
        <v>3.8060967606471478E-3</v>
      </c>
      <c r="AG875">
        <f t="shared" si="83"/>
        <v>6.7087506095093886E-3</v>
      </c>
      <c r="AK875">
        <f t="shared" si="82"/>
        <v>5.9161085934240611E-5</v>
      </c>
    </row>
    <row r="876" spans="1:37" x14ac:dyDescent="0.3">
      <c r="A876" s="1">
        <v>45149</v>
      </c>
      <c r="B876">
        <v>1.0944</v>
      </c>
      <c r="C876">
        <v>1.2694000000000001</v>
      </c>
      <c r="D876">
        <v>144.96</v>
      </c>
      <c r="G876">
        <v>1.0944</v>
      </c>
      <c r="H876">
        <f t="shared" si="79"/>
        <v>1.0979000000000001</v>
      </c>
      <c r="I876">
        <f t="shared" si="79"/>
        <v>1.0972999999999999</v>
      </c>
      <c r="J876">
        <f t="shared" si="79"/>
        <v>1.0953999999999999</v>
      </c>
      <c r="L876">
        <f t="shared" si="78"/>
        <v>-3.5000000000000586E-3</v>
      </c>
      <c r="W876">
        <f t="shared" si="80"/>
        <v>1.5891660333035183E-3</v>
      </c>
      <c r="X876">
        <f t="shared" si="81"/>
        <v>7.0275535763984895E-3</v>
      </c>
      <c r="Y876">
        <f t="shared" si="81"/>
        <v>2.4412359628931735E-3</v>
      </c>
      <c r="Z876">
        <f t="shared" si="81"/>
        <v>6.1758719910168808E-3</v>
      </c>
      <c r="AE876">
        <f>W876-mu-theta*AE875</f>
        <v>3.1913228138598917E-3</v>
      </c>
      <c r="AF876">
        <f t="shared" si="83"/>
        <v>7.6916244015318774E-3</v>
      </c>
      <c r="AG876">
        <f t="shared" si="83"/>
        <v>3.8060967606471478E-3</v>
      </c>
      <c r="AK876">
        <f t="shared" si="82"/>
        <v>1.0184541302262617E-5</v>
      </c>
    </row>
    <row r="877" spans="1:37" x14ac:dyDescent="0.3">
      <c r="A877" s="1">
        <v>45152</v>
      </c>
      <c r="B877">
        <v>1.0904</v>
      </c>
      <c r="C877">
        <v>1.268</v>
      </c>
      <c r="D877">
        <v>145.54</v>
      </c>
      <c r="G877">
        <v>1.0904</v>
      </c>
      <c r="H877">
        <f t="shared" si="79"/>
        <v>1.0944</v>
      </c>
      <c r="I877">
        <f t="shared" si="79"/>
        <v>1.0979000000000001</v>
      </c>
      <c r="J877">
        <f t="shared" si="79"/>
        <v>1.0972999999999999</v>
      </c>
      <c r="L877">
        <f t="shared" si="78"/>
        <v>-4.0000000000000036E-3</v>
      </c>
      <c r="W877">
        <f t="shared" si="80"/>
        <v>4.0011037527592722E-3</v>
      </c>
      <c r="X877">
        <f t="shared" si="81"/>
        <v>1.5891660333035183E-3</v>
      </c>
      <c r="Y877">
        <f t="shared" si="81"/>
        <v>7.0275535763984895E-3</v>
      </c>
      <c r="Z877">
        <f t="shared" si="81"/>
        <v>2.4412359628931735E-3</v>
      </c>
      <c r="AE877">
        <f>W877-mu-theta*AE876</f>
        <v>4.5167492265522774E-3</v>
      </c>
      <c r="AF877">
        <f t="shared" si="83"/>
        <v>3.1913228138598917E-3</v>
      </c>
      <c r="AG877">
        <f t="shared" si="83"/>
        <v>7.6916244015318774E-3</v>
      </c>
      <c r="AK877">
        <f t="shared" si="82"/>
        <v>2.0401023575560595E-5</v>
      </c>
    </row>
    <row r="878" spans="1:37" x14ac:dyDescent="0.3">
      <c r="A878" s="1">
        <v>45153</v>
      </c>
      <c r="B878">
        <v>1.0904</v>
      </c>
      <c r="C878">
        <v>1.2703</v>
      </c>
      <c r="D878">
        <v>145.57</v>
      </c>
      <c r="G878">
        <v>1.0904</v>
      </c>
      <c r="H878">
        <f t="shared" si="79"/>
        <v>1.0904</v>
      </c>
      <c r="I878">
        <f t="shared" si="79"/>
        <v>1.0944</v>
      </c>
      <c r="J878">
        <f t="shared" si="79"/>
        <v>1.0979000000000001</v>
      </c>
      <c r="L878">
        <f t="shared" si="78"/>
        <v>0</v>
      </c>
      <c r="W878">
        <f t="shared" si="80"/>
        <v>2.0612889927168571E-4</v>
      </c>
      <c r="X878">
        <f t="shared" si="81"/>
        <v>4.0011037527592722E-3</v>
      </c>
      <c r="Y878">
        <f t="shared" si="81"/>
        <v>1.5891660333035183E-3</v>
      </c>
      <c r="Z878">
        <f t="shared" si="81"/>
        <v>7.0275535763984895E-3</v>
      </c>
      <c r="AE878">
        <f>W878-mu-theta*AE877</f>
        <v>1.0417731010650625E-3</v>
      </c>
      <c r="AF878">
        <f t="shared" si="83"/>
        <v>4.5167492265522774E-3</v>
      </c>
      <c r="AG878">
        <f t="shared" si="83"/>
        <v>3.1913228138598917E-3</v>
      </c>
      <c r="AK878">
        <f t="shared" si="82"/>
        <v>1.085291194102717E-6</v>
      </c>
    </row>
    <row r="879" spans="1:37" x14ac:dyDescent="0.3">
      <c r="A879" s="1">
        <v>45154</v>
      </c>
      <c r="B879">
        <v>1.0873999999999999</v>
      </c>
      <c r="C879">
        <v>1.2726999999999999</v>
      </c>
      <c r="D879">
        <v>146.35</v>
      </c>
      <c r="G879">
        <v>1.0873999999999999</v>
      </c>
      <c r="H879">
        <f t="shared" si="79"/>
        <v>1.0904</v>
      </c>
      <c r="I879">
        <f t="shared" si="79"/>
        <v>1.0904</v>
      </c>
      <c r="J879">
        <f t="shared" si="79"/>
        <v>1.0944</v>
      </c>
      <c r="L879">
        <f t="shared" si="78"/>
        <v>-3.0000000000001137E-3</v>
      </c>
      <c r="W879">
        <f t="shared" si="80"/>
        <v>5.3582468915298566E-3</v>
      </c>
      <c r="X879">
        <f t="shared" si="81"/>
        <v>2.0612889927168571E-4</v>
      </c>
      <c r="Y879">
        <f t="shared" si="81"/>
        <v>4.0011037527592722E-3</v>
      </c>
      <c r="Z879">
        <f t="shared" si="81"/>
        <v>1.5891660333035183E-3</v>
      </c>
      <c r="AE879">
        <f>W879-mu-theta*AE878</f>
        <v>5.3549249090529601E-3</v>
      </c>
      <c r="AF879">
        <f t="shared" si="83"/>
        <v>1.0417731010650625E-3</v>
      </c>
      <c r="AG879">
        <f t="shared" si="83"/>
        <v>4.5167492265522774E-3</v>
      </c>
      <c r="AK879">
        <f t="shared" si="82"/>
        <v>2.8675220781595855E-5</v>
      </c>
    </row>
    <row r="880" spans="1:37" x14ac:dyDescent="0.3">
      <c r="A880" s="1">
        <v>45155</v>
      </c>
      <c r="B880">
        <v>1.0871</v>
      </c>
      <c r="C880">
        <v>1.2745</v>
      </c>
      <c r="D880">
        <v>145.83000000000001</v>
      </c>
      <c r="G880">
        <v>1.0871</v>
      </c>
      <c r="H880">
        <f t="shared" si="79"/>
        <v>1.0873999999999999</v>
      </c>
      <c r="I880">
        <f t="shared" si="79"/>
        <v>1.0904</v>
      </c>
      <c r="J880">
        <f t="shared" si="79"/>
        <v>1.0904</v>
      </c>
      <c r="L880">
        <f t="shared" si="78"/>
        <v>-2.9999999999996696E-4</v>
      </c>
      <c r="W880">
        <f t="shared" si="80"/>
        <v>-3.5531260676459299E-3</v>
      </c>
      <c r="X880">
        <f t="shared" si="81"/>
        <v>5.3582468915298566E-3</v>
      </c>
      <c r="Y880">
        <f t="shared" si="81"/>
        <v>2.0612889927168571E-4</v>
      </c>
      <c r="Z880">
        <f t="shared" si="81"/>
        <v>4.0011037527592722E-3</v>
      </c>
      <c r="AE880">
        <f>W880-mu-theta*AE879</f>
        <v>-2.5151204599890417E-3</v>
      </c>
      <c r="AF880">
        <f t="shared" si="83"/>
        <v>5.3549249090529601E-3</v>
      </c>
      <c r="AG880">
        <f t="shared" si="83"/>
        <v>1.0417731010650625E-3</v>
      </c>
      <c r="AK880">
        <f t="shared" si="82"/>
        <v>6.3258309282554889E-6</v>
      </c>
    </row>
    <row r="881" spans="1:37" x14ac:dyDescent="0.3">
      <c r="A881" s="1">
        <v>45156</v>
      </c>
      <c r="B881">
        <v>1.0865</v>
      </c>
      <c r="C881">
        <v>1.2729999999999999</v>
      </c>
      <c r="D881">
        <v>145.37</v>
      </c>
      <c r="G881">
        <v>1.0865</v>
      </c>
      <c r="H881">
        <f t="shared" si="79"/>
        <v>1.0871</v>
      </c>
      <c r="I881">
        <f t="shared" si="79"/>
        <v>1.0873999999999999</v>
      </c>
      <c r="J881">
        <f t="shared" si="79"/>
        <v>1.0904</v>
      </c>
      <c r="L881">
        <f t="shared" si="78"/>
        <v>-5.9999999999993392E-4</v>
      </c>
      <c r="W881">
        <f t="shared" si="80"/>
        <v>-3.1543578138929435E-3</v>
      </c>
      <c r="X881">
        <f t="shared" si="81"/>
        <v>-3.5531260676459299E-3</v>
      </c>
      <c r="Y881">
        <f t="shared" si="81"/>
        <v>5.3582468915298566E-3</v>
      </c>
      <c r="Z881">
        <f t="shared" si="81"/>
        <v>2.0612889927168571E-4</v>
      </c>
      <c r="AE881">
        <f>W881-mu-theta*AE880</f>
        <v>-4.0164233707173256E-3</v>
      </c>
      <c r="AF881">
        <f t="shared" si="83"/>
        <v>-2.5151204599890417E-3</v>
      </c>
      <c r="AG881">
        <f t="shared" si="83"/>
        <v>5.3549249090529601E-3</v>
      </c>
      <c r="AK881">
        <f t="shared" si="82"/>
        <v>1.6131656692844324E-5</v>
      </c>
    </row>
    <row r="882" spans="1:37" x14ac:dyDescent="0.3">
      <c r="A882" s="1">
        <v>45159</v>
      </c>
      <c r="B882">
        <v>1.0891</v>
      </c>
      <c r="C882">
        <v>1.2754000000000001</v>
      </c>
      <c r="D882">
        <v>146.16999999999999</v>
      </c>
      <c r="G882">
        <v>1.0891</v>
      </c>
      <c r="H882">
        <f t="shared" si="79"/>
        <v>1.0865</v>
      </c>
      <c r="I882">
        <f t="shared" si="79"/>
        <v>1.0871</v>
      </c>
      <c r="J882">
        <f t="shared" si="79"/>
        <v>1.0873999999999999</v>
      </c>
      <c r="L882">
        <f t="shared" si="78"/>
        <v>2.5999999999999357E-3</v>
      </c>
      <c r="W882">
        <f t="shared" si="80"/>
        <v>5.5031987342641737E-3</v>
      </c>
      <c r="X882">
        <f t="shared" si="81"/>
        <v>-3.1543578138929435E-3</v>
      </c>
      <c r="Y882">
        <f t="shared" si="81"/>
        <v>-3.5531260676459299E-3</v>
      </c>
      <c r="Z882">
        <f t="shared" si="81"/>
        <v>5.3582468915298566E-3</v>
      </c>
      <c r="AE882">
        <f>W882-mu-theta*AE881</f>
        <v>4.2786724499517814E-3</v>
      </c>
      <c r="AF882">
        <f t="shared" si="83"/>
        <v>-4.0164233707173256E-3</v>
      </c>
      <c r="AG882">
        <f t="shared" si="83"/>
        <v>-2.5151204599890417E-3</v>
      </c>
      <c r="AK882">
        <f t="shared" si="82"/>
        <v>1.830703793397638E-5</v>
      </c>
    </row>
    <row r="883" spans="1:37" x14ac:dyDescent="0.3">
      <c r="A883" s="1">
        <v>45160</v>
      </c>
      <c r="B883">
        <v>1.0844</v>
      </c>
      <c r="C883">
        <v>1.2729999999999999</v>
      </c>
      <c r="D883">
        <v>145.88</v>
      </c>
      <c r="G883">
        <v>1.0844</v>
      </c>
      <c r="H883">
        <f t="shared" si="79"/>
        <v>1.0891</v>
      </c>
      <c r="I883">
        <f t="shared" si="79"/>
        <v>1.0865</v>
      </c>
      <c r="J883">
        <f t="shared" si="79"/>
        <v>1.0871</v>
      </c>
      <c r="L883">
        <f t="shared" si="78"/>
        <v>-4.6999999999999265E-3</v>
      </c>
      <c r="W883">
        <f t="shared" si="80"/>
        <v>-1.9839912430730799E-3</v>
      </c>
      <c r="X883">
        <f t="shared" si="81"/>
        <v>5.5031987342641737E-3</v>
      </c>
      <c r="Y883">
        <f t="shared" si="81"/>
        <v>-3.1543578138929435E-3</v>
      </c>
      <c r="Z883">
        <f t="shared" si="81"/>
        <v>-3.5531260676459299E-3</v>
      </c>
      <c r="AE883">
        <f>W883-mu-theta*AE882</f>
        <v>-1.2058261023192606E-3</v>
      </c>
      <c r="AF883">
        <f t="shared" si="83"/>
        <v>4.2786724499517814E-3</v>
      </c>
      <c r="AG883">
        <f t="shared" si="83"/>
        <v>-4.0164233707173256E-3</v>
      </c>
      <c r="AK883">
        <f t="shared" si="82"/>
        <v>1.45401658903446E-6</v>
      </c>
    </row>
    <row r="884" spans="1:37" x14ac:dyDescent="0.3">
      <c r="A884" s="1">
        <v>45161</v>
      </c>
      <c r="B884">
        <v>1.0859000000000001</v>
      </c>
      <c r="C884">
        <v>1.2726</v>
      </c>
      <c r="D884">
        <v>144.83000000000001</v>
      </c>
      <c r="G884">
        <v>1.0859000000000001</v>
      </c>
      <c r="H884">
        <f t="shared" si="79"/>
        <v>1.0844</v>
      </c>
      <c r="I884">
        <f t="shared" si="79"/>
        <v>1.0891</v>
      </c>
      <c r="J884">
        <f t="shared" si="79"/>
        <v>1.0865</v>
      </c>
      <c r="L884">
        <f t="shared" si="78"/>
        <v>1.5000000000000568E-3</v>
      </c>
      <c r="W884">
        <f t="shared" si="80"/>
        <v>-7.1976967370440291E-3</v>
      </c>
      <c r="X884">
        <f t="shared" si="81"/>
        <v>-1.9839912430730799E-3</v>
      </c>
      <c r="Y884">
        <f t="shared" si="81"/>
        <v>5.5031987342641737E-3</v>
      </c>
      <c r="Z884">
        <f t="shared" si="81"/>
        <v>-3.1543578138929435E-3</v>
      </c>
      <c r="AE884">
        <f>W884-mu-theta*AE883</f>
        <v>-7.7436583404385719E-3</v>
      </c>
      <c r="AF884">
        <f t="shared" si="83"/>
        <v>-1.2058261023192606E-3</v>
      </c>
      <c r="AG884">
        <f t="shared" si="83"/>
        <v>4.2786724499517814E-3</v>
      </c>
      <c r="AK884">
        <f t="shared" si="82"/>
        <v>5.9964244493443859E-5</v>
      </c>
    </row>
    <row r="885" spans="1:37" x14ac:dyDescent="0.3">
      <c r="A885" s="1">
        <v>45162</v>
      </c>
      <c r="B885">
        <v>1.0809</v>
      </c>
      <c r="C885">
        <v>1.2599</v>
      </c>
      <c r="D885">
        <v>145.87</v>
      </c>
      <c r="G885">
        <v>1.0809</v>
      </c>
      <c r="H885">
        <f t="shared" si="79"/>
        <v>1.0859000000000001</v>
      </c>
      <c r="I885">
        <f t="shared" si="79"/>
        <v>1.0844</v>
      </c>
      <c r="J885">
        <f t="shared" si="79"/>
        <v>1.0891</v>
      </c>
      <c r="L885">
        <f t="shared" si="78"/>
        <v>-5.0000000000001155E-3</v>
      </c>
      <c r="W885">
        <f t="shared" si="80"/>
        <v>7.1808327004073188E-3</v>
      </c>
      <c r="X885">
        <f t="shared" si="81"/>
        <v>-7.1976967370440291E-3</v>
      </c>
      <c r="Y885">
        <f t="shared" si="81"/>
        <v>-1.9839912430730799E-3</v>
      </c>
      <c r="Z885">
        <f t="shared" si="81"/>
        <v>5.5031987342641737E-3</v>
      </c>
      <c r="AE885">
        <f>W885-mu-theta*AE884</f>
        <v>5.0564371831840586E-3</v>
      </c>
      <c r="AF885">
        <f t="shared" si="83"/>
        <v>-7.7436583404385719E-3</v>
      </c>
      <c r="AG885">
        <f t="shared" si="83"/>
        <v>-1.2058261023192606E-3</v>
      </c>
      <c r="AK885">
        <f t="shared" si="82"/>
        <v>2.5567556987486336E-5</v>
      </c>
    </row>
    <row r="886" spans="1:37" x14ac:dyDescent="0.3">
      <c r="A886" s="1">
        <v>45163</v>
      </c>
      <c r="B886">
        <v>1.08</v>
      </c>
      <c r="C886">
        <v>1.2577</v>
      </c>
      <c r="D886">
        <v>146.41</v>
      </c>
      <c r="G886">
        <v>1.08</v>
      </c>
      <c r="H886">
        <f t="shared" si="79"/>
        <v>1.0809</v>
      </c>
      <c r="I886">
        <f t="shared" si="79"/>
        <v>1.0859000000000001</v>
      </c>
      <c r="J886">
        <f t="shared" si="79"/>
        <v>1.0844</v>
      </c>
      <c r="L886">
        <f t="shared" si="78"/>
        <v>-8.9999999999990088E-4</v>
      </c>
      <c r="W886">
        <f t="shared" si="80"/>
        <v>3.7019263727976421E-3</v>
      </c>
      <c r="X886">
        <f t="shared" si="81"/>
        <v>7.1808327004073188E-3</v>
      </c>
      <c r="Y886">
        <f t="shared" si="81"/>
        <v>-7.1976967370440291E-3</v>
      </c>
      <c r="Z886">
        <f t="shared" si="81"/>
        <v>-1.9839912430730799E-3</v>
      </c>
      <c r="AE886">
        <f>W886-mu-theta*AE885</f>
        <v>4.6678678570244349E-3</v>
      </c>
      <c r="AF886">
        <f t="shared" si="83"/>
        <v>5.0564371831840586E-3</v>
      </c>
      <c r="AG886">
        <f t="shared" si="83"/>
        <v>-7.7436583404385719E-3</v>
      </c>
      <c r="AK886">
        <f t="shared" si="82"/>
        <v>2.178899033064189E-5</v>
      </c>
    </row>
    <row r="887" spans="1:37" x14ac:dyDescent="0.3">
      <c r="A887" s="1">
        <v>45166</v>
      </c>
      <c r="B887">
        <v>1.0817000000000001</v>
      </c>
      <c r="C887">
        <v>1.2603</v>
      </c>
      <c r="D887">
        <v>146.54</v>
      </c>
      <c r="G887">
        <v>1.0817000000000001</v>
      </c>
      <c r="H887">
        <f t="shared" si="79"/>
        <v>1.08</v>
      </c>
      <c r="I887">
        <f t="shared" si="79"/>
        <v>1.0809</v>
      </c>
      <c r="J887">
        <f t="shared" si="79"/>
        <v>1.0859000000000001</v>
      </c>
      <c r="L887">
        <f t="shared" si="78"/>
        <v>1.7000000000000348E-3</v>
      </c>
      <c r="W887">
        <f t="shared" si="80"/>
        <v>8.8791749197456081E-4</v>
      </c>
      <c r="X887">
        <f t="shared" si="81"/>
        <v>3.7019263727976421E-3</v>
      </c>
      <c r="Y887">
        <f t="shared" si="81"/>
        <v>7.1808327004073188E-3</v>
      </c>
      <c r="Z887">
        <f t="shared" si="81"/>
        <v>-7.1976967370440291E-3</v>
      </c>
      <c r="AE887">
        <f>W887-mu-theta*AE886</f>
        <v>1.7600463820653571E-3</v>
      </c>
      <c r="AF887">
        <f t="shared" si="83"/>
        <v>4.6678678570244349E-3</v>
      </c>
      <c r="AG887">
        <f t="shared" si="83"/>
        <v>5.0564371831840586E-3</v>
      </c>
      <c r="AK887">
        <f t="shared" si="82"/>
        <v>3.0977632670213529E-6</v>
      </c>
    </row>
    <row r="888" spans="1:37" x14ac:dyDescent="0.3">
      <c r="A888" s="1">
        <v>45167</v>
      </c>
      <c r="B888">
        <v>1.0876999999999999</v>
      </c>
      <c r="C888">
        <v>1.2638</v>
      </c>
      <c r="D888">
        <v>145.87</v>
      </c>
      <c r="G888">
        <v>1.0876999999999999</v>
      </c>
      <c r="H888">
        <f t="shared" si="79"/>
        <v>1.0817000000000001</v>
      </c>
      <c r="I888">
        <f t="shared" si="79"/>
        <v>1.08</v>
      </c>
      <c r="J888">
        <f t="shared" si="79"/>
        <v>1.0809</v>
      </c>
      <c r="L888">
        <f t="shared" si="78"/>
        <v>5.9999999999997833E-3</v>
      </c>
      <c r="W888">
        <f t="shared" si="80"/>
        <v>-4.5721304763203735E-3</v>
      </c>
      <c r="X888">
        <f t="shared" si="81"/>
        <v>8.8791749197456081E-4</v>
      </c>
      <c r="Y888">
        <f t="shared" si="81"/>
        <v>3.7019263727976421E-3</v>
      </c>
      <c r="Z888">
        <f t="shared" si="81"/>
        <v>7.1808327004073188E-3</v>
      </c>
      <c r="AE888">
        <f>W888-mu-theta*AE887</f>
        <v>-4.4020391828313472E-3</v>
      </c>
      <c r="AF888">
        <f t="shared" si="83"/>
        <v>1.7600463820653571E-3</v>
      </c>
      <c r="AG888">
        <f t="shared" si="83"/>
        <v>4.6678678570244349E-3</v>
      </c>
      <c r="AK888">
        <f t="shared" si="82"/>
        <v>1.9377948967182474E-5</v>
      </c>
    </row>
    <row r="889" spans="1:37" x14ac:dyDescent="0.3">
      <c r="A889" s="1">
        <v>45168</v>
      </c>
      <c r="B889">
        <v>1.0924</v>
      </c>
      <c r="C889">
        <v>1.2718</v>
      </c>
      <c r="D889">
        <v>146.24</v>
      </c>
      <c r="G889">
        <v>1.0924</v>
      </c>
      <c r="H889">
        <f t="shared" si="79"/>
        <v>1.0876999999999999</v>
      </c>
      <c r="I889">
        <f t="shared" si="79"/>
        <v>1.0817000000000001</v>
      </c>
      <c r="J889">
        <f t="shared" si="79"/>
        <v>1.08</v>
      </c>
      <c r="L889">
        <f t="shared" si="78"/>
        <v>4.7000000000001485E-3</v>
      </c>
      <c r="W889">
        <f t="shared" si="80"/>
        <v>2.5365051072873419E-3</v>
      </c>
      <c r="X889">
        <f t="shared" si="81"/>
        <v>-4.5721304763203735E-3</v>
      </c>
      <c r="Y889">
        <f t="shared" si="81"/>
        <v>8.8791749197456081E-4</v>
      </c>
      <c r="Z889">
        <f t="shared" si="81"/>
        <v>3.7019263727976421E-3</v>
      </c>
      <c r="AE889">
        <f>W889-mu-theta*AE888</f>
        <v>1.218879298028365E-3</v>
      </c>
      <c r="AF889">
        <f t="shared" si="83"/>
        <v>-4.4020391828313472E-3</v>
      </c>
      <c r="AG889">
        <f t="shared" si="83"/>
        <v>1.7600463820653571E-3</v>
      </c>
      <c r="AK889">
        <f t="shared" si="82"/>
        <v>1.4856667431621198E-6</v>
      </c>
    </row>
    <row r="890" spans="1:37" x14ac:dyDescent="0.3">
      <c r="A890" s="1">
        <v>45169</v>
      </c>
      <c r="B890">
        <v>1.0841000000000001</v>
      </c>
      <c r="C890">
        <v>1.2673000000000001</v>
      </c>
      <c r="D890">
        <v>145.53</v>
      </c>
      <c r="G890">
        <v>1.0841000000000001</v>
      </c>
      <c r="H890">
        <f t="shared" si="79"/>
        <v>1.0924</v>
      </c>
      <c r="I890">
        <f t="shared" si="79"/>
        <v>1.0876999999999999</v>
      </c>
      <c r="J890">
        <f t="shared" si="79"/>
        <v>1.0817000000000001</v>
      </c>
      <c r="L890">
        <f t="shared" si="78"/>
        <v>-8.2999999999999741E-3</v>
      </c>
      <c r="W890">
        <f t="shared" si="80"/>
        <v>-4.8550328227571658E-3</v>
      </c>
      <c r="X890">
        <f t="shared" si="81"/>
        <v>2.5365051072873419E-3</v>
      </c>
      <c r="Y890">
        <f t="shared" si="81"/>
        <v>-4.5721304763203735E-3</v>
      </c>
      <c r="Z890">
        <f t="shared" si="81"/>
        <v>8.8791749197456081E-4</v>
      </c>
      <c r="AE890">
        <f>W890-mu-theta*AE889</f>
        <v>-4.8155959185795282E-3</v>
      </c>
      <c r="AF890">
        <f t="shared" si="83"/>
        <v>1.218879298028365E-3</v>
      </c>
      <c r="AG890">
        <f t="shared" si="83"/>
        <v>-4.4020391828313472E-3</v>
      </c>
      <c r="AK890">
        <f t="shared" si="82"/>
        <v>2.3189964051039811E-5</v>
      </c>
    </row>
    <row r="891" spans="1:37" x14ac:dyDescent="0.3">
      <c r="A891" s="1">
        <v>45170</v>
      </c>
      <c r="B891">
        <v>1.0772999999999999</v>
      </c>
      <c r="C891">
        <v>1.2587999999999999</v>
      </c>
      <c r="D891">
        <v>146.22999999999999</v>
      </c>
      <c r="G891">
        <v>1.0772999999999999</v>
      </c>
      <c r="H891">
        <f t="shared" si="79"/>
        <v>1.0841000000000001</v>
      </c>
      <c r="I891">
        <f t="shared" si="79"/>
        <v>1.0924</v>
      </c>
      <c r="J891">
        <f t="shared" si="79"/>
        <v>1.0876999999999999</v>
      </c>
      <c r="L891">
        <f t="shared" si="78"/>
        <v>-6.8000000000001393E-3</v>
      </c>
      <c r="W891">
        <f t="shared" si="80"/>
        <v>4.8100048100047322E-3</v>
      </c>
      <c r="X891">
        <f t="shared" si="81"/>
        <v>-4.8550328227571658E-3</v>
      </c>
      <c r="Y891">
        <f t="shared" si="81"/>
        <v>2.5365051072873419E-3</v>
      </c>
      <c r="Z891">
        <f t="shared" si="81"/>
        <v>-4.5721304763203735E-3</v>
      </c>
      <c r="AE891">
        <f>W891-mu-theta*AE890</f>
        <v>3.3925336769102497E-3</v>
      </c>
      <c r="AF891">
        <f t="shared" si="83"/>
        <v>-4.8155959185795282E-3</v>
      </c>
      <c r="AG891">
        <f t="shared" si="83"/>
        <v>1.218879298028365E-3</v>
      </c>
      <c r="AK891">
        <f t="shared" si="82"/>
        <v>1.1509284748970179E-5</v>
      </c>
    </row>
    <row r="892" spans="1:37" x14ac:dyDescent="0.3">
      <c r="A892" s="1">
        <v>45173</v>
      </c>
      <c r="B892">
        <v>1.0793999999999999</v>
      </c>
      <c r="C892">
        <v>1.2621</v>
      </c>
      <c r="D892">
        <v>146.46</v>
      </c>
      <c r="G892">
        <v>1.0793999999999999</v>
      </c>
      <c r="H892">
        <f t="shared" si="79"/>
        <v>1.0772999999999999</v>
      </c>
      <c r="I892">
        <f t="shared" si="79"/>
        <v>1.0841000000000001</v>
      </c>
      <c r="J892">
        <f t="shared" si="79"/>
        <v>1.0924</v>
      </c>
      <c r="L892">
        <f t="shared" si="78"/>
        <v>2.0999999999999908E-3</v>
      </c>
      <c r="W892">
        <f t="shared" si="80"/>
        <v>1.5728646652534925E-3</v>
      </c>
      <c r="X892">
        <f t="shared" si="81"/>
        <v>4.8100048100047322E-3</v>
      </c>
      <c r="Y892">
        <f t="shared" si="81"/>
        <v>-4.8550328227571658E-3</v>
      </c>
      <c r="Z892">
        <f t="shared" si="81"/>
        <v>2.5365051072873419E-3</v>
      </c>
      <c r="AE892">
        <f>W892-mu-theta*AE891</f>
        <v>2.1370886339515294E-3</v>
      </c>
      <c r="AF892">
        <f t="shared" si="83"/>
        <v>3.3925336769102497E-3</v>
      </c>
      <c r="AG892">
        <f t="shared" si="83"/>
        <v>-4.8155959185795282E-3</v>
      </c>
      <c r="AK892">
        <f t="shared" si="82"/>
        <v>4.5671478293648142E-6</v>
      </c>
    </row>
    <row r="893" spans="1:37" x14ac:dyDescent="0.3">
      <c r="A893" s="1">
        <v>45174</v>
      </c>
      <c r="B893">
        <v>1.0720000000000001</v>
      </c>
      <c r="C893">
        <v>1.2563</v>
      </c>
      <c r="D893">
        <v>147.71</v>
      </c>
      <c r="G893">
        <v>1.0720000000000001</v>
      </c>
      <c r="H893">
        <f t="shared" si="79"/>
        <v>1.0793999999999999</v>
      </c>
      <c r="I893">
        <f t="shared" si="79"/>
        <v>1.0772999999999999</v>
      </c>
      <c r="J893">
        <f t="shared" si="79"/>
        <v>1.0841000000000001</v>
      </c>
      <c r="L893">
        <f t="shared" si="78"/>
        <v>-7.3999999999998511E-3</v>
      </c>
      <c r="W893">
        <f t="shared" si="80"/>
        <v>8.5347535163184489E-3</v>
      </c>
      <c r="X893">
        <f t="shared" si="81"/>
        <v>1.5728646652534925E-3</v>
      </c>
      <c r="Y893">
        <f t="shared" si="81"/>
        <v>4.8100048100047322E-3</v>
      </c>
      <c r="Z893">
        <f t="shared" si="81"/>
        <v>-4.8550328227571658E-3</v>
      </c>
      <c r="AE893">
        <f>W893-mu-theta*AE892</f>
        <v>8.7958744134509423E-3</v>
      </c>
      <c r="AF893">
        <f t="shared" si="83"/>
        <v>2.1370886339515294E-3</v>
      </c>
      <c r="AG893">
        <f t="shared" si="83"/>
        <v>3.3925336769102497E-3</v>
      </c>
      <c r="AK893">
        <f t="shared" si="82"/>
        <v>7.7367406697200961E-5</v>
      </c>
    </row>
    <row r="894" spans="1:37" x14ac:dyDescent="0.3">
      <c r="A894" s="1">
        <v>45175</v>
      </c>
      <c r="B894">
        <v>1.0727</v>
      </c>
      <c r="C894">
        <v>1.2504999999999999</v>
      </c>
      <c r="D894">
        <v>147.65</v>
      </c>
      <c r="G894">
        <v>1.0727</v>
      </c>
      <c r="H894">
        <f t="shared" si="79"/>
        <v>1.0720000000000001</v>
      </c>
      <c r="I894">
        <f t="shared" si="79"/>
        <v>1.0793999999999999</v>
      </c>
      <c r="J894">
        <f t="shared" si="79"/>
        <v>1.0772999999999999</v>
      </c>
      <c r="L894">
        <f t="shared" si="78"/>
        <v>6.9999999999992291E-4</v>
      </c>
      <c r="W894">
        <f t="shared" si="80"/>
        <v>-4.0620134046443889E-4</v>
      </c>
      <c r="X894">
        <f t="shared" si="81"/>
        <v>8.5347535163184489E-3</v>
      </c>
      <c r="Y894">
        <f t="shared" si="81"/>
        <v>1.5728646652534925E-3</v>
      </c>
      <c r="Z894">
        <f t="shared" si="81"/>
        <v>4.8100048100047322E-3</v>
      </c>
      <c r="AE894">
        <f>W894-mu-theta*AE893</f>
        <v>1.4625553779117231E-3</v>
      </c>
      <c r="AF894">
        <f t="shared" si="83"/>
        <v>8.7958744134509423E-3</v>
      </c>
      <c r="AG894">
        <f t="shared" si="83"/>
        <v>2.1370886339515294E-3</v>
      </c>
      <c r="AK894">
        <f t="shared" si="82"/>
        <v>2.139068233458503E-6</v>
      </c>
    </row>
    <row r="895" spans="1:37" x14ac:dyDescent="0.3">
      <c r="A895" s="1">
        <v>45176</v>
      </c>
      <c r="B895">
        <v>1.0699000000000001</v>
      </c>
      <c r="C895">
        <v>1.2473000000000001</v>
      </c>
      <c r="D895">
        <v>147.29</v>
      </c>
      <c r="G895">
        <v>1.0699000000000001</v>
      </c>
      <c r="H895">
        <f t="shared" si="79"/>
        <v>1.0727</v>
      </c>
      <c r="I895">
        <f t="shared" si="79"/>
        <v>1.0720000000000001</v>
      </c>
      <c r="J895">
        <f t="shared" si="79"/>
        <v>1.0793999999999999</v>
      </c>
      <c r="L895">
        <f t="shared" si="78"/>
        <v>-2.7999999999999137E-3</v>
      </c>
      <c r="W895">
        <f t="shared" si="80"/>
        <v>-2.4381984422621986E-3</v>
      </c>
      <c r="X895">
        <f t="shared" si="81"/>
        <v>-4.0620134046443889E-4</v>
      </c>
      <c r="Y895">
        <f t="shared" si="81"/>
        <v>8.5347535163184489E-3</v>
      </c>
      <c r="Z895">
        <f t="shared" si="81"/>
        <v>1.5728646652534925E-3</v>
      </c>
      <c r="AE895">
        <f>W895-mu-theta*AE894</f>
        <v>-2.3399306329056034E-3</v>
      </c>
      <c r="AF895">
        <f t="shared" si="83"/>
        <v>1.4625553779117231E-3</v>
      </c>
      <c r="AG895">
        <f t="shared" si="83"/>
        <v>8.7958744134509423E-3</v>
      </c>
      <c r="AK895">
        <f t="shared" si="82"/>
        <v>5.4752753668100182E-6</v>
      </c>
    </row>
    <row r="896" spans="1:37" x14ac:dyDescent="0.3">
      <c r="A896" s="1">
        <v>45177</v>
      </c>
      <c r="B896">
        <v>1.0699000000000001</v>
      </c>
      <c r="C896">
        <v>1.2464</v>
      </c>
      <c r="D896">
        <v>147.81</v>
      </c>
      <c r="G896">
        <v>1.0699000000000001</v>
      </c>
      <c r="H896">
        <f t="shared" si="79"/>
        <v>1.0699000000000001</v>
      </c>
      <c r="I896">
        <f t="shared" si="79"/>
        <v>1.0727</v>
      </c>
      <c r="J896">
        <f t="shared" si="79"/>
        <v>1.0720000000000001</v>
      </c>
      <c r="L896">
        <f t="shared" si="78"/>
        <v>0</v>
      </c>
      <c r="W896">
        <f t="shared" si="80"/>
        <v>3.5304501323919495E-3</v>
      </c>
      <c r="X896">
        <f t="shared" si="81"/>
        <v>-2.4381984422621986E-3</v>
      </c>
      <c r="Y896">
        <f t="shared" si="81"/>
        <v>-4.0620134046443889E-4</v>
      </c>
      <c r="Z896">
        <f t="shared" si="81"/>
        <v>8.5347535163184489E-3</v>
      </c>
      <c r="AE896">
        <f>W896-mu-theta*AE895</f>
        <v>2.7106807915539591E-3</v>
      </c>
      <c r="AF896">
        <f t="shared" si="83"/>
        <v>-2.3399306329056034E-3</v>
      </c>
      <c r="AG896">
        <f t="shared" si="83"/>
        <v>1.4625553779117231E-3</v>
      </c>
      <c r="AK896">
        <f t="shared" si="82"/>
        <v>7.3477903536995986E-6</v>
      </c>
    </row>
    <row r="897" spans="1:37" x14ac:dyDescent="0.3">
      <c r="A897" s="1">
        <v>45180</v>
      </c>
      <c r="B897">
        <v>1.0748</v>
      </c>
      <c r="C897">
        <v>1.2508999999999999</v>
      </c>
      <c r="D897">
        <v>146.58000000000001</v>
      </c>
      <c r="G897">
        <v>1.0748</v>
      </c>
      <c r="H897">
        <f t="shared" si="79"/>
        <v>1.0699000000000001</v>
      </c>
      <c r="I897">
        <f t="shared" si="79"/>
        <v>1.0699000000000001</v>
      </c>
      <c r="J897">
        <f t="shared" si="79"/>
        <v>1.0727</v>
      </c>
      <c r="L897">
        <f t="shared" si="78"/>
        <v>4.8999999999999044E-3</v>
      </c>
      <c r="W897">
        <f t="shared" si="80"/>
        <v>-8.3214938096203891E-3</v>
      </c>
      <c r="X897">
        <f t="shared" si="81"/>
        <v>3.5304501323919495E-3</v>
      </c>
      <c r="Y897">
        <f t="shared" si="81"/>
        <v>-2.4381984422621986E-3</v>
      </c>
      <c r="Z897">
        <f t="shared" si="81"/>
        <v>-4.0620134046443889E-4</v>
      </c>
      <c r="AE897">
        <f>W897-mu-theta*AE896</f>
        <v>-7.9218901124877665E-3</v>
      </c>
      <c r="AF897">
        <f t="shared" si="83"/>
        <v>2.7106807915539591E-3</v>
      </c>
      <c r="AG897">
        <f t="shared" si="83"/>
        <v>-2.3399306329056034E-3</v>
      </c>
      <c r="AK897">
        <f t="shared" si="82"/>
        <v>6.2756342954331445E-5</v>
      </c>
    </row>
    <row r="898" spans="1:37" x14ac:dyDescent="0.3">
      <c r="A898" s="1">
        <v>45181</v>
      </c>
      <c r="B898">
        <v>1.0751999999999999</v>
      </c>
      <c r="C898">
        <v>1.2484</v>
      </c>
      <c r="D898">
        <v>147.08000000000001</v>
      </c>
      <c r="G898">
        <v>1.0751999999999999</v>
      </c>
      <c r="H898">
        <f t="shared" si="79"/>
        <v>1.0748</v>
      </c>
      <c r="I898">
        <f t="shared" si="79"/>
        <v>1.0699000000000001</v>
      </c>
      <c r="J898">
        <f t="shared" si="79"/>
        <v>1.0699000000000001</v>
      </c>
      <c r="L898">
        <f t="shared" si="78"/>
        <v>3.9999999999995595E-4</v>
      </c>
      <c r="W898">
        <f t="shared" si="80"/>
        <v>3.411106562969027E-3</v>
      </c>
      <c r="X898">
        <f t="shared" si="81"/>
        <v>-8.3214938096203891E-3</v>
      </c>
      <c r="Y898">
        <f t="shared" si="81"/>
        <v>3.5304501323919495E-3</v>
      </c>
      <c r="Z898">
        <f t="shared" si="81"/>
        <v>-2.4381984422621986E-3</v>
      </c>
      <c r="AE898">
        <f>W898-mu-theta*AE897</f>
        <v>1.2436804106242439E-3</v>
      </c>
      <c r="AF898">
        <f t="shared" si="83"/>
        <v>-7.9218901124877665E-3</v>
      </c>
      <c r="AG898">
        <f t="shared" si="83"/>
        <v>2.7106807915539591E-3</v>
      </c>
      <c r="AK898">
        <f t="shared" si="82"/>
        <v>1.5467409637704878E-6</v>
      </c>
    </row>
    <row r="899" spans="1:37" x14ac:dyDescent="0.3">
      <c r="A899" s="1">
        <v>45182</v>
      </c>
      <c r="B899">
        <v>1.0728</v>
      </c>
      <c r="C899">
        <v>1.2487999999999999</v>
      </c>
      <c r="D899">
        <v>147.44999999999999</v>
      </c>
      <c r="G899">
        <v>1.0728</v>
      </c>
      <c r="H899">
        <f t="shared" si="79"/>
        <v>1.0751999999999999</v>
      </c>
      <c r="I899">
        <f t="shared" si="79"/>
        <v>1.0748</v>
      </c>
      <c r="J899">
        <f t="shared" si="79"/>
        <v>1.0699000000000001</v>
      </c>
      <c r="L899">
        <f t="shared" si="78"/>
        <v>-2.3999999999999577E-3</v>
      </c>
      <c r="W899">
        <f t="shared" si="80"/>
        <v>2.5156377481641017E-3</v>
      </c>
      <c r="X899">
        <f t="shared" si="81"/>
        <v>3.411106562969027E-3</v>
      </c>
      <c r="Y899">
        <f t="shared" si="81"/>
        <v>-8.3214938096203891E-3</v>
      </c>
      <c r="Z899">
        <f t="shared" si="81"/>
        <v>3.5304501323919495E-3</v>
      </c>
      <c r="AE899">
        <f>W899-mu-theta*AE898</f>
        <v>2.5610624042136476E-3</v>
      </c>
      <c r="AF899">
        <f t="shared" si="83"/>
        <v>1.2436804106242439E-3</v>
      </c>
      <c r="AG899">
        <f t="shared" si="83"/>
        <v>-7.9218901124877665E-3</v>
      </c>
      <c r="AK899">
        <f t="shared" si="82"/>
        <v>6.5590406382765889E-6</v>
      </c>
    </row>
    <row r="900" spans="1:37" x14ac:dyDescent="0.3">
      <c r="A900" s="1">
        <v>45183</v>
      </c>
      <c r="B900">
        <v>1.0641</v>
      </c>
      <c r="C900">
        <v>1.2408999999999999</v>
      </c>
      <c r="D900">
        <v>147.47</v>
      </c>
      <c r="G900">
        <v>1.0641</v>
      </c>
      <c r="H900">
        <f t="shared" si="79"/>
        <v>1.0728</v>
      </c>
      <c r="I900">
        <f t="shared" si="79"/>
        <v>1.0751999999999999</v>
      </c>
      <c r="J900">
        <f t="shared" si="79"/>
        <v>1.0748</v>
      </c>
      <c r="L900">
        <f t="shared" si="78"/>
        <v>-8.69999999999993E-3</v>
      </c>
      <c r="W900">
        <f t="shared" si="80"/>
        <v>1.3563919972879099E-4</v>
      </c>
      <c r="X900">
        <f t="shared" si="81"/>
        <v>2.5156377481641017E-3</v>
      </c>
      <c r="Y900">
        <f t="shared" si="81"/>
        <v>3.411106562969027E-3</v>
      </c>
      <c r="Z900">
        <f t="shared" si="81"/>
        <v>-8.3214938096203891E-3</v>
      </c>
      <c r="AE900">
        <f>W900-mu-theta*AE899</f>
        <v>4.9912041342824187E-4</v>
      </c>
      <c r="AF900">
        <f t="shared" si="83"/>
        <v>2.5610624042136476E-3</v>
      </c>
      <c r="AG900">
        <f t="shared" si="83"/>
        <v>1.2436804106242439E-3</v>
      </c>
      <c r="AK900">
        <f t="shared" si="82"/>
        <v>2.4912118710077909E-7</v>
      </c>
    </row>
    <row r="901" spans="1:37" x14ac:dyDescent="0.3">
      <c r="A901" s="1">
        <v>45184</v>
      </c>
      <c r="B901">
        <v>1.0654999999999999</v>
      </c>
      <c r="C901">
        <v>1.2388999999999999</v>
      </c>
      <c r="D901">
        <v>147.82</v>
      </c>
      <c r="G901">
        <v>1.0654999999999999</v>
      </c>
      <c r="H901">
        <f t="shared" si="79"/>
        <v>1.0641</v>
      </c>
      <c r="I901">
        <f t="shared" si="79"/>
        <v>1.0728</v>
      </c>
      <c r="J901">
        <f t="shared" si="79"/>
        <v>1.0751999999999999</v>
      </c>
      <c r="L901">
        <f t="shared" si="78"/>
        <v>1.3999999999998458E-3</v>
      </c>
      <c r="W901">
        <f t="shared" si="80"/>
        <v>2.3733640740489204E-3</v>
      </c>
      <c r="X901">
        <f t="shared" si="81"/>
        <v>1.3563919972879099E-4</v>
      </c>
      <c r="Y901">
        <f t="shared" si="81"/>
        <v>2.5156377481641017E-3</v>
      </c>
      <c r="Z901">
        <f t="shared" si="81"/>
        <v>3.411106562969027E-3</v>
      </c>
      <c r="AE901">
        <f>W901-mu-theta*AE900</f>
        <v>2.2390290318299684E-3</v>
      </c>
      <c r="AF901">
        <f t="shared" si="83"/>
        <v>4.9912041342824187E-4</v>
      </c>
      <c r="AG901">
        <f t="shared" si="83"/>
        <v>2.5610624042136476E-3</v>
      </c>
      <c r="AK901">
        <f t="shared" si="82"/>
        <v>5.0132510053774455E-6</v>
      </c>
    </row>
    <row r="902" spans="1:37" x14ac:dyDescent="0.3">
      <c r="A902" s="1">
        <v>45187</v>
      </c>
      <c r="B902">
        <v>1.069</v>
      </c>
      <c r="C902">
        <v>1.2382</v>
      </c>
      <c r="D902">
        <v>147.6</v>
      </c>
      <c r="G902">
        <v>1.069</v>
      </c>
      <c r="H902">
        <f t="shared" si="79"/>
        <v>1.0654999999999999</v>
      </c>
      <c r="I902">
        <f t="shared" si="79"/>
        <v>1.0641</v>
      </c>
      <c r="J902">
        <f t="shared" si="79"/>
        <v>1.0728</v>
      </c>
      <c r="L902">
        <f t="shared" ref="L902:L965" si="84">G902-H902</f>
        <v>3.5000000000000586E-3</v>
      </c>
      <c r="W902">
        <f t="shared" si="80"/>
        <v>-1.4882965769178655E-3</v>
      </c>
      <c r="X902">
        <f t="shared" si="81"/>
        <v>2.3733640740489204E-3</v>
      </c>
      <c r="Y902">
        <f t="shared" si="81"/>
        <v>1.3563919972879099E-4</v>
      </c>
      <c r="Z902">
        <f t="shared" si="81"/>
        <v>2.5156377481641017E-3</v>
      </c>
      <c r="AE902">
        <f>W902-mu-theta*AE901</f>
        <v>-1.202564130369597E-3</v>
      </c>
      <c r="AF902">
        <f t="shared" si="83"/>
        <v>2.2390290318299684E-3</v>
      </c>
      <c r="AG902">
        <f t="shared" si="83"/>
        <v>4.9912041342824187E-4</v>
      </c>
      <c r="AK902">
        <f t="shared" si="82"/>
        <v>1.4461604876515851E-6</v>
      </c>
    </row>
    <row r="903" spans="1:37" x14ac:dyDescent="0.3">
      <c r="A903" s="1">
        <v>45188</v>
      </c>
      <c r="B903">
        <v>1.0677000000000001</v>
      </c>
      <c r="C903">
        <v>1.2390000000000001</v>
      </c>
      <c r="D903">
        <v>147.86000000000001</v>
      </c>
      <c r="G903">
        <v>1.0677000000000001</v>
      </c>
      <c r="H903">
        <f t="shared" ref="H903:J966" si="85">G902</f>
        <v>1.069</v>
      </c>
      <c r="I903">
        <f t="shared" si="85"/>
        <v>1.0654999999999999</v>
      </c>
      <c r="J903">
        <f t="shared" si="85"/>
        <v>1.0641</v>
      </c>
      <c r="L903">
        <f t="shared" si="84"/>
        <v>-1.2999999999998568E-3</v>
      </c>
      <c r="W903">
        <f t="shared" ref="W903:W966" si="86">(D903-D902)/D902</f>
        <v>1.7615176151762827E-3</v>
      </c>
      <c r="X903">
        <f t="shared" si="81"/>
        <v>-1.4882965769178655E-3</v>
      </c>
      <c r="Y903">
        <f t="shared" si="81"/>
        <v>2.3733640740489204E-3</v>
      </c>
      <c r="Z903">
        <f t="shared" si="81"/>
        <v>1.3563919972879099E-4</v>
      </c>
      <c r="AE903">
        <f>W903-mu-theta*AE902</f>
        <v>1.2163435522024452E-3</v>
      </c>
      <c r="AF903">
        <f t="shared" si="83"/>
        <v>-1.202564130369597E-3</v>
      </c>
      <c r="AG903">
        <f t="shared" si="83"/>
        <v>2.2390290318299684E-3</v>
      </c>
      <c r="AK903">
        <f t="shared" si="82"/>
        <v>1.4794916369844625E-6</v>
      </c>
    </row>
    <row r="904" spans="1:37" x14ac:dyDescent="0.3">
      <c r="A904" s="1">
        <v>45189</v>
      </c>
      <c r="B904">
        <v>1.0659000000000001</v>
      </c>
      <c r="C904">
        <v>1.2343999999999999</v>
      </c>
      <c r="D904">
        <v>148.33000000000001</v>
      </c>
      <c r="G904">
        <v>1.0659000000000001</v>
      </c>
      <c r="H904">
        <f t="shared" si="85"/>
        <v>1.0677000000000001</v>
      </c>
      <c r="I904">
        <f t="shared" si="85"/>
        <v>1.069</v>
      </c>
      <c r="J904">
        <f t="shared" si="85"/>
        <v>1.0654999999999999</v>
      </c>
      <c r="L904">
        <f t="shared" si="84"/>
        <v>-1.8000000000000238E-3</v>
      </c>
      <c r="W904">
        <f t="shared" si="86"/>
        <v>3.1786825375354987E-3</v>
      </c>
      <c r="X904">
        <f t="shared" ref="X904:Z967" si="87">W903</f>
        <v>1.7615176151762827E-3</v>
      </c>
      <c r="Y904">
        <f t="shared" si="87"/>
        <v>-1.4882965769178655E-3</v>
      </c>
      <c r="Z904">
        <f t="shared" si="87"/>
        <v>2.3733640740489204E-3</v>
      </c>
      <c r="AE904">
        <f>W904-mu-theta*AE903</f>
        <v>3.2175072346293963E-3</v>
      </c>
      <c r="AF904">
        <f t="shared" si="83"/>
        <v>1.2163435522024452E-3</v>
      </c>
      <c r="AG904">
        <f t="shared" si="83"/>
        <v>-1.202564130369597E-3</v>
      </c>
      <c r="AK904">
        <f t="shared" ref="AK904:AK967" si="88">POWER(AE904,2)</f>
        <v>1.0352352804892506E-5</v>
      </c>
    </row>
    <row r="905" spans="1:37" x14ac:dyDescent="0.3">
      <c r="A905" s="1">
        <v>45190</v>
      </c>
      <c r="B905">
        <v>1.0658000000000001</v>
      </c>
      <c r="C905">
        <v>1.2294</v>
      </c>
      <c r="D905">
        <v>147.58000000000001</v>
      </c>
      <c r="G905">
        <v>1.0658000000000001</v>
      </c>
      <c r="H905">
        <f t="shared" si="85"/>
        <v>1.0659000000000001</v>
      </c>
      <c r="I905">
        <f t="shared" si="85"/>
        <v>1.0677000000000001</v>
      </c>
      <c r="J905">
        <f t="shared" si="85"/>
        <v>1.069</v>
      </c>
      <c r="L905">
        <f t="shared" si="84"/>
        <v>-9.9999999999988987E-5</v>
      </c>
      <c r="W905">
        <f t="shared" si="86"/>
        <v>-5.056293399851682E-3</v>
      </c>
      <c r="X905">
        <f t="shared" si="87"/>
        <v>3.1786825375354987E-3</v>
      </c>
      <c r="Y905">
        <f t="shared" si="87"/>
        <v>1.7615176151762827E-3</v>
      </c>
      <c r="Z905">
        <f t="shared" si="87"/>
        <v>-1.4882965769178655E-3</v>
      </c>
      <c r="AE905">
        <f>W905-mu-theta*AE904</f>
        <v>-4.5343262010202811E-3</v>
      </c>
      <c r="AF905">
        <f t="shared" ref="AF905:AG968" si="89">AE904</f>
        <v>3.2175072346293963E-3</v>
      </c>
      <c r="AG905">
        <f t="shared" si="89"/>
        <v>1.2163435522024452E-3</v>
      </c>
      <c r="AK905">
        <f t="shared" si="88"/>
        <v>2.0560114097259015E-5</v>
      </c>
    </row>
    <row r="906" spans="1:37" x14ac:dyDescent="0.3">
      <c r="A906" s="1">
        <v>45191</v>
      </c>
      <c r="B906">
        <v>1.0651999999999999</v>
      </c>
      <c r="C906">
        <v>1.2238</v>
      </c>
      <c r="D906">
        <v>148.37</v>
      </c>
      <c r="G906">
        <v>1.0651999999999999</v>
      </c>
      <c r="H906">
        <f t="shared" si="85"/>
        <v>1.0658000000000001</v>
      </c>
      <c r="I906">
        <f t="shared" si="85"/>
        <v>1.0659000000000001</v>
      </c>
      <c r="J906">
        <f t="shared" si="85"/>
        <v>1.0677000000000001</v>
      </c>
      <c r="L906">
        <f t="shared" si="84"/>
        <v>-6.0000000000015596E-4</v>
      </c>
      <c r="W906">
        <f t="shared" si="86"/>
        <v>5.3530288656999051E-3</v>
      </c>
      <c r="X906">
        <f t="shared" si="87"/>
        <v>-5.056293399851682E-3</v>
      </c>
      <c r="Y906">
        <f t="shared" si="87"/>
        <v>3.1786825375354987E-3</v>
      </c>
      <c r="Z906">
        <f t="shared" si="87"/>
        <v>1.7615176151762827E-3</v>
      </c>
      <c r="AE906">
        <f>W906-mu-theta*AE905</f>
        <v>4.0034648989196583E-3</v>
      </c>
      <c r="AF906">
        <f t="shared" si="89"/>
        <v>-4.5343262010202811E-3</v>
      </c>
      <c r="AG906">
        <f t="shared" si="89"/>
        <v>3.2175072346293963E-3</v>
      </c>
      <c r="AK906">
        <f t="shared" si="88"/>
        <v>1.6027731196881791E-5</v>
      </c>
    </row>
    <row r="907" spans="1:37" x14ac:dyDescent="0.3">
      <c r="A907" s="1">
        <v>45194</v>
      </c>
      <c r="B907">
        <v>1.0589999999999999</v>
      </c>
      <c r="C907">
        <v>1.2211000000000001</v>
      </c>
      <c r="D907">
        <v>148.88</v>
      </c>
      <c r="G907">
        <v>1.0589999999999999</v>
      </c>
      <c r="H907">
        <f t="shared" si="85"/>
        <v>1.0651999999999999</v>
      </c>
      <c r="I907">
        <f t="shared" si="85"/>
        <v>1.0658000000000001</v>
      </c>
      <c r="J907">
        <f t="shared" si="85"/>
        <v>1.0659000000000001</v>
      </c>
      <c r="L907">
        <f t="shared" si="84"/>
        <v>-6.1999999999999833E-3</v>
      </c>
      <c r="W907">
        <f t="shared" si="86"/>
        <v>3.4373525645345479E-3</v>
      </c>
      <c r="X907">
        <f t="shared" si="87"/>
        <v>5.3530288656999051E-3</v>
      </c>
      <c r="Y907">
        <f t="shared" si="87"/>
        <v>-5.056293399851682E-3</v>
      </c>
      <c r="Z907">
        <f t="shared" si="87"/>
        <v>3.1786825375354987E-3</v>
      </c>
      <c r="AE907">
        <f>W907-mu-theta*AE906</f>
        <v>4.1490741325460037E-3</v>
      </c>
      <c r="AF907">
        <f t="shared" si="89"/>
        <v>4.0034648989196583E-3</v>
      </c>
      <c r="AG907">
        <f t="shared" si="89"/>
        <v>-4.5343262010202811E-3</v>
      </c>
      <c r="AK907">
        <f t="shared" si="88"/>
        <v>1.7214816157362374E-5</v>
      </c>
    </row>
    <row r="908" spans="1:37" x14ac:dyDescent="0.3">
      <c r="A908" s="1">
        <v>45195</v>
      </c>
      <c r="B908">
        <v>1.0569999999999999</v>
      </c>
      <c r="C908">
        <v>1.2157</v>
      </c>
      <c r="D908">
        <v>149.05000000000001</v>
      </c>
      <c r="G908">
        <v>1.0569999999999999</v>
      </c>
      <c r="H908">
        <f t="shared" si="85"/>
        <v>1.0589999999999999</v>
      </c>
      <c r="I908">
        <f t="shared" si="85"/>
        <v>1.0651999999999999</v>
      </c>
      <c r="J908">
        <f t="shared" si="85"/>
        <v>1.0658000000000001</v>
      </c>
      <c r="L908">
        <f t="shared" si="84"/>
        <v>-2.0000000000000018E-3</v>
      </c>
      <c r="W908">
        <f t="shared" si="86"/>
        <v>1.1418592154756578E-3</v>
      </c>
      <c r="X908">
        <f t="shared" si="87"/>
        <v>3.4373525645345479E-3</v>
      </c>
      <c r="Y908">
        <f t="shared" si="87"/>
        <v>5.3530288656999051E-3</v>
      </c>
      <c r="Z908">
        <f t="shared" si="87"/>
        <v>-5.056293399851682E-3</v>
      </c>
      <c r="AE908">
        <f>W908-mu-theta*AE907</f>
        <v>1.8887353338260416E-3</v>
      </c>
      <c r="AF908">
        <f t="shared" si="89"/>
        <v>4.1490741325460037E-3</v>
      </c>
      <c r="AG908">
        <f t="shared" si="89"/>
        <v>4.0034648989196583E-3</v>
      </c>
      <c r="AK908">
        <f t="shared" si="88"/>
        <v>3.5673211612429686E-6</v>
      </c>
    </row>
    <row r="909" spans="1:37" x14ac:dyDescent="0.3">
      <c r="A909" s="1">
        <v>45196</v>
      </c>
      <c r="B909">
        <v>1.05</v>
      </c>
      <c r="C909">
        <v>1.2134</v>
      </c>
      <c r="D909">
        <v>149.63</v>
      </c>
      <c r="G909">
        <v>1.05</v>
      </c>
      <c r="H909">
        <f t="shared" si="85"/>
        <v>1.0569999999999999</v>
      </c>
      <c r="I909">
        <f t="shared" si="85"/>
        <v>1.0589999999999999</v>
      </c>
      <c r="J909">
        <f t="shared" si="85"/>
        <v>1.0651999999999999</v>
      </c>
      <c r="L909">
        <f t="shared" si="84"/>
        <v>-6.9999999999998952E-3</v>
      </c>
      <c r="W909">
        <f t="shared" si="86"/>
        <v>3.8913116403890241E-3</v>
      </c>
      <c r="X909">
        <f t="shared" si="87"/>
        <v>1.1418592154756578E-3</v>
      </c>
      <c r="Y909">
        <f t="shared" si="87"/>
        <v>3.4373525645345479E-3</v>
      </c>
      <c r="Z909">
        <f t="shared" si="87"/>
        <v>5.3530288656999051E-3</v>
      </c>
      <c r="AE909">
        <f>W909-mu-theta*AE908</f>
        <v>4.0924724074276747E-3</v>
      </c>
      <c r="AF909">
        <f t="shared" si="89"/>
        <v>1.8887353338260416E-3</v>
      </c>
      <c r="AG909">
        <f t="shared" si="89"/>
        <v>4.1490741325460037E-3</v>
      </c>
      <c r="AK909">
        <f t="shared" si="88"/>
        <v>1.6748330405556867E-5</v>
      </c>
    </row>
    <row r="910" spans="1:37" x14ac:dyDescent="0.3">
      <c r="A910" s="1">
        <v>45197</v>
      </c>
      <c r="B910">
        <v>1.0559000000000001</v>
      </c>
      <c r="C910">
        <v>1.2197</v>
      </c>
      <c r="D910">
        <v>149.29</v>
      </c>
      <c r="G910">
        <v>1.0559000000000001</v>
      </c>
      <c r="H910">
        <f t="shared" si="85"/>
        <v>1.05</v>
      </c>
      <c r="I910">
        <f t="shared" si="85"/>
        <v>1.0569999999999999</v>
      </c>
      <c r="J910">
        <f t="shared" si="85"/>
        <v>1.0589999999999999</v>
      </c>
      <c r="L910">
        <f t="shared" si="84"/>
        <v>5.9000000000000163E-3</v>
      </c>
      <c r="W910">
        <f t="shared" si="86"/>
        <v>-2.2722716032881336E-3</v>
      </c>
      <c r="X910">
        <f t="shared" si="87"/>
        <v>3.8913116403890241E-3</v>
      </c>
      <c r="Y910">
        <f t="shared" si="87"/>
        <v>1.1418592154756578E-3</v>
      </c>
      <c r="Z910">
        <f t="shared" si="87"/>
        <v>3.4373525645345479E-3</v>
      </c>
      <c r="AE910">
        <f>W910-mu-theta*AE909</f>
        <v>-1.5390608833838993E-3</v>
      </c>
      <c r="AF910">
        <f t="shared" si="89"/>
        <v>4.0924724074276747E-3</v>
      </c>
      <c r="AG910">
        <f t="shared" si="89"/>
        <v>1.8887353338260416E-3</v>
      </c>
      <c r="AK910">
        <f t="shared" si="88"/>
        <v>2.3687084027624284E-6</v>
      </c>
    </row>
    <row r="911" spans="1:37" x14ac:dyDescent="0.3">
      <c r="A911" s="1">
        <v>45198</v>
      </c>
      <c r="B911">
        <v>1.0569999999999999</v>
      </c>
      <c r="C911">
        <v>1.2197</v>
      </c>
      <c r="D911">
        <v>149.35</v>
      </c>
      <c r="G911">
        <v>1.0569999999999999</v>
      </c>
      <c r="H911">
        <f t="shared" si="85"/>
        <v>1.0559000000000001</v>
      </c>
      <c r="I911">
        <f t="shared" si="85"/>
        <v>1.05</v>
      </c>
      <c r="J911">
        <f t="shared" si="85"/>
        <v>1.0569999999999999</v>
      </c>
      <c r="L911">
        <f t="shared" si="84"/>
        <v>1.0999999999998789E-3</v>
      </c>
      <c r="W911">
        <f t="shared" si="86"/>
        <v>4.019023377319464E-4</v>
      </c>
      <c r="X911">
        <f t="shared" si="87"/>
        <v>-2.2722716032881336E-3</v>
      </c>
      <c r="Y911">
        <f t="shared" si="87"/>
        <v>3.8913116403890241E-3</v>
      </c>
      <c r="Z911">
        <f t="shared" si="87"/>
        <v>1.1418592154756578E-3</v>
      </c>
      <c r="AE911">
        <f>W911-mu-theta*AE910</f>
        <v>-2.245123976094354E-4</v>
      </c>
      <c r="AF911">
        <f t="shared" si="89"/>
        <v>-1.5390608833838993E-3</v>
      </c>
      <c r="AG911">
        <f t="shared" si="89"/>
        <v>4.0924724074276747E-3</v>
      </c>
      <c r="AK911">
        <f t="shared" si="88"/>
        <v>5.0405816680337216E-8</v>
      </c>
    </row>
    <row r="912" spans="1:37" x14ac:dyDescent="0.3">
      <c r="A912" s="1">
        <v>45201</v>
      </c>
      <c r="B912">
        <v>1.0476000000000001</v>
      </c>
      <c r="C912">
        <v>1.2085999999999999</v>
      </c>
      <c r="D912">
        <v>149.85</v>
      </c>
      <c r="G912">
        <v>1.0476000000000001</v>
      </c>
      <c r="H912">
        <f t="shared" si="85"/>
        <v>1.0569999999999999</v>
      </c>
      <c r="I912">
        <f t="shared" si="85"/>
        <v>1.0559000000000001</v>
      </c>
      <c r="J912">
        <f t="shared" si="85"/>
        <v>1.05</v>
      </c>
      <c r="L912">
        <f t="shared" si="84"/>
        <v>-9.3999999999998529E-3</v>
      </c>
      <c r="W912">
        <f t="shared" si="86"/>
        <v>3.3478406427854034E-3</v>
      </c>
      <c r="X912">
        <f t="shared" si="87"/>
        <v>4.019023377319464E-4</v>
      </c>
      <c r="Y912">
        <f t="shared" si="87"/>
        <v>-2.2722716032881336E-3</v>
      </c>
      <c r="Z912">
        <f t="shared" si="87"/>
        <v>3.8913116403890241E-3</v>
      </c>
      <c r="AE912">
        <f>W912-mu-theta*AE911</f>
        <v>3.038798369101967E-3</v>
      </c>
      <c r="AF912">
        <f t="shared" si="89"/>
        <v>-2.245123976094354E-4</v>
      </c>
      <c r="AG912">
        <f t="shared" si="89"/>
        <v>-1.5390608833838993E-3</v>
      </c>
      <c r="AK912">
        <f t="shared" si="88"/>
        <v>9.2342955280567738E-6</v>
      </c>
    </row>
    <row r="913" spans="1:37" x14ac:dyDescent="0.3">
      <c r="A913" s="1">
        <v>45202</v>
      </c>
      <c r="B913">
        <v>1.0465</v>
      </c>
      <c r="C913">
        <v>1.2075</v>
      </c>
      <c r="D913">
        <v>149.02000000000001</v>
      </c>
      <c r="G913">
        <v>1.0465</v>
      </c>
      <c r="H913">
        <f t="shared" si="85"/>
        <v>1.0476000000000001</v>
      </c>
      <c r="I913">
        <f t="shared" si="85"/>
        <v>1.0569999999999999</v>
      </c>
      <c r="J913">
        <f t="shared" si="85"/>
        <v>1.0559000000000001</v>
      </c>
      <c r="L913">
        <f t="shared" si="84"/>
        <v>-1.1000000000001009E-3</v>
      </c>
      <c r="W913">
        <f t="shared" si="86"/>
        <v>-5.5388722055387659E-3</v>
      </c>
      <c r="X913">
        <f t="shared" si="87"/>
        <v>3.3478406427854034E-3</v>
      </c>
      <c r="Y913">
        <f t="shared" si="87"/>
        <v>4.019023377319464E-4</v>
      </c>
      <c r="Z913">
        <f t="shared" si="87"/>
        <v>-2.2722716032881336E-3</v>
      </c>
      <c r="AE913">
        <f>W913-mu-theta*AE912</f>
        <v>-5.0600508268777971E-3</v>
      </c>
      <c r="AF913">
        <f t="shared" si="89"/>
        <v>3.038798369101967E-3</v>
      </c>
      <c r="AG913">
        <f t="shared" si="89"/>
        <v>-2.245123976094354E-4</v>
      </c>
      <c r="AK913">
        <f t="shared" si="88"/>
        <v>2.5604114370586678E-5</v>
      </c>
    </row>
    <row r="914" spans="1:37" x14ac:dyDescent="0.3">
      <c r="A914" s="1">
        <v>45203</v>
      </c>
      <c r="B914">
        <v>1.0503</v>
      </c>
      <c r="C914">
        <v>1.2128000000000001</v>
      </c>
      <c r="D914">
        <v>149.12</v>
      </c>
      <c r="G914">
        <v>1.0503</v>
      </c>
      <c r="H914">
        <f t="shared" si="85"/>
        <v>1.0465</v>
      </c>
      <c r="I914">
        <f t="shared" si="85"/>
        <v>1.0476000000000001</v>
      </c>
      <c r="J914">
        <f t="shared" si="85"/>
        <v>1.0569999999999999</v>
      </c>
      <c r="L914">
        <f t="shared" si="84"/>
        <v>3.8000000000000256E-3</v>
      </c>
      <c r="W914">
        <f t="shared" si="86"/>
        <v>6.7105086565557854E-4</v>
      </c>
      <c r="X914">
        <f t="shared" si="87"/>
        <v>-5.5388722055387659E-3</v>
      </c>
      <c r="Y914">
        <f t="shared" si="87"/>
        <v>3.3478406427854034E-3</v>
      </c>
      <c r="Z914">
        <f t="shared" si="87"/>
        <v>4.019023377319464E-4</v>
      </c>
      <c r="AE914">
        <f>W914-mu-theta*AE913</f>
        <v>-8.0543920576682786E-4</v>
      </c>
      <c r="AF914">
        <f t="shared" si="89"/>
        <v>-5.0600508268777971E-3</v>
      </c>
      <c r="AG914">
        <f t="shared" si="89"/>
        <v>3.038798369101967E-3</v>
      </c>
      <c r="AK914">
        <f t="shared" si="88"/>
        <v>6.4873231418629848E-7</v>
      </c>
    </row>
    <row r="915" spans="1:37" x14ac:dyDescent="0.3">
      <c r="A915" s="1">
        <v>45204</v>
      </c>
      <c r="B915">
        <v>1.0548</v>
      </c>
      <c r="C915">
        <v>1.2190000000000001</v>
      </c>
      <c r="D915">
        <v>148.5</v>
      </c>
      <c r="G915">
        <v>1.0548</v>
      </c>
      <c r="H915">
        <f t="shared" si="85"/>
        <v>1.0503</v>
      </c>
      <c r="I915">
        <f t="shared" si="85"/>
        <v>1.0465</v>
      </c>
      <c r="J915">
        <f t="shared" si="85"/>
        <v>1.0476000000000001</v>
      </c>
      <c r="L915">
        <f t="shared" si="84"/>
        <v>4.4999999999999485E-3</v>
      </c>
      <c r="W915">
        <f t="shared" si="86"/>
        <v>-4.1577253218884423E-3</v>
      </c>
      <c r="X915">
        <f t="shared" si="87"/>
        <v>6.7105086565557854E-4</v>
      </c>
      <c r="Y915">
        <f t="shared" si="87"/>
        <v>-5.5388722055387659E-3</v>
      </c>
      <c r="Z915">
        <f t="shared" si="87"/>
        <v>3.3478406427854034E-3</v>
      </c>
      <c r="AE915">
        <f>W915-mu-theta*AE914</f>
        <v>-4.607021205950794E-3</v>
      </c>
      <c r="AF915">
        <f t="shared" si="89"/>
        <v>-8.0543920576682786E-4</v>
      </c>
      <c r="AG915">
        <f t="shared" si="89"/>
        <v>-5.0600508268777971E-3</v>
      </c>
      <c r="AK915">
        <f t="shared" si="88"/>
        <v>2.1224644392080306E-5</v>
      </c>
    </row>
    <row r="916" spans="1:37" x14ac:dyDescent="0.3">
      <c r="A916" s="1">
        <v>45205</v>
      </c>
      <c r="B916">
        <v>1.0586</v>
      </c>
      <c r="C916">
        <v>1.2238</v>
      </c>
      <c r="D916">
        <v>149.32</v>
      </c>
      <c r="G916">
        <v>1.0586</v>
      </c>
      <c r="H916">
        <f t="shared" si="85"/>
        <v>1.0548</v>
      </c>
      <c r="I916">
        <f t="shared" si="85"/>
        <v>1.0503</v>
      </c>
      <c r="J916">
        <f t="shared" si="85"/>
        <v>1.0465</v>
      </c>
      <c r="L916">
        <f t="shared" si="84"/>
        <v>3.8000000000000256E-3</v>
      </c>
      <c r="W916">
        <f t="shared" si="86"/>
        <v>5.5218855218854756E-3</v>
      </c>
      <c r="X916">
        <f t="shared" si="87"/>
        <v>-4.1577253218884423E-3</v>
      </c>
      <c r="Y916">
        <f t="shared" si="87"/>
        <v>6.7105086565557854E-4</v>
      </c>
      <c r="Z916">
        <f t="shared" si="87"/>
        <v>-5.5388722055387659E-3</v>
      </c>
      <c r="AE916">
        <f>W916-mu-theta*AE915</f>
        <v>4.1547707436177085E-3</v>
      </c>
      <c r="AF916">
        <f t="shared" si="89"/>
        <v>-4.607021205950794E-3</v>
      </c>
      <c r="AG916">
        <f t="shared" si="89"/>
        <v>-8.0543920576682786E-4</v>
      </c>
      <c r="AK916">
        <f t="shared" si="88"/>
        <v>1.7262119932021645E-5</v>
      </c>
    </row>
    <row r="917" spans="1:37" x14ac:dyDescent="0.3">
      <c r="A917" s="1">
        <v>45208</v>
      </c>
      <c r="B917">
        <v>1.0565</v>
      </c>
      <c r="C917">
        <v>1.2236</v>
      </c>
      <c r="D917">
        <v>148.5</v>
      </c>
      <c r="G917">
        <v>1.0565</v>
      </c>
      <c r="H917">
        <f t="shared" si="85"/>
        <v>1.0586</v>
      </c>
      <c r="I917">
        <f t="shared" si="85"/>
        <v>1.0548</v>
      </c>
      <c r="J917">
        <f t="shared" si="85"/>
        <v>1.0503</v>
      </c>
      <c r="L917">
        <f t="shared" si="84"/>
        <v>-2.0999999999999908E-3</v>
      </c>
      <c r="W917">
        <f t="shared" si="86"/>
        <v>-5.4915617465844712E-3</v>
      </c>
      <c r="X917">
        <f t="shared" si="87"/>
        <v>5.5218855218854756E-3</v>
      </c>
      <c r="Y917">
        <f t="shared" si="87"/>
        <v>-4.1577253218884423E-3</v>
      </c>
      <c r="Z917">
        <f t="shared" si="87"/>
        <v>6.7105086565557854E-4</v>
      </c>
      <c r="AE917">
        <f>W917-mu-theta*AE916</f>
        <v>-4.7433102909996685E-3</v>
      </c>
      <c r="AF917">
        <f t="shared" si="89"/>
        <v>4.1547707436177085E-3</v>
      </c>
      <c r="AG917">
        <f t="shared" si="89"/>
        <v>-4.607021205950794E-3</v>
      </c>
      <c r="AK917">
        <f t="shared" si="88"/>
        <v>2.249899251670336E-5</v>
      </c>
    </row>
    <row r="918" spans="1:37" x14ac:dyDescent="0.3">
      <c r="A918" s="1">
        <v>45209</v>
      </c>
      <c r="B918">
        <v>1.0603</v>
      </c>
      <c r="C918">
        <v>1.2284999999999999</v>
      </c>
      <c r="D918">
        <v>148.69999999999999</v>
      </c>
      <c r="G918">
        <v>1.0603</v>
      </c>
      <c r="H918">
        <f t="shared" si="85"/>
        <v>1.0565</v>
      </c>
      <c r="I918">
        <f t="shared" si="85"/>
        <v>1.0586</v>
      </c>
      <c r="J918">
        <f t="shared" si="85"/>
        <v>1.0548</v>
      </c>
      <c r="L918">
        <f t="shared" si="84"/>
        <v>3.8000000000000256E-3</v>
      </c>
      <c r="W918">
        <f t="shared" si="86"/>
        <v>1.3468013468012703E-3</v>
      </c>
      <c r="X918">
        <f t="shared" si="87"/>
        <v>-5.4915617465844712E-3</v>
      </c>
      <c r="Y918">
        <f t="shared" si="87"/>
        <v>5.5218855218854756E-3</v>
      </c>
      <c r="Z918">
        <f t="shared" si="87"/>
        <v>-4.1577253218884423E-3</v>
      </c>
      <c r="AE918">
        <f>W918-mu-theta*AE917</f>
        <v>-5.32178110973381E-5</v>
      </c>
      <c r="AF918">
        <f t="shared" si="89"/>
        <v>-4.7433102909996685E-3</v>
      </c>
      <c r="AG918">
        <f t="shared" si="89"/>
        <v>4.1547707436177085E-3</v>
      </c>
      <c r="AK918">
        <f t="shared" si="88"/>
        <v>2.8321354179919624E-9</v>
      </c>
    </row>
    <row r="919" spans="1:37" x14ac:dyDescent="0.3">
      <c r="A919" s="1">
        <v>45210</v>
      </c>
      <c r="B919">
        <v>1.0617000000000001</v>
      </c>
      <c r="C919">
        <v>1.2311000000000001</v>
      </c>
      <c r="D919">
        <v>149.15</v>
      </c>
      <c r="G919">
        <v>1.0617000000000001</v>
      </c>
      <c r="H919">
        <f t="shared" si="85"/>
        <v>1.0603</v>
      </c>
      <c r="I919">
        <f t="shared" si="85"/>
        <v>1.0565</v>
      </c>
      <c r="J919">
        <f t="shared" si="85"/>
        <v>1.0586</v>
      </c>
      <c r="L919">
        <f t="shared" si="84"/>
        <v>1.4000000000000679E-3</v>
      </c>
      <c r="W919">
        <f t="shared" si="86"/>
        <v>3.0262273032953401E-3</v>
      </c>
      <c r="X919">
        <f t="shared" si="87"/>
        <v>1.3468013468012703E-3</v>
      </c>
      <c r="Y919">
        <f t="shared" si="87"/>
        <v>-5.4915617465844712E-3</v>
      </c>
      <c r="Z919">
        <f t="shared" si="87"/>
        <v>5.5218855218854756E-3</v>
      </c>
      <c r="AE919">
        <f>W919-mu-theta*AE918</f>
        <v>2.7585408146425304E-3</v>
      </c>
      <c r="AF919">
        <f t="shared" si="89"/>
        <v>-5.32178110973381E-5</v>
      </c>
      <c r="AG919">
        <f t="shared" si="89"/>
        <v>-4.7433102909996685E-3</v>
      </c>
      <c r="AK919">
        <f t="shared" si="88"/>
        <v>7.6095474260486752E-6</v>
      </c>
    </row>
    <row r="920" spans="1:37" x14ac:dyDescent="0.3">
      <c r="A920" s="1">
        <v>45211</v>
      </c>
      <c r="B920">
        <v>1.0526</v>
      </c>
      <c r="C920">
        <v>1.2173</v>
      </c>
      <c r="D920">
        <v>149.80000000000001</v>
      </c>
      <c r="G920">
        <v>1.0526</v>
      </c>
      <c r="H920">
        <f t="shared" si="85"/>
        <v>1.0617000000000001</v>
      </c>
      <c r="I920">
        <f t="shared" si="85"/>
        <v>1.0603</v>
      </c>
      <c r="J920">
        <f t="shared" si="85"/>
        <v>1.0565</v>
      </c>
      <c r="L920">
        <f t="shared" si="84"/>
        <v>-9.100000000000108E-3</v>
      </c>
      <c r="W920">
        <f t="shared" si="86"/>
        <v>4.3580288300369132E-3</v>
      </c>
      <c r="X920">
        <f t="shared" si="87"/>
        <v>3.0262273032953401E-3</v>
      </c>
      <c r="Y920">
        <f t="shared" si="87"/>
        <v>1.3468013468012703E-3</v>
      </c>
      <c r="Z920">
        <f t="shared" si="87"/>
        <v>-5.4915617465844712E-3</v>
      </c>
      <c r="AE920">
        <f>W920-mu-theta*AE919</f>
        <v>4.7691874097067705E-3</v>
      </c>
      <c r="AF920">
        <f t="shared" si="89"/>
        <v>2.7585408146425304E-3</v>
      </c>
      <c r="AG920">
        <f t="shared" si="89"/>
        <v>-5.32178110973381E-5</v>
      </c>
      <c r="AK920">
        <f t="shared" si="88"/>
        <v>2.2745148548905574E-5</v>
      </c>
    </row>
    <row r="921" spans="1:37" x14ac:dyDescent="0.3">
      <c r="A921" s="1">
        <v>45212</v>
      </c>
      <c r="B921">
        <v>1.0508999999999999</v>
      </c>
      <c r="C921">
        <v>1.2141</v>
      </c>
      <c r="D921">
        <v>149.55000000000001</v>
      </c>
      <c r="G921">
        <v>1.0508999999999999</v>
      </c>
      <c r="H921">
        <f t="shared" si="85"/>
        <v>1.0526</v>
      </c>
      <c r="I921">
        <f t="shared" si="85"/>
        <v>1.0617000000000001</v>
      </c>
      <c r="J921">
        <f t="shared" si="85"/>
        <v>1.0603</v>
      </c>
      <c r="L921">
        <f t="shared" si="84"/>
        <v>-1.7000000000000348E-3</v>
      </c>
      <c r="W921">
        <f t="shared" si="86"/>
        <v>-1.6688918558077435E-3</v>
      </c>
      <c r="X921">
        <f t="shared" si="87"/>
        <v>4.3580288300369132E-3</v>
      </c>
      <c r="Y921">
        <f t="shared" si="87"/>
        <v>3.0262273032953401E-3</v>
      </c>
      <c r="Z921">
        <f t="shared" si="87"/>
        <v>1.3468013468012703E-3</v>
      </c>
      <c r="AE921">
        <f>W921-mu-theta*AE920</f>
        <v>-7.7230130743894928E-4</v>
      </c>
      <c r="AF921">
        <f t="shared" si="89"/>
        <v>4.7691874097067705E-3</v>
      </c>
      <c r="AG921">
        <f t="shared" si="89"/>
        <v>2.7585408146425304E-3</v>
      </c>
      <c r="AK921">
        <f t="shared" si="88"/>
        <v>5.9644930947191049E-7</v>
      </c>
    </row>
    <row r="922" spans="1:37" x14ac:dyDescent="0.3">
      <c r="A922" s="1">
        <v>45215</v>
      </c>
      <c r="B922">
        <v>1.0558000000000001</v>
      </c>
      <c r="C922">
        <v>1.2216</v>
      </c>
      <c r="D922">
        <v>149.5</v>
      </c>
      <c r="G922">
        <v>1.0558000000000001</v>
      </c>
      <c r="H922">
        <f t="shared" si="85"/>
        <v>1.0508999999999999</v>
      </c>
      <c r="I922">
        <f t="shared" si="85"/>
        <v>1.0526</v>
      </c>
      <c r="J922">
        <f t="shared" si="85"/>
        <v>1.0617000000000001</v>
      </c>
      <c r="L922">
        <f t="shared" si="84"/>
        <v>4.9000000000001265E-3</v>
      </c>
      <c r="W922">
        <f t="shared" si="86"/>
        <v>-3.3433634236049056E-4</v>
      </c>
      <c r="X922">
        <f t="shared" si="87"/>
        <v>-1.6688918558077435E-3</v>
      </c>
      <c r="Y922">
        <f t="shared" si="87"/>
        <v>4.3580288300369132E-3</v>
      </c>
      <c r="Z922">
        <f t="shared" si="87"/>
        <v>3.0262273032953401E-3</v>
      </c>
      <c r="AE922">
        <f>W922-mu-theta*AE921</f>
        <v>-7.7563171789820327E-4</v>
      </c>
      <c r="AF922">
        <f t="shared" si="89"/>
        <v>-7.7230130743894928E-4</v>
      </c>
      <c r="AG922">
        <f t="shared" si="89"/>
        <v>4.7691874097067705E-3</v>
      </c>
      <c r="AK922">
        <f t="shared" si="88"/>
        <v>6.0160456180971798E-7</v>
      </c>
    </row>
    <row r="923" spans="1:37" x14ac:dyDescent="0.3">
      <c r="A923" s="1">
        <v>45216</v>
      </c>
      <c r="B923">
        <v>1.0575000000000001</v>
      </c>
      <c r="C923">
        <v>1.2178</v>
      </c>
      <c r="D923">
        <v>149.80000000000001</v>
      </c>
      <c r="G923">
        <v>1.0575000000000001</v>
      </c>
      <c r="H923">
        <f t="shared" si="85"/>
        <v>1.0558000000000001</v>
      </c>
      <c r="I923">
        <f t="shared" si="85"/>
        <v>1.0508999999999999</v>
      </c>
      <c r="J923">
        <f t="shared" si="85"/>
        <v>1.0526</v>
      </c>
      <c r="L923">
        <f t="shared" si="84"/>
        <v>1.7000000000000348E-3</v>
      </c>
      <c r="W923">
        <f t="shared" si="86"/>
        <v>2.0066889632107785E-3</v>
      </c>
      <c r="X923">
        <f t="shared" si="87"/>
        <v>-3.3433634236049056E-4</v>
      </c>
      <c r="Y923">
        <f t="shared" si="87"/>
        <v>-1.6688918558077435E-3</v>
      </c>
      <c r="Z923">
        <f t="shared" si="87"/>
        <v>4.3580288300369132E-3</v>
      </c>
      <c r="AE923">
        <f>W923-mu-theta*AE922</f>
        <v>1.5645895240898483E-3</v>
      </c>
      <c r="AF923">
        <f t="shared" si="89"/>
        <v>-7.7563171789820327E-4</v>
      </c>
      <c r="AG923">
        <f t="shared" si="89"/>
        <v>-7.7230130743894928E-4</v>
      </c>
      <c r="AK923">
        <f t="shared" si="88"/>
        <v>2.4479403788916979E-6</v>
      </c>
    </row>
    <row r="924" spans="1:37" x14ac:dyDescent="0.3">
      <c r="A924" s="1">
        <v>45217</v>
      </c>
      <c r="B924">
        <v>1.0535000000000001</v>
      </c>
      <c r="C924">
        <v>1.214</v>
      </c>
      <c r="D924">
        <v>149.91999999999999</v>
      </c>
      <c r="G924">
        <v>1.0535000000000001</v>
      </c>
      <c r="H924">
        <f t="shared" si="85"/>
        <v>1.0575000000000001</v>
      </c>
      <c r="I924">
        <f t="shared" si="85"/>
        <v>1.0558000000000001</v>
      </c>
      <c r="J924">
        <f t="shared" si="85"/>
        <v>1.0508999999999999</v>
      </c>
      <c r="L924">
        <f t="shared" si="84"/>
        <v>-4.0000000000000036E-3</v>
      </c>
      <c r="W924">
        <f t="shared" si="86"/>
        <v>8.0106809078755753E-4</v>
      </c>
      <c r="X924">
        <f t="shared" si="87"/>
        <v>2.0066889632107785E-3</v>
      </c>
      <c r="Y924">
        <f t="shared" si="87"/>
        <v>-3.3433634236049056E-4</v>
      </c>
      <c r="Z924">
        <f t="shared" si="87"/>
        <v>-1.6688918558077435E-3</v>
      </c>
      <c r="AE924">
        <f>W924-mu-theta*AE923</f>
        <v>9.2397008328471623E-4</v>
      </c>
      <c r="AF924">
        <f t="shared" si="89"/>
        <v>1.5645895240898483E-3</v>
      </c>
      <c r="AG924">
        <f t="shared" si="89"/>
        <v>-7.7563171789820327E-4</v>
      </c>
      <c r="AK924">
        <f t="shared" si="88"/>
        <v>8.5372071480516543E-7</v>
      </c>
    </row>
    <row r="925" spans="1:37" x14ac:dyDescent="0.3">
      <c r="A925" s="1">
        <v>45218</v>
      </c>
      <c r="B925">
        <v>1.0579000000000001</v>
      </c>
      <c r="C925">
        <v>1.2142999999999999</v>
      </c>
      <c r="D925">
        <v>149.78</v>
      </c>
      <c r="G925">
        <v>1.0579000000000001</v>
      </c>
      <c r="H925">
        <f t="shared" si="85"/>
        <v>1.0535000000000001</v>
      </c>
      <c r="I925">
        <f t="shared" si="85"/>
        <v>1.0575000000000001</v>
      </c>
      <c r="J925">
        <f t="shared" si="85"/>
        <v>1.0558000000000001</v>
      </c>
      <c r="L925">
        <f t="shared" si="84"/>
        <v>4.3999999999999595E-3</v>
      </c>
      <c r="W925">
        <f t="shared" si="86"/>
        <v>-9.3383137673416739E-4</v>
      </c>
      <c r="X925">
        <f t="shared" si="87"/>
        <v>8.0106809078755753E-4</v>
      </c>
      <c r="Y925">
        <f t="shared" si="87"/>
        <v>2.0066889632107785E-3</v>
      </c>
      <c r="Z925">
        <f t="shared" si="87"/>
        <v>-3.3433634236049056E-4</v>
      </c>
      <c r="AE925">
        <f>W925-mu-theta*AE924</f>
        <v>-9.6559463326696649E-4</v>
      </c>
      <c r="AF925">
        <f t="shared" si="89"/>
        <v>9.2397008328471623E-4</v>
      </c>
      <c r="AG925">
        <f t="shared" si="89"/>
        <v>1.5645895240898483E-3</v>
      </c>
      <c r="AK925">
        <f t="shared" si="88"/>
        <v>9.3237299579396754E-7</v>
      </c>
    </row>
    <row r="926" spans="1:37" x14ac:dyDescent="0.3">
      <c r="A926" s="1">
        <v>45219</v>
      </c>
      <c r="B926">
        <v>1.0592999999999999</v>
      </c>
      <c r="C926">
        <v>1.216</v>
      </c>
      <c r="D926">
        <v>149.84</v>
      </c>
      <c r="G926">
        <v>1.0592999999999999</v>
      </c>
      <c r="H926">
        <f t="shared" si="85"/>
        <v>1.0579000000000001</v>
      </c>
      <c r="I926">
        <f t="shared" si="85"/>
        <v>1.0535000000000001</v>
      </c>
      <c r="J926">
        <f t="shared" si="85"/>
        <v>1.0575000000000001</v>
      </c>
      <c r="L926">
        <f t="shared" si="84"/>
        <v>1.3999999999998458E-3</v>
      </c>
      <c r="W926">
        <f t="shared" si="86"/>
        <v>4.0058752837496508E-4</v>
      </c>
      <c r="X926">
        <f t="shared" si="87"/>
        <v>-9.3383137673416739E-4</v>
      </c>
      <c r="Y926">
        <f t="shared" si="87"/>
        <v>8.0106809078755753E-4</v>
      </c>
      <c r="Z926">
        <f t="shared" si="87"/>
        <v>2.0066889632107785E-3</v>
      </c>
      <c r="AE926">
        <f>W926-mu-theta*AE925</f>
        <v>-8.737480490827906E-5</v>
      </c>
      <c r="AF926">
        <f t="shared" si="89"/>
        <v>-9.6559463326696649E-4</v>
      </c>
      <c r="AG926">
        <f t="shared" si="89"/>
        <v>9.2397008328471623E-4</v>
      </c>
      <c r="AK926">
        <f t="shared" si="88"/>
        <v>7.6343565327598266E-9</v>
      </c>
    </row>
    <row r="927" spans="1:37" x14ac:dyDescent="0.3">
      <c r="A927" s="1">
        <v>45222</v>
      </c>
      <c r="B927">
        <v>1.0668</v>
      </c>
      <c r="C927">
        <v>1.2248000000000001</v>
      </c>
      <c r="D927">
        <v>149.69999999999999</v>
      </c>
      <c r="G927">
        <v>1.0668</v>
      </c>
      <c r="H927">
        <f t="shared" si="85"/>
        <v>1.0592999999999999</v>
      </c>
      <c r="I927">
        <f t="shared" si="85"/>
        <v>1.0579000000000001</v>
      </c>
      <c r="J927">
        <f t="shared" si="85"/>
        <v>1.0535000000000001</v>
      </c>
      <c r="L927">
        <f t="shared" si="84"/>
        <v>7.5000000000000622E-3</v>
      </c>
      <c r="W927">
        <f t="shared" si="86"/>
        <v>-9.3432995194884399E-4</v>
      </c>
      <c r="X927">
        <f t="shared" si="87"/>
        <v>4.0058752837496508E-4</v>
      </c>
      <c r="Y927">
        <f t="shared" si="87"/>
        <v>-9.3383137673416739E-4</v>
      </c>
      <c r="Z927">
        <f t="shared" si="87"/>
        <v>8.0106809078755753E-4</v>
      </c>
      <c r="AE927">
        <f>W927-mu-theta*AE926</f>
        <v>-1.2102629901400886E-3</v>
      </c>
      <c r="AF927">
        <f t="shared" si="89"/>
        <v>-8.737480490827906E-5</v>
      </c>
      <c r="AG927">
        <f t="shared" si="89"/>
        <v>-9.6559463326696649E-4</v>
      </c>
      <c r="AK927">
        <f t="shared" si="88"/>
        <v>1.4647365053028281E-6</v>
      </c>
    </row>
    <row r="928" spans="1:37" x14ac:dyDescent="0.3">
      <c r="A928" s="1">
        <v>45223</v>
      </c>
      <c r="B928">
        <v>1.0588</v>
      </c>
      <c r="C928">
        <v>1.2159</v>
      </c>
      <c r="D928">
        <v>149.91</v>
      </c>
      <c r="G928">
        <v>1.0588</v>
      </c>
      <c r="H928">
        <f t="shared" si="85"/>
        <v>1.0668</v>
      </c>
      <c r="I928">
        <f t="shared" si="85"/>
        <v>1.0592999999999999</v>
      </c>
      <c r="J928">
        <f t="shared" si="85"/>
        <v>1.0579000000000001</v>
      </c>
      <c r="L928">
        <f t="shared" si="84"/>
        <v>-8.0000000000000071E-3</v>
      </c>
      <c r="W928">
        <f t="shared" si="86"/>
        <v>1.4028056112224982E-3</v>
      </c>
      <c r="X928">
        <f t="shared" si="87"/>
        <v>-9.3432995194884399E-4</v>
      </c>
      <c r="Y928">
        <f t="shared" si="87"/>
        <v>4.0058752837496508E-4</v>
      </c>
      <c r="Z928">
        <f t="shared" si="87"/>
        <v>-9.3383137673416739E-4</v>
      </c>
      <c r="AE928">
        <f>W928-mu-theta*AE927</f>
        <v>8.557728065561619E-4</v>
      </c>
      <c r="AF928">
        <f t="shared" si="89"/>
        <v>-1.2102629901400886E-3</v>
      </c>
      <c r="AG928">
        <f t="shared" si="89"/>
        <v>-8.737480490827906E-5</v>
      </c>
      <c r="AK928">
        <f t="shared" si="88"/>
        <v>7.3234709644101005E-7</v>
      </c>
    </row>
    <row r="929" spans="1:37" x14ac:dyDescent="0.3">
      <c r="A929" s="1">
        <v>45224</v>
      </c>
      <c r="B929">
        <v>1.0563</v>
      </c>
      <c r="C929">
        <v>1.2108000000000001</v>
      </c>
      <c r="D929">
        <v>150.21</v>
      </c>
      <c r="G929">
        <v>1.0563</v>
      </c>
      <c r="H929">
        <f t="shared" si="85"/>
        <v>1.0588</v>
      </c>
      <c r="I929">
        <f t="shared" si="85"/>
        <v>1.0668</v>
      </c>
      <c r="J929">
        <f t="shared" si="85"/>
        <v>1.0592999999999999</v>
      </c>
      <c r="L929">
        <f t="shared" si="84"/>
        <v>-2.4999999999999467E-3</v>
      </c>
      <c r="W929">
        <f t="shared" si="86"/>
        <v>2.0012007204323352E-3</v>
      </c>
      <c r="X929">
        <f t="shared" si="87"/>
        <v>1.4028056112224982E-3</v>
      </c>
      <c r="Y929">
        <f t="shared" si="87"/>
        <v>-9.3432995194884399E-4</v>
      </c>
      <c r="Z929">
        <f t="shared" si="87"/>
        <v>4.0058752837496508E-4</v>
      </c>
      <c r="AE929">
        <f>W929-mu-theta*AE928</f>
        <v>1.9529725424242677E-3</v>
      </c>
      <c r="AF929">
        <f t="shared" si="89"/>
        <v>8.557728065561619E-4</v>
      </c>
      <c r="AG929">
        <f t="shared" si="89"/>
        <v>-1.2102629901400886E-3</v>
      </c>
      <c r="AK929">
        <f t="shared" si="88"/>
        <v>3.8141017514631082E-6</v>
      </c>
    </row>
    <row r="930" spans="1:37" x14ac:dyDescent="0.3">
      <c r="A930" s="1">
        <v>45225</v>
      </c>
      <c r="B930">
        <v>1.056</v>
      </c>
      <c r="C930">
        <v>1.2125999999999999</v>
      </c>
      <c r="D930">
        <v>150.38</v>
      </c>
      <c r="G930">
        <v>1.056</v>
      </c>
      <c r="H930">
        <f t="shared" si="85"/>
        <v>1.0563</v>
      </c>
      <c r="I930">
        <f t="shared" si="85"/>
        <v>1.0588</v>
      </c>
      <c r="J930">
        <f t="shared" si="85"/>
        <v>1.0668</v>
      </c>
      <c r="L930">
        <f t="shared" si="84"/>
        <v>-2.9999999999996696E-4</v>
      </c>
      <c r="W930">
        <f t="shared" si="86"/>
        <v>1.1317488848943977E-3</v>
      </c>
      <c r="X930">
        <f t="shared" si="87"/>
        <v>2.0012007204323352E-3</v>
      </c>
      <c r="Y930">
        <f t="shared" si="87"/>
        <v>1.4028056112224982E-3</v>
      </c>
      <c r="Z930">
        <f t="shared" si="87"/>
        <v>-9.3432995194884399E-4</v>
      </c>
      <c r="AE930">
        <f>W930-mu-theta*AE929</f>
        <v>1.3484184910846472E-3</v>
      </c>
      <c r="AF930">
        <f t="shared" si="89"/>
        <v>1.9529725424242677E-3</v>
      </c>
      <c r="AG930">
        <f t="shared" si="89"/>
        <v>8.557728065561619E-4</v>
      </c>
      <c r="AK930">
        <f t="shared" si="88"/>
        <v>1.8182324270989968E-6</v>
      </c>
    </row>
    <row r="931" spans="1:37" x14ac:dyDescent="0.3">
      <c r="A931" s="1">
        <v>45226</v>
      </c>
      <c r="B931">
        <v>1.0564</v>
      </c>
      <c r="C931">
        <v>1.2121999999999999</v>
      </c>
      <c r="D931">
        <v>149.6</v>
      </c>
      <c r="G931">
        <v>1.0564</v>
      </c>
      <c r="H931">
        <f t="shared" si="85"/>
        <v>1.056</v>
      </c>
      <c r="I931">
        <f t="shared" si="85"/>
        <v>1.0563</v>
      </c>
      <c r="J931">
        <f t="shared" si="85"/>
        <v>1.0588</v>
      </c>
      <c r="L931">
        <f t="shared" si="84"/>
        <v>3.9999999999995595E-4</v>
      </c>
      <c r="W931">
        <f t="shared" si="86"/>
        <v>-5.1868599547812283E-3</v>
      </c>
      <c r="X931">
        <f t="shared" si="87"/>
        <v>1.1317488848943977E-3</v>
      </c>
      <c r="Y931">
        <f t="shared" si="87"/>
        <v>2.0012007204323352E-3</v>
      </c>
      <c r="Z931">
        <f t="shared" si="87"/>
        <v>1.4028056112224982E-3</v>
      </c>
      <c r="AE931">
        <f>W931-mu-theta*AE930</f>
        <v>-5.116148302637763E-3</v>
      </c>
      <c r="AF931">
        <f t="shared" si="89"/>
        <v>1.3484184910846472E-3</v>
      </c>
      <c r="AG931">
        <f t="shared" si="89"/>
        <v>1.9529725424242677E-3</v>
      </c>
      <c r="AK931">
        <f t="shared" si="88"/>
        <v>2.6174973454583262E-5</v>
      </c>
    </row>
    <row r="932" spans="1:37" x14ac:dyDescent="0.3">
      <c r="A932" s="1">
        <v>45229</v>
      </c>
      <c r="B932">
        <v>1.0612999999999999</v>
      </c>
      <c r="C932">
        <v>1.2168000000000001</v>
      </c>
      <c r="D932">
        <v>149.1</v>
      </c>
      <c r="G932">
        <v>1.0612999999999999</v>
      </c>
      <c r="H932">
        <f t="shared" si="85"/>
        <v>1.0564</v>
      </c>
      <c r="I932">
        <f t="shared" si="85"/>
        <v>1.056</v>
      </c>
      <c r="J932">
        <f t="shared" si="85"/>
        <v>1.0563</v>
      </c>
      <c r="L932">
        <f t="shared" si="84"/>
        <v>4.8999999999999044E-3</v>
      </c>
      <c r="W932">
        <f t="shared" si="86"/>
        <v>-3.3422459893048127E-3</v>
      </c>
      <c r="X932">
        <f t="shared" si="87"/>
        <v>-5.1868599547812283E-3</v>
      </c>
      <c r="Y932">
        <f t="shared" si="87"/>
        <v>1.1317488848943977E-3</v>
      </c>
      <c r="Z932">
        <f t="shared" si="87"/>
        <v>2.0012007204323352E-3</v>
      </c>
      <c r="AE932">
        <f>W932-mu-theta*AE931</f>
        <v>-4.8322797178592331E-3</v>
      </c>
      <c r="AF932">
        <f t="shared" si="89"/>
        <v>-5.116148302637763E-3</v>
      </c>
      <c r="AG932">
        <f t="shared" si="89"/>
        <v>1.3484184910846472E-3</v>
      </c>
      <c r="AK932">
        <f t="shared" si="88"/>
        <v>2.3350927271633709E-5</v>
      </c>
    </row>
    <row r="933" spans="1:37" x14ac:dyDescent="0.3">
      <c r="A933" s="1">
        <v>45230</v>
      </c>
      <c r="B933">
        <v>1.0576000000000001</v>
      </c>
      <c r="C933">
        <v>1.2152000000000001</v>
      </c>
      <c r="D933">
        <v>151.66999999999999</v>
      </c>
      <c r="G933">
        <v>1.0576000000000001</v>
      </c>
      <c r="H933">
        <f t="shared" si="85"/>
        <v>1.0612999999999999</v>
      </c>
      <c r="I933">
        <f t="shared" si="85"/>
        <v>1.0564</v>
      </c>
      <c r="J933">
        <f t="shared" si="85"/>
        <v>1.056</v>
      </c>
      <c r="L933">
        <f t="shared" si="84"/>
        <v>-3.6999999999998145E-3</v>
      </c>
      <c r="W933">
        <f t="shared" si="86"/>
        <v>1.7236753856472123E-2</v>
      </c>
      <c r="X933">
        <f t="shared" si="87"/>
        <v>-3.3422459893048127E-3</v>
      </c>
      <c r="Y933">
        <f t="shared" si="87"/>
        <v>-5.1868599547812283E-3</v>
      </c>
      <c r="Z933">
        <f t="shared" si="87"/>
        <v>1.1317488848943977E-3</v>
      </c>
      <c r="AE933">
        <f>W933-mu-theta*AE932</f>
        <v>1.5815254740762692E-2</v>
      </c>
      <c r="AF933">
        <f t="shared" si="89"/>
        <v>-4.8322797178592331E-3</v>
      </c>
      <c r="AG933">
        <f t="shared" si="89"/>
        <v>-5.116148302637763E-3</v>
      </c>
      <c r="AK933">
        <f t="shared" si="88"/>
        <v>2.5012228251521682E-4</v>
      </c>
    </row>
    <row r="934" spans="1:37" x14ac:dyDescent="0.3">
      <c r="A934" s="1">
        <v>45231</v>
      </c>
      <c r="B934">
        <v>1.0568</v>
      </c>
      <c r="C934">
        <v>1.2150000000000001</v>
      </c>
      <c r="D934">
        <v>150.94999999999999</v>
      </c>
      <c r="G934">
        <v>1.0568</v>
      </c>
      <c r="H934">
        <f t="shared" si="85"/>
        <v>1.0576000000000001</v>
      </c>
      <c r="I934">
        <f t="shared" si="85"/>
        <v>1.0612999999999999</v>
      </c>
      <c r="J934">
        <f t="shared" si="85"/>
        <v>1.0564</v>
      </c>
      <c r="L934">
        <f t="shared" si="84"/>
        <v>-8.0000000000013394E-4</v>
      </c>
      <c r="W934">
        <f t="shared" si="86"/>
        <v>-4.7471484143205575E-3</v>
      </c>
      <c r="X934">
        <f t="shared" si="87"/>
        <v>1.7236753856472123E-2</v>
      </c>
      <c r="Y934">
        <f t="shared" si="87"/>
        <v>-3.3422459893048127E-3</v>
      </c>
      <c r="Z934">
        <f t="shared" si="87"/>
        <v>-5.1868599547812283E-3</v>
      </c>
      <c r="AE934">
        <f>W934-mu-theta*AE933</f>
        <v>-1.1836972530233293E-3</v>
      </c>
      <c r="AF934">
        <f t="shared" si="89"/>
        <v>1.5815254740762692E-2</v>
      </c>
      <c r="AG934">
        <f t="shared" si="89"/>
        <v>-4.8322797178592331E-3</v>
      </c>
      <c r="AK934">
        <f t="shared" si="88"/>
        <v>1.4011391868149758E-6</v>
      </c>
    </row>
    <row r="935" spans="1:37" x14ac:dyDescent="0.3">
      <c r="A935" s="1">
        <v>45232</v>
      </c>
      <c r="B935">
        <v>1.0620000000000001</v>
      </c>
      <c r="C935">
        <v>1.2201</v>
      </c>
      <c r="D935">
        <v>150.44</v>
      </c>
      <c r="G935">
        <v>1.0620000000000001</v>
      </c>
      <c r="H935">
        <f t="shared" si="85"/>
        <v>1.0568</v>
      </c>
      <c r="I935">
        <f t="shared" si="85"/>
        <v>1.0576000000000001</v>
      </c>
      <c r="J935">
        <f t="shared" si="85"/>
        <v>1.0612999999999999</v>
      </c>
      <c r="L935">
        <f t="shared" si="84"/>
        <v>5.2000000000000934E-3</v>
      </c>
      <c r="W935">
        <f t="shared" si="86"/>
        <v>-3.3786021861542956E-3</v>
      </c>
      <c r="X935">
        <f t="shared" si="87"/>
        <v>-4.7471484143205575E-3</v>
      </c>
      <c r="Y935">
        <f t="shared" si="87"/>
        <v>1.7236753856472123E-2</v>
      </c>
      <c r="Z935">
        <f t="shared" si="87"/>
        <v>-3.3422459893048127E-3</v>
      </c>
      <c r="AE935">
        <f>W935-mu-theta*AE934</f>
        <v>-3.9192212042804299E-3</v>
      </c>
      <c r="AF935">
        <f t="shared" si="89"/>
        <v>-1.1836972530233293E-3</v>
      </c>
      <c r="AG935">
        <f t="shared" si="89"/>
        <v>1.5815254740762692E-2</v>
      </c>
      <c r="AK935">
        <f t="shared" si="88"/>
        <v>1.5360294848081343E-5</v>
      </c>
    </row>
    <row r="936" spans="1:37" x14ac:dyDescent="0.3">
      <c r="A936" s="1">
        <v>45233</v>
      </c>
      <c r="B936">
        <v>1.0729</v>
      </c>
      <c r="C936">
        <v>1.2376</v>
      </c>
      <c r="D936">
        <v>149.37</v>
      </c>
      <c r="G936">
        <v>1.0729</v>
      </c>
      <c r="H936">
        <f t="shared" si="85"/>
        <v>1.0620000000000001</v>
      </c>
      <c r="I936">
        <f t="shared" si="85"/>
        <v>1.0568</v>
      </c>
      <c r="J936">
        <f t="shared" si="85"/>
        <v>1.0576000000000001</v>
      </c>
      <c r="L936">
        <f t="shared" si="84"/>
        <v>1.089999999999991E-2</v>
      </c>
      <c r="W936">
        <f t="shared" si="86"/>
        <v>-7.1124700877425763E-3</v>
      </c>
      <c r="X936">
        <f t="shared" si="87"/>
        <v>-3.3786021861542956E-3</v>
      </c>
      <c r="Y936">
        <f t="shared" si="87"/>
        <v>-4.7471484143205575E-3</v>
      </c>
      <c r="Z936">
        <f t="shared" si="87"/>
        <v>1.7236753856472123E-2</v>
      </c>
      <c r="AE936">
        <f>W936-mu-theta*AE935</f>
        <v>-8.3135287775353284E-3</v>
      </c>
      <c r="AF936">
        <f t="shared" si="89"/>
        <v>-3.9192212042804299E-3</v>
      </c>
      <c r="AG936">
        <f t="shared" si="89"/>
        <v>-1.1836972530233293E-3</v>
      </c>
      <c r="AK936">
        <f t="shared" si="88"/>
        <v>6.9114760734908053E-5</v>
      </c>
    </row>
    <row r="937" spans="1:37" x14ac:dyDescent="0.3">
      <c r="A937" s="1">
        <v>45236</v>
      </c>
      <c r="B937">
        <v>1.0714999999999999</v>
      </c>
      <c r="C937">
        <v>1.2341</v>
      </c>
      <c r="D937">
        <v>150.07</v>
      </c>
      <c r="G937">
        <v>1.0714999999999999</v>
      </c>
      <c r="H937">
        <f t="shared" si="85"/>
        <v>1.0729</v>
      </c>
      <c r="I937">
        <f t="shared" si="85"/>
        <v>1.0620000000000001</v>
      </c>
      <c r="J937">
        <f t="shared" si="85"/>
        <v>1.0568</v>
      </c>
      <c r="L937">
        <f t="shared" si="84"/>
        <v>-1.4000000000000679E-3</v>
      </c>
      <c r="W937">
        <f t="shared" si="86"/>
        <v>4.6863493338688399E-3</v>
      </c>
      <c r="X937">
        <f t="shared" si="87"/>
        <v>-7.1124700877425763E-3</v>
      </c>
      <c r="Y937">
        <f t="shared" si="87"/>
        <v>-3.3786021861542956E-3</v>
      </c>
      <c r="Z937">
        <f t="shared" si="87"/>
        <v>-4.7471484143205575E-3</v>
      </c>
      <c r="AE937">
        <f>W937-mu-theta*AE936</f>
        <v>2.4243695545170256E-3</v>
      </c>
      <c r="AF937">
        <f t="shared" si="89"/>
        <v>-8.3135287775353284E-3</v>
      </c>
      <c r="AG937">
        <f t="shared" si="89"/>
        <v>-3.9192212042804299E-3</v>
      </c>
      <c r="AK937">
        <f t="shared" si="88"/>
        <v>5.8775677368690813E-6</v>
      </c>
    </row>
    <row r="938" spans="1:37" x14ac:dyDescent="0.3">
      <c r="A938" s="1">
        <v>45237</v>
      </c>
      <c r="B938">
        <v>1.0699000000000001</v>
      </c>
      <c r="C938">
        <v>1.2299</v>
      </c>
      <c r="D938">
        <v>150.34</v>
      </c>
      <c r="G938">
        <v>1.0699000000000001</v>
      </c>
      <c r="H938">
        <f t="shared" si="85"/>
        <v>1.0714999999999999</v>
      </c>
      <c r="I938">
        <f t="shared" si="85"/>
        <v>1.0729</v>
      </c>
      <c r="J938">
        <f t="shared" si="85"/>
        <v>1.0620000000000001</v>
      </c>
      <c r="L938">
        <f t="shared" si="84"/>
        <v>-1.5999999999998238E-3</v>
      </c>
      <c r="W938">
        <f t="shared" si="86"/>
        <v>1.7991603918172203E-3</v>
      </c>
      <c r="X938">
        <f t="shared" si="87"/>
        <v>4.6863493338688399E-3</v>
      </c>
      <c r="Y938">
        <f t="shared" si="87"/>
        <v>-7.1124700877425763E-3</v>
      </c>
      <c r="Z938">
        <f t="shared" si="87"/>
        <v>-3.3786021861542956E-3</v>
      </c>
      <c r="AE938">
        <f>W938-mu-theta*AE937</f>
        <v>2.1296397446734041E-3</v>
      </c>
      <c r="AF938">
        <f t="shared" si="89"/>
        <v>2.4243695545170256E-3</v>
      </c>
      <c r="AG938">
        <f t="shared" si="89"/>
        <v>-8.3135287775353284E-3</v>
      </c>
      <c r="AK938">
        <f t="shared" si="88"/>
        <v>4.5353654420926015E-6</v>
      </c>
    </row>
    <row r="939" spans="1:37" x14ac:dyDescent="0.3">
      <c r="A939" s="1">
        <v>45238</v>
      </c>
      <c r="B939">
        <v>1.0707</v>
      </c>
      <c r="C939">
        <v>1.2282</v>
      </c>
      <c r="D939">
        <v>150.97</v>
      </c>
      <c r="G939">
        <v>1.0707</v>
      </c>
      <c r="H939">
        <f t="shared" si="85"/>
        <v>1.0699000000000001</v>
      </c>
      <c r="I939">
        <f t="shared" si="85"/>
        <v>1.0714999999999999</v>
      </c>
      <c r="J939">
        <f t="shared" si="85"/>
        <v>1.0729</v>
      </c>
      <c r="L939">
        <f t="shared" si="84"/>
        <v>7.9999999999991189E-4</v>
      </c>
      <c r="W939">
        <f t="shared" si="86"/>
        <v>4.1905015298656072E-3</v>
      </c>
      <c r="X939">
        <f t="shared" si="87"/>
        <v>1.7991603918172203E-3</v>
      </c>
      <c r="Y939">
        <f t="shared" si="87"/>
        <v>4.6863493338688399E-3</v>
      </c>
      <c r="Z939">
        <f t="shared" si="87"/>
        <v>-7.1124700877425763E-3</v>
      </c>
      <c r="AE939">
        <f>W939-mu-theta*AE938</f>
        <v>4.4498240358756738E-3</v>
      </c>
      <c r="AF939">
        <f t="shared" si="89"/>
        <v>2.1296397446734041E-3</v>
      </c>
      <c r="AG939">
        <f t="shared" si="89"/>
        <v>2.4243695545170256E-3</v>
      </c>
      <c r="AK939">
        <f t="shared" si="88"/>
        <v>1.9800933950256871E-5</v>
      </c>
    </row>
    <row r="940" spans="1:37" x14ac:dyDescent="0.3">
      <c r="A940" s="1">
        <v>45239</v>
      </c>
      <c r="B940">
        <v>1.0666</v>
      </c>
      <c r="C940">
        <v>1.2221</v>
      </c>
      <c r="D940">
        <v>151.34</v>
      </c>
      <c r="G940">
        <v>1.0666</v>
      </c>
      <c r="H940">
        <f t="shared" si="85"/>
        <v>1.0707</v>
      </c>
      <c r="I940">
        <f t="shared" si="85"/>
        <v>1.0699000000000001</v>
      </c>
      <c r="J940">
        <f t="shared" si="85"/>
        <v>1.0714999999999999</v>
      </c>
      <c r="L940">
        <f t="shared" si="84"/>
        <v>-4.0999999999999925E-3</v>
      </c>
      <c r="W940">
        <f t="shared" si="86"/>
        <v>2.450818043319895E-3</v>
      </c>
      <c r="X940">
        <f t="shared" si="87"/>
        <v>4.1905015298656072E-3</v>
      </c>
      <c r="Y940">
        <f t="shared" si="87"/>
        <v>1.7991603918172203E-3</v>
      </c>
      <c r="Z940">
        <f t="shared" si="87"/>
        <v>4.6863493338688399E-3</v>
      </c>
      <c r="AE940">
        <f>W940-mu-theta*AE939</f>
        <v>3.2703044443612916E-3</v>
      </c>
      <c r="AF940">
        <f t="shared" si="89"/>
        <v>4.4498240358756738E-3</v>
      </c>
      <c r="AG940">
        <f t="shared" si="89"/>
        <v>2.1296397446734041E-3</v>
      </c>
      <c r="AK940">
        <f t="shared" si="88"/>
        <v>1.0694891158809217E-5</v>
      </c>
    </row>
    <row r="941" spans="1:37" x14ac:dyDescent="0.3">
      <c r="A941" s="1">
        <v>45240</v>
      </c>
      <c r="B941">
        <v>1.0681</v>
      </c>
      <c r="C941">
        <v>1.2222</v>
      </c>
      <c r="D941">
        <v>151.5</v>
      </c>
      <c r="G941">
        <v>1.0681</v>
      </c>
      <c r="H941">
        <f t="shared" si="85"/>
        <v>1.0666</v>
      </c>
      <c r="I941">
        <f t="shared" si="85"/>
        <v>1.0707</v>
      </c>
      <c r="J941">
        <f t="shared" si="85"/>
        <v>1.0699000000000001</v>
      </c>
      <c r="L941">
        <f t="shared" si="84"/>
        <v>1.5000000000000568E-3</v>
      </c>
      <c r="W941">
        <f t="shared" si="86"/>
        <v>1.057222148803995E-3</v>
      </c>
      <c r="X941">
        <f t="shared" si="87"/>
        <v>2.450818043319895E-3</v>
      </c>
      <c r="Y941">
        <f t="shared" si="87"/>
        <v>4.1905015298656072E-3</v>
      </c>
      <c r="Z941">
        <f t="shared" si="87"/>
        <v>1.7991603918172203E-3</v>
      </c>
      <c r="AE941">
        <f>W941-mu-theta*AE940</f>
        <v>1.5919362189776196E-3</v>
      </c>
      <c r="AF941">
        <f t="shared" si="89"/>
        <v>3.2703044443612916E-3</v>
      </c>
      <c r="AG941">
        <f t="shared" si="89"/>
        <v>4.4498240358756738E-3</v>
      </c>
      <c r="AK941">
        <f t="shared" si="88"/>
        <v>2.5342609252927596E-6</v>
      </c>
    </row>
    <row r="942" spans="1:37" x14ac:dyDescent="0.3">
      <c r="A942" s="1">
        <v>45243</v>
      </c>
      <c r="B942">
        <v>1.0697000000000001</v>
      </c>
      <c r="C942">
        <v>1.2278</v>
      </c>
      <c r="D942">
        <v>151.71</v>
      </c>
      <c r="G942">
        <v>1.0697000000000001</v>
      </c>
      <c r="H942">
        <f t="shared" si="85"/>
        <v>1.0681</v>
      </c>
      <c r="I942">
        <f t="shared" si="85"/>
        <v>1.0666</v>
      </c>
      <c r="J942">
        <f t="shared" si="85"/>
        <v>1.0707</v>
      </c>
      <c r="L942">
        <f t="shared" si="84"/>
        <v>1.6000000000000458E-3</v>
      </c>
      <c r="W942">
        <f t="shared" si="86"/>
        <v>1.3861386138614388E-3</v>
      </c>
      <c r="X942">
        <f t="shared" si="87"/>
        <v>1.057222148803995E-3</v>
      </c>
      <c r="Y942">
        <f t="shared" si="87"/>
        <v>2.450818043319895E-3</v>
      </c>
      <c r="Z942">
        <f t="shared" si="87"/>
        <v>4.1905015298656072E-3</v>
      </c>
      <c r="AE942">
        <f>W942-mu-theta*AE941</f>
        <v>1.5156429401398633E-3</v>
      </c>
      <c r="AF942">
        <f t="shared" si="89"/>
        <v>1.5919362189776196E-3</v>
      </c>
      <c r="AG942">
        <f t="shared" si="89"/>
        <v>3.2703044443612916E-3</v>
      </c>
      <c r="AK942">
        <f t="shared" si="88"/>
        <v>2.2971735219958094E-6</v>
      </c>
    </row>
    <row r="943" spans="1:37" x14ac:dyDescent="0.3">
      <c r="A943" s="1">
        <v>45244</v>
      </c>
      <c r="B943">
        <v>1.0879000000000001</v>
      </c>
      <c r="C943">
        <v>1.2497</v>
      </c>
      <c r="D943">
        <v>150.38</v>
      </c>
      <c r="G943">
        <v>1.0879000000000001</v>
      </c>
      <c r="H943">
        <f t="shared" si="85"/>
        <v>1.0697000000000001</v>
      </c>
      <c r="I943">
        <f t="shared" si="85"/>
        <v>1.0681</v>
      </c>
      <c r="J943">
        <f t="shared" si="85"/>
        <v>1.0666</v>
      </c>
      <c r="L943">
        <f t="shared" si="84"/>
        <v>1.8199999999999994E-2</v>
      </c>
      <c r="W943">
        <f t="shared" si="86"/>
        <v>-8.7667259903764574E-3</v>
      </c>
      <c r="X943">
        <f t="shared" si="87"/>
        <v>1.3861386138614388E-3</v>
      </c>
      <c r="Y943">
        <f t="shared" si="87"/>
        <v>1.057222148803995E-3</v>
      </c>
      <c r="Z943">
        <f t="shared" si="87"/>
        <v>2.450818043319895E-3</v>
      </c>
      <c r="AE943">
        <f>W943-mu-theta*AE942</f>
        <v>-8.6556412096490121E-3</v>
      </c>
      <c r="AF943">
        <f t="shared" si="89"/>
        <v>1.5156429401398633E-3</v>
      </c>
      <c r="AG943">
        <f t="shared" si="89"/>
        <v>1.5919362189776196E-3</v>
      </c>
      <c r="AK943">
        <f t="shared" si="88"/>
        <v>7.4920124750174215E-5</v>
      </c>
    </row>
    <row r="944" spans="1:37" x14ac:dyDescent="0.3">
      <c r="A944" s="1">
        <v>45245</v>
      </c>
      <c r="B944">
        <v>1.0846</v>
      </c>
      <c r="C944">
        <v>1.2418</v>
      </c>
      <c r="D944">
        <v>151.35</v>
      </c>
      <c r="G944">
        <v>1.0846</v>
      </c>
      <c r="H944">
        <f t="shared" si="85"/>
        <v>1.0879000000000001</v>
      </c>
      <c r="I944">
        <f t="shared" si="85"/>
        <v>1.0697000000000001</v>
      </c>
      <c r="J944">
        <f t="shared" si="85"/>
        <v>1.0681</v>
      </c>
      <c r="L944">
        <f t="shared" si="84"/>
        <v>-3.3000000000000806E-3</v>
      </c>
      <c r="W944">
        <f t="shared" si="86"/>
        <v>6.4503258412022804E-3</v>
      </c>
      <c r="X944">
        <f t="shared" si="87"/>
        <v>-8.7667259903764574E-3</v>
      </c>
      <c r="Y944">
        <f t="shared" si="87"/>
        <v>1.3861386138614388E-3</v>
      </c>
      <c r="Z944">
        <f t="shared" si="87"/>
        <v>1.057222148803995E-3</v>
      </c>
      <c r="AE944">
        <f>W944-mu-theta*AE943</f>
        <v>4.1057495917174239E-3</v>
      </c>
      <c r="AF944">
        <f t="shared" si="89"/>
        <v>-8.6556412096490121E-3</v>
      </c>
      <c r="AG944">
        <f t="shared" si="89"/>
        <v>1.5156429401398633E-3</v>
      </c>
      <c r="AK944">
        <f t="shared" si="88"/>
        <v>1.6857179709887794E-5</v>
      </c>
    </row>
    <row r="945" spans="1:37" x14ac:dyDescent="0.3">
      <c r="A945" s="1">
        <v>45246</v>
      </c>
      <c r="B945">
        <v>1.085</v>
      </c>
      <c r="C945">
        <v>1.2405999999999999</v>
      </c>
      <c r="D945">
        <v>150.71</v>
      </c>
      <c r="G945">
        <v>1.085</v>
      </c>
      <c r="H945">
        <f t="shared" si="85"/>
        <v>1.0846</v>
      </c>
      <c r="I945">
        <f t="shared" si="85"/>
        <v>1.0879000000000001</v>
      </c>
      <c r="J945">
        <f t="shared" si="85"/>
        <v>1.0697000000000001</v>
      </c>
      <c r="L945">
        <f t="shared" si="84"/>
        <v>3.9999999999995595E-4</v>
      </c>
      <c r="W945">
        <f t="shared" si="86"/>
        <v>-4.2286091840104817E-3</v>
      </c>
      <c r="X945">
        <f t="shared" si="87"/>
        <v>6.4503258412022804E-3</v>
      </c>
      <c r="Y945">
        <f t="shared" si="87"/>
        <v>-8.7667259903764574E-3</v>
      </c>
      <c r="Z945">
        <f t="shared" si="87"/>
        <v>1.3861386138614388E-3</v>
      </c>
      <c r="AE945">
        <f>W945-mu-theta*AE944</f>
        <v>-3.4921929431935353E-3</v>
      </c>
      <c r="AF945">
        <f t="shared" si="89"/>
        <v>4.1057495917174239E-3</v>
      </c>
      <c r="AG945">
        <f t="shared" si="89"/>
        <v>-8.6556412096490121E-3</v>
      </c>
      <c r="AK945">
        <f t="shared" si="88"/>
        <v>1.2195411552490727E-5</v>
      </c>
    </row>
    <row r="946" spans="1:37" x14ac:dyDescent="0.3">
      <c r="A946" s="1">
        <v>45247</v>
      </c>
      <c r="B946">
        <v>1.0907</v>
      </c>
      <c r="C946">
        <v>1.2461</v>
      </c>
      <c r="D946">
        <v>149.62</v>
      </c>
      <c r="G946">
        <v>1.0907</v>
      </c>
      <c r="H946">
        <f t="shared" si="85"/>
        <v>1.085</v>
      </c>
      <c r="I946">
        <f t="shared" si="85"/>
        <v>1.0846</v>
      </c>
      <c r="J946">
        <f t="shared" si="85"/>
        <v>1.0879000000000001</v>
      </c>
      <c r="L946">
        <f t="shared" si="84"/>
        <v>5.7000000000000384E-3</v>
      </c>
      <c r="W946">
        <f t="shared" si="86"/>
        <v>-7.2324331497578354E-3</v>
      </c>
      <c r="X946">
        <f t="shared" si="87"/>
        <v>-4.2286091840104817E-3</v>
      </c>
      <c r="Y946">
        <f t="shared" si="87"/>
        <v>6.4503258412022804E-3</v>
      </c>
      <c r="Z946">
        <f t="shared" si="87"/>
        <v>-8.7667259903764574E-3</v>
      </c>
      <c r="AE946">
        <f>W946-mu-theta*AE945</f>
        <v>-8.3303940748920141E-3</v>
      </c>
      <c r="AF946">
        <f t="shared" si="89"/>
        <v>-3.4921929431935353E-3</v>
      </c>
      <c r="AG946">
        <f t="shared" si="89"/>
        <v>4.1057495917174239E-3</v>
      </c>
      <c r="AK946">
        <f t="shared" si="88"/>
        <v>6.9395465442995976E-5</v>
      </c>
    </row>
    <row r="947" spans="1:37" x14ac:dyDescent="0.3">
      <c r="A947" s="1">
        <v>45250</v>
      </c>
      <c r="B947">
        <v>1.0938000000000001</v>
      </c>
      <c r="C947">
        <v>1.2504</v>
      </c>
      <c r="D947">
        <v>148.36000000000001</v>
      </c>
      <c r="G947">
        <v>1.0938000000000001</v>
      </c>
      <c r="H947">
        <f t="shared" si="85"/>
        <v>1.0907</v>
      </c>
      <c r="I947">
        <f t="shared" si="85"/>
        <v>1.085</v>
      </c>
      <c r="J947">
        <f t="shared" si="85"/>
        <v>1.0846</v>
      </c>
      <c r="L947">
        <f t="shared" si="84"/>
        <v>3.1000000000001027E-3</v>
      </c>
      <c r="W947">
        <f t="shared" si="86"/>
        <v>-8.42133404625044E-3</v>
      </c>
      <c r="X947">
        <f t="shared" si="87"/>
        <v>-7.2324331497578354E-3</v>
      </c>
      <c r="Y947">
        <f t="shared" si="87"/>
        <v>-4.2286091840104817E-3</v>
      </c>
      <c r="Z947">
        <f t="shared" si="87"/>
        <v>6.4503258412022804E-3</v>
      </c>
      <c r="AE947">
        <f>W947-mu-theta*AE946</f>
        <v>-1.068738562743886E-2</v>
      </c>
      <c r="AF947">
        <f t="shared" si="89"/>
        <v>-8.3303940748920141E-3</v>
      </c>
      <c r="AG947">
        <f t="shared" si="89"/>
        <v>-3.4921929431935353E-3</v>
      </c>
      <c r="AK947">
        <f t="shared" si="88"/>
        <v>1.1422021154958671E-4</v>
      </c>
    </row>
    <row r="948" spans="1:37" x14ac:dyDescent="0.3">
      <c r="A948" s="1">
        <v>45251</v>
      </c>
      <c r="B948">
        <v>1.0909</v>
      </c>
      <c r="C948">
        <v>1.2537</v>
      </c>
      <c r="D948">
        <v>148.38999999999999</v>
      </c>
      <c r="G948">
        <v>1.0909</v>
      </c>
      <c r="H948">
        <f t="shared" si="85"/>
        <v>1.0938000000000001</v>
      </c>
      <c r="I948">
        <f t="shared" si="85"/>
        <v>1.0907</v>
      </c>
      <c r="J948">
        <f t="shared" si="85"/>
        <v>1.085</v>
      </c>
      <c r="L948">
        <f t="shared" si="84"/>
        <v>-2.9000000000001247E-3</v>
      </c>
      <c r="W948">
        <f t="shared" si="86"/>
        <v>2.0221083850075971E-4</v>
      </c>
      <c r="X948">
        <f t="shared" si="87"/>
        <v>-8.42133404625044E-3</v>
      </c>
      <c r="Y948">
        <f t="shared" si="87"/>
        <v>-7.2324331497578354E-3</v>
      </c>
      <c r="Z948">
        <f t="shared" si="87"/>
        <v>-4.2286091840104817E-3</v>
      </c>
      <c r="AE948">
        <f>W948-mu-theta*AE947</f>
        <v>-2.6328910434059846E-3</v>
      </c>
      <c r="AF948">
        <f t="shared" si="89"/>
        <v>-1.068738562743886E-2</v>
      </c>
      <c r="AG948">
        <f t="shared" si="89"/>
        <v>-8.3303940748920141E-3</v>
      </c>
      <c r="AK948">
        <f t="shared" si="88"/>
        <v>6.9321152464474542E-6</v>
      </c>
    </row>
    <row r="949" spans="1:37" x14ac:dyDescent="0.3">
      <c r="A949" s="1">
        <v>45252</v>
      </c>
      <c r="B949">
        <v>1.0887</v>
      </c>
      <c r="C949">
        <v>1.2492000000000001</v>
      </c>
      <c r="D949">
        <v>149.53</v>
      </c>
      <c r="G949">
        <v>1.0887</v>
      </c>
      <c r="H949">
        <f t="shared" si="85"/>
        <v>1.0909</v>
      </c>
      <c r="I949">
        <f t="shared" si="85"/>
        <v>1.0938000000000001</v>
      </c>
      <c r="J949">
        <f t="shared" si="85"/>
        <v>1.0907</v>
      </c>
      <c r="L949">
        <f t="shared" si="84"/>
        <v>-2.1999999999999797E-3</v>
      </c>
      <c r="W949">
        <f t="shared" si="86"/>
        <v>7.6824583866838391E-3</v>
      </c>
      <c r="X949">
        <f t="shared" si="87"/>
        <v>2.0221083850075971E-4</v>
      </c>
      <c r="Y949">
        <f t="shared" si="87"/>
        <v>-8.42133404625044E-3</v>
      </c>
      <c r="Z949">
        <f t="shared" si="87"/>
        <v>-7.2324331497578354E-3</v>
      </c>
      <c r="AE949">
        <f>W949-mu-theta*AE948</f>
        <v>6.7919593864570957E-3</v>
      </c>
      <c r="AF949">
        <f t="shared" si="89"/>
        <v>-2.6328910434059846E-3</v>
      </c>
      <c r="AG949">
        <f t="shared" si="89"/>
        <v>-1.068738562743886E-2</v>
      </c>
      <c r="AK949">
        <f t="shared" si="88"/>
        <v>4.613071230728265E-5</v>
      </c>
    </row>
    <row r="950" spans="1:37" x14ac:dyDescent="0.3">
      <c r="A950" s="1">
        <v>45253</v>
      </c>
      <c r="B950">
        <v>1.0904</v>
      </c>
      <c r="C950">
        <v>1.2533000000000001</v>
      </c>
      <c r="D950">
        <v>149.56</v>
      </c>
      <c r="G950">
        <v>1.0904</v>
      </c>
      <c r="H950">
        <f t="shared" si="85"/>
        <v>1.0887</v>
      </c>
      <c r="I950">
        <f t="shared" si="85"/>
        <v>1.0909</v>
      </c>
      <c r="J950">
        <f t="shared" si="85"/>
        <v>1.0938000000000001</v>
      </c>
      <c r="L950">
        <f t="shared" si="84"/>
        <v>1.7000000000000348E-3</v>
      </c>
      <c r="W950">
        <f t="shared" si="86"/>
        <v>2.0062863639404223E-4</v>
      </c>
      <c r="X950">
        <f t="shared" si="87"/>
        <v>7.6824583866838391E-3</v>
      </c>
      <c r="Y950">
        <f t="shared" si="87"/>
        <v>2.0221083850075971E-4</v>
      </c>
      <c r="Z950">
        <f t="shared" si="87"/>
        <v>-8.42133404625044E-3</v>
      </c>
      <c r="AE950">
        <f>W950-mu-theta*AE949</f>
        <v>1.5855785937775163E-3</v>
      </c>
      <c r="AF950">
        <f t="shared" si="89"/>
        <v>6.7919593864570957E-3</v>
      </c>
      <c r="AG950">
        <f t="shared" si="89"/>
        <v>-2.6328910434059846E-3</v>
      </c>
      <c r="AK950">
        <f t="shared" si="88"/>
        <v>2.5140594770454862E-6</v>
      </c>
    </row>
    <row r="951" spans="1:37" x14ac:dyDescent="0.3">
      <c r="A951" s="1">
        <v>45254</v>
      </c>
      <c r="B951">
        <v>1.0939000000000001</v>
      </c>
      <c r="C951">
        <v>1.2603</v>
      </c>
      <c r="D951">
        <v>149.44</v>
      </c>
      <c r="G951">
        <v>1.0939000000000001</v>
      </c>
      <c r="H951">
        <f t="shared" si="85"/>
        <v>1.0904</v>
      </c>
      <c r="I951">
        <f t="shared" si="85"/>
        <v>1.0887</v>
      </c>
      <c r="J951">
        <f t="shared" si="85"/>
        <v>1.0909</v>
      </c>
      <c r="L951">
        <f t="shared" si="84"/>
        <v>3.5000000000000586E-3</v>
      </c>
      <c r="W951">
        <f t="shared" si="86"/>
        <v>-8.0235357047341905E-4</v>
      </c>
      <c r="X951">
        <f t="shared" si="87"/>
        <v>2.0062863639404223E-4</v>
      </c>
      <c r="Y951">
        <f t="shared" si="87"/>
        <v>7.6824583866838391E-3</v>
      </c>
      <c r="Z951">
        <f t="shared" si="87"/>
        <v>2.0221083850075971E-4</v>
      </c>
      <c r="AE951">
        <f>W951-mu-theta*AE950</f>
        <v>-6.7438417058370546E-4</v>
      </c>
      <c r="AF951">
        <f t="shared" si="89"/>
        <v>1.5855785937775163E-3</v>
      </c>
      <c r="AG951">
        <f t="shared" si="89"/>
        <v>6.7919593864570957E-3</v>
      </c>
      <c r="AK951">
        <f t="shared" si="88"/>
        <v>4.5479400953387237E-7</v>
      </c>
    </row>
    <row r="952" spans="1:37" x14ac:dyDescent="0.3">
      <c r="A952" s="1">
        <v>45257</v>
      </c>
      <c r="B952">
        <v>1.0952999999999999</v>
      </c>
      <c r="C952">
        <v>1.2625</v>
      </c>
      <c r="D952">
        <v>148.66999999999999</v>
      </c>
      <c r="G952">
        <v>1.0952999999999999</v>
      </c>
      <c r="H952">
        <f t="shared" si="85"/>
        <v>1.0939000000000001</v>
      </c>
      <c r="I952">
        <f t="shared" si="85"/>
        <v>1.0904</v>
      </c>
      <c r="J952">
        <f t="shared" si="85"/>
        <v>1.0887</v>
      </c>
      <c r="L952">
        <f t="shared" si="84"/>
        <v>1.3999999999998458E-3</v>
      </c>
      <c r="W952">
        <f t="shared" si="86"/>
        <v>-5.15256959314782E-3</v>
      </c>
      <c r="X952">
        <f t="shared" si="87"/>
        <v>-8.0235357047341905E-4</v>
      </c>
      <c r="Y952">
        <f t="shared" si="87"/>
        <v>2.0062863639404223E-4</v>
      </c>
      <c r="Z952">
        <f t="shared" si="87"/>
        <v>7.6824583866838391E-3</v>
      </c>
      <c r="AE952">
        <f>W952-mu-theta*AE951</f>
        <v>-5.5702247583026207E-3</v>
      </c>
      <c r="AF952">
        <f t="shared" si="89"/>
        <v>-6.7438417058370546E-4</v>
      </c>
      <c r="AG952">
        <f t="shared" si="89"/>
        <v>1.5855785937775163E-3</v>
      </c>
      <c r="AK952">
        <f t="shared" si="88"/>
        <v>3.1027403858007488E-5</v>
      </c>
    </row>
    <row r="953" spans="1:37" x14ac:dyDescent="0.3">
      <c r="A953" s="1">
        <v>45258</v>
      </c>
      <c r="B953">
        <v>1.099</v>
      </c>
      <c r="C953">
        <v>1.2693000000000001</v>
      </c>
      <c r="D953">
        <v>147.47999999999999</v>
      </c>
      <c r="G953">
        <v>1.099</v>
      </c>
      <c r="H953">
        <f t="shared" si="85"/>
        <v>1.0952999999999999</v>
      </c>
      <c r="I953">
        <f t="shared" si="85"/>
        <v>1.0939000000000001</v>
      </c>
      <c r="J953">
        <f t="shared" si="85"/>
        <v>1.0904</v>
      </c>
      <c r="L953">
        <f t="shared" si="84"/>
        <v>3.7000000000000366E-3</v>
      </c>
      <c r="W953">
        <f t="shared" si="86"/>
        <v>-8.0043048362144192E-3</v>
      </c>
      <c r="X953">
        <f t="shared" si="87"/>
        <v>-5.15256959314782E-3</v>
      </c>
      <c r="Y953">
        <f t="shared" si="87"/>
        <v>-8.0235357047341905E-4</v>
      </c>
      <c r="Z953">
        <f t="shared" si="87"/>
        <v>2.0062863639404223E-4</v>
      </c>
      <c r="AE953">
        <f>W953-mu-theta*AE952</f>
        <v>-9.6039665960470973E-3</v>
      </c>
      <c r="AF953">
        <f t="shared" si="89"/>
        <v>-5.5702247583026207E-3</v>
      </c>
      <c r="AG953">
        <f t="shared" si="89"/>
        <v>-6.7438417058370546E-4</v>
      </c>
      <c r="AK953">
        <f t="shared" si="88"/>
        <v>9.2236174377988465E-5</v>
      </c>
    </row>
    <row r="954" spans="1:37" x14ac:dyDescent="0.3">
      <c r="A954" s="1">
        <v>45259</v>
      </c>
      <c r="B954">
        <v>1.0968</v>
      </c>
      <c r="C954">
        <v>1.2694000000000001</v>
      </c>
      <c r="D954">
        <v>147.24</v>
      </c>
      <c r="G954">
        <v>1.0968</v>
      </c>
      <c r="H954">
        <f t="shared" si="85"/>
        <v>1.099</v>
      </c>
      <c r="I954">
        <f t="shared" si="85"/>
        <v>1.0952999999999999</v>
      </c>
      <c r="J954">
        <f t="shared" si="85"/>
        <v>1.0939000000000001</v>
      </c>
      <c r="L954">
        <f t="shared" si="84"/>
        <v>-2.1999999999999797E-3</v>
      </c>
      <c r="W954">
        <f t="shared" si="86"/>
        <v>-1.6273393002439699E-3</v>
      </c>
      <c r="X954">
        <f t="shared" si="87"/>
        <v>-8.0043048362144192E-3</v>
      </c>
      <c r="Y954">
        <f t="shared" si="87"/>
        <v>-5.15256959314782E-3</v>
      </c>
      <c r="Z954">
        <f t="shared" si="87"/>
        <v>-8.0235357047341905E-4</v>
      </c>
      <c r="AE954">
        <f>W954-mu-theta*AE953</f>
        <v>-4.2008704841347382E-3</v>
      </c>
      <c r="AF954">
        <f t="shared" si="89"/>
        <v>-9.6039665960470973E-3</v>
      </c>
      <c r="AG954">
        <f t="shared" si="89"/>
        <v>-5.5702247583026207E-3</v>
      </c>
      <c r="AK954">
        <f t="shared" si="88"/>
        <v>1.7647312824474429E-5</v>
      </c>
    </row>
    <row r="955" spans="1:37" x14ac:dyDescent="0.3">
      <c r="A955" s="1">
        <v>45260</v>
      </c>
      <c r="B955">
        <v>1.0886</v>
      </c>
      <c r="C955">
        <v>1.2622</v>
      </c>
      <c r="D955">
        <v>148.19</v>
      </c>
      <c r="G955">
        <v>1.0886</v>
      </c>
      <c r="H955">
        <f t="shared" si="85"/>
        <v>1.0968</v>
      </c>
      <c r="I955">
        <f t="shared" si="85"/>
        <v>1.099</v>
      </c>
      <c r="J955">
        <f t="shared" si="85"/>
        <v>1.0952999999999999</v>
      </c>
      <c r="L955">
        <f t="shared" si="84"/>
        <v>-8.1999999999999851E-3</v>
      </c>
      <c r="W955">
        <f t="shared" si="86"/>
        <v>6.4520510730778904E-3</v>
      </c>
      <c r="X955">
        <f t="shared" si="87"/>
        <v>-1.6273393002439699E-3</v>
      </c>
      <c r="Y955">
        <f t="shared" si="87"/>
        <v>-8.0043048362144192E-3</v>
      </c>
      <c r="Z955">
        <f t="shared" si="87"/>
        <v>-5.15256959314782E-3</v>
      </c>
      <c r="AE955">
        <f>W955-mu-theta*AE954</f>
        <v>5.1829935789512796E-3</v>
      </c>
      <c r="AF955">
        <f t="shared" si="89"/>
        <v>-4.2008704841347382E-3</v>
      </c>
      <c r="AG955">
        <f t="shared" si="89"/>
        <v>-9.6039665960470973E-3</v>
      </c>
      <c r="AK955">
        <f t="shared" si="88"/>
        <v>2.6863422439450195E-5</v>
      </c>
    </row>
    <row r="956" spans="1:37" x14ac:dyDescent="0.3">
      <c r="A956" s="1">
        <v>45261</v>
      </c>
      <c r="B956">
        <v>1.0881000000000001</v>
      </c>
      <c r="C956">
        <v>1.27</v>
      </c>
      <c r="D956">
        <v>146.81</v>
      </c>
      <c r="G956">
        <v>1.0881000000000001</v>
      </c>
      <c r="H956">
        <f t="shared" si="85"/>
        <v>1.0886</v>
      </c>
      <c r="I956">
        <f t="shared" si="85"/>
        <v>1.0968</v>
      </c>
      <c r="J956">
        <f t="shared" si="85"/>
        <v>1.099</v>
      </c>
      <c r="L956">
        <f t="shared" si="84"/>
        <v>-4.9999999999994493E-4</v>
      </c>
      <c r="W956">
        <f t="shared" si="86"/>
        <v>-9.3123692556852378E-3</v>
      </c>
      <c r="X956">
        <f t="shared" si="87"/>
        <v>6.4520510730778904E-3</v>
      </c>
      <c r="Y956">
        <f t="shared" si="87"/>
        <v>-1.6273393002439699E-3</v>
      </c>
      <c r="Z956">
        <f t="shared" si="87"/>
        <v>-8.0043048362144192E-3</v>
      </c>
      <c r="AE956">
        <f>W956-mu-theta*AE955</f>
        <v>-8.3158731625582356E-3</v>
      </c>
      <c r="AF956">
        <f t="shared" si="89"/>
        <v>5.1829935789512796E-3</v>
      </c>
      <c r="AG956">
        <f t="shared" si="89"/>
        <v>-4.2008704841347382E-3</v>
      </c>
      <c r="AK956">
        <f t="shared" si="88"/>
        <v>6.9153746455756317E-5</v>
      </c>
    </row>
    <row r="957" spans="1:37" x14ac:dyDescent="0.3">
      <c r="A957" s="1">
        <v>45264</v>
      </c>
      <c r="B957">
        <v>1.0835999999999999</v>
      </c>
      <c r="C957">
        <v>1.2632000000000001</v>
      </c>
      <c r="D957">
        <v>147.19999999999999</v>
      </c>
      <c r="G957">
        <v>1.0835999999999999</v>
      </c>
      <c r="H957">
        <f t="shared" si="85"/>
        <v>1.0881000000000001</v>
      </c>
      <c r="I957">
        <f t="shared" si="85"/>
        <v>1.0886</v>
      </c>
      <c r="J957">
        <f t="shared" si="85"/>
        <v>1.0968</v>
      </c>
      <c r="L957">
        <f t="shared" si="84"/>
        <v>-4.5000000000001705E-3</v>
      </c>
      <c r="W957">
        <f t="shared" si="86"/>
        <v>2.656494789183205E-3</v>
      </c>
      <c r="X957">
        <f t="shared" si="87"/>
        <v>-9.3123692556852378E-3</v>
      </c>
      <c r="Y957">
        <f t="shared" si="87"/>
        <v>6.4520510730778904E-3</v>
      </c>
      <c r="Z957">
        <f t="shared" si="87"/>
        <v>-1.6273393002439699E-3</v>
      </c>
      <c r="AE957">
        <f>W957-mu-theta*AE956</f>
        <v>3.9394900313491224E-4</v>
      </c>
      <c r="AF957">
        <f t="shared" si="89"/>
        <v>-8.3158731625582356E-3</v>
      </c>
      <c r="AG957">
        <f t="shared" si="89"/>
        <v>5.1829935789512796E-3</v>
      </c>
      <c r="AK957">
        <f t="shared" si="88"/>
        <v>1.5519581707099111E-7</v>
      </c>
    </row>
    <row r="958" spans="1:37" x14ac:dyDescent="0.3">
      <c r="A958" s="1">
        <v>45265</v>
      </c>
      <c r="B958">
        <v>1.0794999999999999</v>
      </c>
      <c r="C958">
        <v>1.2593000000000001</v>
      </c>
      <c r="D958">
        <v>147.15</v>
      </c>
      <c r="G958">
        <v>1.0794999999999999</v>
      </c>
      <c r="H958">
        <f t="shared" si="85"/>
        <v>1.0835999999999999</v>
      </c>
      <c r="I958">
        <f t="shared" si="85"/>
        <v>1.0881000000000001</v>
      </c>
      <c r="J958">
        <f t="shared" si="85"/>
        <v>1.0886</v>
      </c>
      <c r="L958">
        <f t="shared" si="84"/>
        <v>-4.0999999999999925E-3</v>
      </c>
      <c r="W958">
        <f t="shared" si="86"/>
        <v>-3.3967391304336246E-4</v>
      </c>
      <c r="X958">
        <f t="shared" si="87"/>
        <v>2.656494789183205E-3</v>
      </c>
      <c r="Y958">
        <f t="shared" si="87"/>
        <v>-9.3123692556852378E-3</v>
      </c>
      <c r="Z958">
        <f t="shared" si="87"/>
        <v>6.4520510730778904E-3</v>
      </c>
      <c r="AE958">
        <f>W958-mu-theta*AE957</f>
        <v>-4.9940057051427438E-4</v>
      </c>
      <c r="AF958">
        <f t="shared" si="89"/>
        <v>3.9394900313491224E-4</v>
      </c>
      <c r="AG958">
        <f t="shared" si="89"/>
        <v>-8.3158731625582356E-3</v>
      </c>
      <c r="AK958">
        <f t="shared" si="88"/>
        <v>2.4940092982998273E-7</v>
      </c>
    </row>
    <row r="959" spans="1:37" x14ac:dyDescent="0.3">
      <c r="A959" s="1">
        <v>45266</v>
      </c>
      <c r="B959">
        <v>1.0762</v>
      </c>
      <c r="C959">
        <v>1.2559</v>
      </c>
      <c r="D959">
        <v>147.31</v>
      </c>
      <c r="G959">
        <v>1.0762</v>
      </c>
      <c r="H959">
        <f t="shared" si="85"/>
        <v>1.0794999999999999</v>
      </c>
      <c r="I959">
        <f t="shared" si="85"/>
        <v>1.0835999999999999</v>
      </c>
      <c r="J959">
        <f t="shared" si="85"/>
        <v>1.0881000000000001</v>
      </c>
      <c r="L959">
        <f t="shared" si="84"/>
        <v>-3.2999999999998586E-3</v>
      </c>
      <c r="W959">
        <f t="shared" si="86"/>
        <v>1.0873258579680366E-3</v>
      </c>
      <c r="X959">
        <f t="shared" si="87"/>
        <v>-3.3967391304336246E-4</v>
      </c>
      <c r="Y959">
        <f t="shared" si="87"/>
        <v>2.656494789183205E-3</v>
      </c>
      <c r="Z959">
        <f t="shared" si="87"/>
        <v>-9.3123692556852378E-3</v>
      </c>
      <c r="AE959">
        <f>W959-mu-theta*AE958</f>
        <v>7.1191711925150175E-4</v>
      </c>
      <c r="AF959">
        <f t="shared" si="89"/>
        <v>-4.9940057051427438E-4</v>
      </c>
      <c r="AG959">
        <f t="shared" si="89"/>
        <v>3.9394900313491224E-4</v>
      </c>
      <c r="AK959">
        <f t="shared" si="88"/>
        <v>5.0682598468335694E-7</v>
      </c>
    </row>
    <row r="960" spans="1:37" x14ac:dyDescent="0.3">
      <c r="A960" s="1">
        <v>45267</v>
      </c>
      <c r="B960">
        <v>1.0791999999999999</v>
      </c>
      <c r="C960">
        <v>1.2589999999999999</v>
      </c>
      <c r="D960">
        <v>144.12</v>
      </c>
      <c r="G960">
        <v>1.0791999999999999</v>
      </c>
      <c r="H960">
        <f t="shared" si="85"/>
        <v>1.0762</v>
      </c>
      <c r="I960">
        <f t="shared" si="85"/>
        <v>1.0794999999999999</v>
      </c>
      <c r="J960">
        <f t="shared" si="85"/>
        <v>1.0835999999999999</v>
      </c>
      <c r="L960">
        <f t="shared" si="84"/>
        <v>2.9999999999998916E-3</v>
      </c>
      <c r="W960">
        <f t="shared" si="86"/>
        <v>-2.1655013237390521E-2</v>
      </c>
      <c r="X960">
        <f t="shared" si="87"/>
        <v>1.0873258579680366E-3</v>
      </c>
      <c r="Y960">
        <f t="shared" si="87"/>
        <v>-3.3967391304336246E-4</v>
      </c>
      <c r="Z960">
        <f t="shared" si="87"/>
        <v>2.656494789183205E-3</v>
      </c>
      <c r="AE960">
        <f>W960-mu-theta*AE959</f>
        <v>-2.1737972605687456E-2</v>
      </c>
      <c r="AF960">
        <f t="shared" si="89"/>
        <v>7.1191711925150175E-4</v>
      </c>
      <c r="AG960">
        <f t="shared" si="89"/>
        <v>-4.9940057051427438E-4</v>
      </c>
      <c r="AK960">
        <f t="shared" si="88"/>
        <v>4.7253945300561832E-4</v>
      </c>
    </row>
    <row r="961" spans="1:37" x14ac:dyDescent="0.3">
      <c r="A961" s="1">
        <v>45268</v>
      </c>
      <c r="B961">
        <v>1.0761000000000001</v>
      </c>
      <c r="C961">
        <v>1.2545999999999999</v>
      </c>
      <c r="D961">
        <v>144.93</v>
      </c>
      <c r="G961">
        <v>1.0761000000000001</v>
      </c>
      <c r="H961">
        <f t="shared" si="85"/>
        <v>1.0791999999999999</v>
      </c>
      <c r="I961">
        <f t="shared" si="85"/>
        <v>1.0762</v>
      </c>
      <c r="J961">
        <f t="shared" si="85"/>
        <v>1.0794999999999999</v>
      </c>
      <c r="L961">
        <f t="shared" si="84"/>
        <v>-3.0999999999998806E-3</v>
      </c>
      <c r="W961">
        <f t="shared" si="86"/>
        <v>5.6203164029975175E-3</v>
      </c>
      <c r="X961">
        <f t="shared" si="87"/>
        <v>-2.1655013237390521E-2</v>
      </c>
      <c r="Y961">
        <f t="shared" si="87"/>
        <v>1.0873258579680366E-3</v>
      </c>
      <c r="Z961">
        <f t="shared" si="87"/>
        <v>-3.3967391304336246E-4</v>
      </c>
      <c r="AE961">
        <f>W961-mu-theta*AE960</f>
        <v>1.1726272623113852E-4</v>
      </c>
      <c r="AF961">
        <f t="shared" si="89"/>
        <v>-2.1737972605687456E-2</v>
      </c>
      <c r="AG961">
        <f t="shared" si="89"/>
        <v>7.1191711925150175E-4</v>
      </c>
      <c r="AK961">
        <f t="shared" si="88"/>
        <v>1.375054696315894E-8</v>
      </c>
    </row>
    <row r="962" spans="1:37" x14ac:dyDescent="0.3">
      <c r="A962" s="1">
        <v>45271</v>
      </c>
      <c r="B962">
        <v>1.0761000000000001</v>
      </c>
      <c r="C962">
        <v>1.2553000000000001</v>
      </c>
      <c r="D962">
        <v>146.16</v>
      </c>
      <c r="G962">
        <v>1.0761000000000001</v>
      </c>
      <c r="H962">
        <f t="shared" si="85"/>
        <v>1.0761000000000001</v>
      </c>
      <c r="I962">
        <f t="shared" si="85"/>
        <v>1.0791999999999999</v>
      </c>
      <c r="J962">
        <f t="shared" si="85"/>
        <v>1.0762</v>
      </c>
      <c r="L962">
        <f t="shared" si="84"/>
        <v>0</v>
      </c>
      <c r="W962">
        <f t="shared" si="86"/>
        <v>8.4868557234526309E-3</v>
      </c>
      <c r="X962">
        <f t="shared" si="87"/>
        <v>5.6203164029975175E-3</v>
      </c>
      <c r="Y962">
        <f t="shared" si="87"/>
        <v>-2.1655013237390521E-2</v>
      </c>
      <c r="Z962">
        <f t="shared" si="87"/>
        <v>1.0873258579680366E-3</v>
      </c>
      <c r="AE962">
        <f>W962-mu-theta*AE961</f>
        <v>8.2603284833039428E-3</v>
      </c>
      <c r="AF962">
        <f t="shared" si="89"/>
        <v>1.1726272623113852E-4</v>
      </c>
      <c r="AG962">
        <f t="shared" si="89"/>
        <v>-2.1737972605687456E-2</v>
      </c>
      <c r="AK962">
        <f t="shared" si="88"/>
        <v>6.8233026652082419E-5</v>
      </c>
    </row>
    <row r="963" spans="1:37" x14ac:dyDescent="0.3">
      <c r="A963" s="1">
        <v>45272</v>
      </c>
      <c r="B963">
        <v>1.0791999999999999</v>
      </c>
      <c r="C963">
        <v>1.2561</v>
      </c>
      <c r="D963">
        <v>145.43</v>
      </c>
      <c r="G963">
        <v>1.0791999999999999</v>
      </c>
      <c r="H963">
        <f t="shared" si="85"/>
        <v>1.0761000000000001</v>
      </c>
      <c r="I963">
        <f t="shared" si="85"/>
        <v>1.0761000000000001</v>
      </c>
      <c r="J963">
        <f t="shared" si="85"/>
        <v>1.0791999999999999</v>
      </c>
      <c r="L963">
        <f t="shared" si="84"/>
        <v>3.0999999999998806E-3</v>
      </c>
      <c r="W963">
        <f t="shared" si="86"/>
        <v>-4.9945265462506142E-3</v>
      </c>
      <c r="X963">
        <f t="shared" si="87"/>
        <v>8.4868557234526309E-3</v>
      </c>
      <c r="Y963">
        <f t="shared" si="87"/>
        <v>5.6203164029975175E-3</v>
      </c>
      <c r="Z963">
        <f t="shared" si="87"/>
        <v>-2.1655013237390521E-2</v>
      </c>
      <c r="AE963">
        <f>W963-mu-theta*AE962</f>
        <v>-3.2550670976373938E-3</v>
      </c>
      <c r="AF963">
        <f t="shared" si="89"/>
        <v>8.2603284833039428E-3</v>
      </c>
      <c r="AG963">
        <f t="shared" si="89"/>
        <v>1.1726272623113852E-4</v>
      </c>
      <c r="AK963">
        <f t="shared" si="88"/>
        <v>1.0595461810121527E-5</v>
      </c>
    </row>
    <row r="964" spans="1:37" x14ac:dyDescent="0.3">
      <c r="A964" s="1">
        <v>45273</v>
      </c>
      <c r="B964">
        <v>1.0872999999999999</v>
      </c>
      <c r="C964">
        <v>1.2618</v>
      </c>
      <c r="D964">
        <v>142.88</v>
      </c>
      <c r="G964">
        <v>1.0872999999999999</v>
      </c>
      <c r="H964">
        <f t="shared" si="85"/>
        <v>1.0791999999999999</v>
      </c>
      <c r="I964">
        <f t="shared" si="85"/>
        <v>1.0761000000000001</v>
      </c>
      <c r="J964">
        <f t="shared" si="85"/>
        <v>1.0761000000000001</v>
      </c>
      <c r="L964">
        <f t="shared" si="84"/>
        <v>8.0999999999999961E-3</v>
      </c>
      <c r="W964">
        <f t="shared" si="86"/>
        <v>-1.7534208897751574E-2</v>
      </c>
      <c r="X964">
        <f t="shared" si="87"/>
        <v>-4.9945265462506142E-3</v>
      </c>
      <c r="Y964">
        <f t="shared" si="87"/>
        <v>8.4868557234526309E-3</v>
      </c>
      <c r="Z964">
        <f t="shared" si="87"/>
        <v>5.6203164029975175E-3</v>
      </c>
      <c r="AE964">
        <f>W964-mu-theta*AE963</f>
        <v>-1.8574920345866625E-2</v>
      </c>
      <c r="AF964">
        <f t="shared" si="89"/>
        <v>-3.2550670976373938E-3</v>
      </c>
      <c r="AG964">
        <f t="shared" si="89"/>
        <v>8.2603284833039428E-3</v>
      </c>
      <c r="AK964">
        <f t="shared" si="88"/>
        <v>3.4502766585528993E-4</v>
      </c>
    </row>
    <row r="965" spans="1:37" x14ac:dyDescent="0.3">
      <c r="A965" s="1">
        <v>45274</v>
      </c>
      <c r="B965">
        <v>1.0991</v>
      </c>
      <c r="C965">
        <v>1.2766</v>
      </c>
      <c r="D965">
        <v>141.87</v>
      </c>
      <c r="G965">
        <v>1.0991</v>
      </c>
      <c r="H965">
        <f t="shared" si="85"/>
        <v>1.0872999999999999</v>
      </c>
      <c r="I965">
        <f t="shared" si="85"/>
        <v>1.0791999999999999</v>
      </c>
      <c r="J965">
        <f t="shared" si="85"/>
        <v>1.0761000000000001</v>
      </c>
      <c r="L965">
        <f t="shared" si="84"/>
        <v>1.1800000000000033E-2</v>
      </c>
      <c r="W965">
        <f t="shared" si="86"/>
        <v>-7.0688689809629826E-3</v>
      </c>
      <c r="X965">
        <f t="shared" si="87"/>
        <v>-1.7534208897751574E-2</v>
      </c>
      <c r="Y965">
        <f t="shared" si="87"/>
        <v>-4.9945265462506142E-3</v>
      </c>
      <c r="Z965">
        <f t="shared" si="87"/>
        <v>8.4868557234526309E-3</v>
      </c>
      <c r="AE965">
        <f>W965-mu-theta*AE964</f>
        <v>-1.1808264494553555E-2</v>
      </c>
      <c r="AF965">
        <f t="shared" si="89"/>
        <v>-1.8574920345866625E-2</v>
      </c>
      <c r="AG965">
        <f t="shared" si="89"/>
        <v>-3.2550670976373938E-3</v>
      </c>
      <c r="AK965">
        <f t="shared" si="88"/>
        <v>1.3943511037333413E-4</v>
      </c>
    </row>
    <row r="966" spans="1:37" x14ac:dyDescent="0.3">
      <c r="A966" s="1">
        <v>45275</v>
      </c>
      <c r="B966">
        <v>1.0893999999999999</v>
      </c>
      <c r="C966">
        <v>1.2675000000000001</v>
      </c>
      <c r="D966">
        <v>142.15</v>
      </c>
      <c r="G966">
        <v>1.0893999999999999</v>
      </c>
      <c r="H966">
        <f t="shared" si="85"/>
        <v>1.0991</v>
      </c>
      <c r="I966">
        <f t="shared" si="85"/>
        <v>1.0872999999999999</v>
      </c>
      <c r="J966">
        <f t="shared" si="85"/>
        <v>1.0791999999999999</v>
      </c>
      <c r="L966">
        <f t="shared" ref="L966:L1029" si="90">G966-H966</f>
        <v>-9.7000000000000419E-3</v>
      </c>
      <c r="W966">
        <f t="shared" si="86"/>
        <v>1.9736378374568347E-3</v>
      </c>
      <c r="X966">
        <f t="shared" si="87"/>
        <v>-7.0688689809629826E-3</v>
      </c>
      <c r="Y966">
        <f t="shared" si="87"/>
        <v>-1.7534208897751574E-2</v>
      </c>
      <c r="Z966">
        <f t="shared" si="87"/>
        <v>-4.9945265462506142E-3</v>
      </c>
      <c r="AE966">
        <f>W966-mu-theta*AE965</f>
        <v>-1.1320786996917654E-3</v>
      </c>
      <c r="AF966">
        <f t="shared" si="89"/>
        <v>-1.1808264494553555E-2</v>
      </c>
      <c r="AG966">
        <f t="shared" si="89"/>
        <v>-1.8574920345866625E-2</v>
      </c>
      <c r="AK966">
        <f t="shared" si="88"/>
        <v>1.2816021822957983E-6</v>
      </c>
    </row>
    <row r="967" spans="1:37" x14ac:dyDescent="0.3">
      <c r="A967" s="1">
        <v>45278</v>
      </c>
      <c r="B967">
        <v>1.0922000000000001</v>
      </c>
      <c r="C967">
        <v>1.2642</v>
      </c>
      <c r="D967">
        <v>142.74</v>
      </c>
      <c r="G967">
        <v>1.0922000000000001</v>
      </c>
      <c r="H967">
        <f t="shared" ref="H967:J1030" si="91">G966</f>
        <v>1.0893999999999999</v>
      </c>
      <c r="I967">
        <f t="shared" si="91"/>
        <v>1.0991</v>
      </c>
      <c r="J967">
        <f t="shared" si="91"/>
        <v>1.0872999999999999</v>
      </c>
      <c r="L967">
        <f t="shared" si="90"/>
        <v>2.8000000000001357E-3</v>
      </c>
      <c r="W967">
        <f t="shared" ref="W967:W1030" si="92">(D967-D966)/D966</f>
        <v>4.1505451987337554E-3</v>
      </c>
      <c r="X967">
        <f t="shared" si="87"/>
        <v>1.9736378374568347E-3</v>
      </c>
      <c r="Y967">
        <f t="shared" si="87"/>
        <v>-7.0688689809629826E-3</v>
      </c>
      <c r="Z967">
        <f t="shared" si="87"/>
        <v>-1.7534208897751574E-2</v>
      </c>
      <c r="AE967">
        <f>W967-mu-theta*AE966</f>
        <v>3.6223884880198952E-3</v>
      </c>
      <c r="AF967">
        <f t="shared" si="89"/>
        <v>-1.1320786996917654E-3</v>
      </c>
      <c r="AG967">
        <f t="shared" si="89"/>
        <v>-1.1808264494553555E-2</v>
      </c>
      <c r="AK967">
        <f t="shared" si="88"/>
        <v>1.3121698358139062E-5</v>
      </c>
    </row>
    <row r="968" spans="1:37" x14ac:dyDescent="0.3">
      <c r="A968" s="1">
        <v>45279</v>
      </c>
      <c r="B968">
        <v>1.0980000000000001</v>
      </c>
      <c r="C968">
        <v>1.2729999999999999</v>
      </c>
      <c r="D968">
        <v>143.82</v>
      </c>
      <c r="G968">
        <v>1.0980000000000001</v>
      </c>
      <c r="H968">
        <f t="shared" si="91"/>
        <v>1.0922000000000001</v>
      </c>
      <c r="I968">
        <f t="shared" si="91"/>
        <v>1.0893999999999999</v>
      </c>
      <c r="J968">
        <f t="shared" si="91"/>
        <v>1.0991</v>
      </c>
      <c r="L968">
        <f t="shared" si="90"/>
        <v>5.8000000000000274E-3</v>
      </c>
      <c r="W968">
        <f t="shared" si="92"/>
        <v>7.566204287515651E-3</v>
      </c>
      <c r="X968">
        <f t="shared" ref="X968:Z1031" si="93">W967</f>
        <v>4.1505451987337554E-3</v>
      </c>
      <c r="Y968">
        <f t="shared" si="93"/>
        <v>1.9736378374568347E-3</v>
      </c>
      <c r="Z968">
        <f t="shared" si="93"/>
        <v>-7.0688689809629826E-3</v>
      </c>
      <c r="AE968">
        <f>W968-mu-theta*AE967</f>
        <v>8.185922281740492E-3</v>
      </c>
      <c r="AF968">
        <f t="shared" si="89"/>
        <v>3.6223884880198952E-3</v>
      </c>
      <c r="AG968">
        <f t="shared" si="89"/>
        <v>-1.1320786996917654E-3</v>
      </c>
      <c r="AK968">
        <f t="shared" ref="AK968:AK1031" si="94">POWER(AE968,2)</f>
        <v>6.7009323602695457E-5</v>
      </c>
    </row>
    <row r="969" spans="1:37" x14ac:dyDescent="0.3">
      <c r="A969" s="1">
        <v>45280</v>
      </c>
      <c r="B969">
        <v>1.0938000000000001</v>
      </c>
      <c r="C969">
        <v>1.2637</v>
      </c>
      <c r="D969">
        <v>143.56</v>
      </c>
      <c r="G969">
        <v>1.0938000000000001</v>
      </c>
      <c r="H969">
        <f t="shared" si="91"/>
        <v>1.0980000000000001</v>
      </c>
      <c r="I969">
        <f t="shared" si="91"/>
        <v>1.0922000000000001</v>
      </c>
      <c r="J969">
        <f t="shared" si="91"/>
        <v>1.0893999999999999</v>
      </c>
      <c r="L969">
        <f t="shared" si="90"/>
        <v>-4.1999999999999815E-3</v>
      </c>
      <c r="W969">
        <f t="shared" si="92"/>
        <v>-1.8078153247113816E-3</v>
      </c>
      <c r="X969">
        <f t="shared" si="93"/>
        <v>7.566204287515651E-3</v>
      </c>
      <c r="Y969">
        <f t="shared" si="93"/>
        <v>4.1505451987337554E-3</v>
      </c>
      <c r="Z969">
        <f t="shared" si="93"/>
        <v>1.9736378374568347E-3</v>
      </c>
      <c r="AE969">
        <f>W969-mu-theta*AE968</f>
        <v>-8.631982311750391E-5</v>
      </c>
      <c r="AF969">
        <f t="shared" ref="AF969:AG1032" si="95">AE968</f>
        <v>8.185922281740492E-3</v>
      </c>
      <c r="AG969">
        <f t="shared" si="95"/>
        <v>3.6223884880198952E-3</v>
      </c>
      <c r="AK969">
        <f t="shared" si="94"/>
        <v>7.4511118630371623E-9</v>
      </c>
    </row>
    <row r="970" spans="1:37" x14ac:dyDescent="0.3">
      <c r="A970" s="1">
        <v>45281</v>
      </c>
      <c r="B970">
        <v>1.1008</v>
      </c>
      <c r="C970">
        <v>1.2687999999999999</v>
      </c>
      <c r="D970">
        <v>142.1</v>
      </c>
      <c r="G970">
        <v>1.1008</v>
      </c>
      <c r="H970">
        <f t="shared" si="91"/>
        <v>1.0938000000000001</v>
      </c>
      <c r="I970">
        <f t="shared" si="91"/>
        <v>1.0980000000000001</v>
      </c>
      <c r="J970">
        <f t="shared" si="91"/>
        <v>1.0922000000000001</v>
      </c>
      <c r="L970">
        <f t="shared" si="90"/>
        <v>6.9999999999998952E-3</v>
      </c>
      <c r="W970">
        <f t="shared" si="92"/>
        <v>-1.0169963778211256E-2</v>
      </c>
      <c r="X970">
        <f t="shared" si="93"/>
        <v>-1.8078153247113816E-3</v>
      </c>
      <c r="Y970">
        <f t="shared" si="93"/>
        <v>7.566204287515651E-3</v>
      </c>
      <c r="Z970">
        <f t="shared" si="93"/>
        <v>4.1505451987337554E-3</v>
      </c>
      <c r="AE970">
        <f>W970-mu-theta*AE969</f>
        <v>-1.0445642111329567E-2</v>
      </c>
      <c r="AF970">
        <f t="shared" si="95"/>
        <v>-8.631982311750391E-5</v>
      </c>
      <c r="AG970">
        <f t="shared" si="95"/>
        <v>8.185922281740492E-3</v>
      </c>
      <c r="AK970">
        <f t="shared" si="94"/>
        <v>1.0911143911798161E-4</v>
      </c>
    </row>
    <row r="971" spans="1:37" x14ac:dyDescent="0.3">
      <c r="A971" s="1">
        <v>45282</v>
      </c>
      <c r="B971">
        <v>1.101</v>
      </c>
      <c r="C971">
        <v>1.27</v>
      </c>
      <c r="D971">
        <v>142.41</v>
      </c>
      <c r="G971">
        <v>1.101</v>
      </c>
      <c r="H971">
        <f t="shared" si="91"/>
        <v>1.1008</v>
      </c>
      <c r="I971">
        <f t="shared" si="91"/>
        <v>1.0938000000000001</v>
      </c>
      <c r="J971">
        <f t="shared" si="91"/>
        <v>1.0980000000000001</v>
      </c>
      <c r="L971">
        <f t="shared" si="90"/>
        <v>1.9999999999997797E-4</v>
      </c>
      <c r="W971">
        <f t="shared" si="92"/>
        <v>2.1815622800844636E-3</v>
      </c>
      <c r="X971">
        <f t="shared" si="93"/>
        <v>-1.0169963778211256E-2</v>
      </c>
      <c r="Y971">
        <f t="shared" si="93"/>
        <v>-1.8078153247113816E-3</v>
      </c>
      <c r="Z971">
        <f t="shared" si="93"/>
        <v>7.566204287515651E-3</v>
      </c>
      <c r="AE971">
        <f>W971-mu-theta*AE970</f>
        <v>-5.9517527701591745E-4</v>
      </c>
      <c r="AF971">
        <f t="shared" si="95"/>
        <v>-1.0445642111329567E-2</v>
      </c>
      <c r="AG971">
        <f t="shared" si="95"/>
        <v>-8.631982311750391E-5</v>
      </c>
      <c r="AK971">
        <f t="shared" si="94"/>
        <v>3.542336103709741E-7</v>
      </c>
    </row>
    <row r="972" spans="1:37" x14ac:dyDescent="0.3">
      <c r="A972" s="1">
        <v>45285</v>
      </c>
      <c r="B972">
        <v>1.1007</v>
      </c>
      <c r="C972">
        <v>1.2688999999999999</v>
      </c>
      <c r="D972">
        <v>142.34</v>
      </c>
      <c r="G972">
        <v>1.1007</v>
      </c>
      <c r="H972">
        <f t="shared" si="91"/>
        <v>1.101</v>
      </c>
      <c r="I972">
        <f t="shared" si="91"/>
        <v>1.1008</v>
      </c>
      <c r="J972">
        <f t="shared" si="91"/>
        <v>1.0938000000000001</v>
      </c>
      <c r="L972">
        <f t="shared" si="90"/>
        <v>-2.9999999999996696E-4</v>
      </c>
      <c r="W972">
        <f t="shared" si="92"/>
        <v>-4.9153851555363518E-4</v>
      </c>
      <c r="X972">
        <f t="shared" si="93"/>
        <v>2.1815622800844636E-3</v>
      </c>
      <c r="Y972">
        <f t="shared" si="93"/>
        <v>-1.0169963778211256E-2</v>
      </c>
      <c r="Z972">
        <f t="shared" si="93"/>
        <v>-1.8078153247113816E-3</v>
      </c>
      <c r="AE972">
        <f>W972-mu-theta*AE971</f>
        <v>-8.9007021602923039E-4</v>
      </c>
      <c r="AF972">
        <f t="shared" si="95"/>
        <v>-5.9517527701591745E-4</v>
      </c>
      <c r="AG972">
        <f t="shared" si="95"/>
        <v>-1.0445642111329567E-2</v>
      </c>
      <c r="AK972">
        <f t="shared" si="94"/>
        <v>7.9222498946232088E-7</v>
      </c>
    </row>
    <row r="973" spans="1:37" x14ac:dyDescent="0.3">
      <c r="A973" s="1">
        <v>45286</v>
      </c>
      <c r="B973">
        <v>1.1042000000000001</v>
      </c>
      <c r="C973">
        <v>1.2726</v>
      </c>
      <c r="D973">
        <v>142.38</v>
      </c>
      <c r="G973">
        <v>1.1042000000000001</v>
      </c>
      <c r="H973">
        <f t="shared" si="91"/>
        <v>1.1007</v>
      </c>
      <c r="I973">
        <f t="shared" si="91"/>
        <v>1.101</v>
      </c>
      <c r="J973">
        <f t="shared" si="91"/>
        <v>1.1008</v>
      </c>
      <c r="L973">
        <f t="shared" si="90"/>
        <v>3.5000000000000586E-3</v>
      </c>
      <c r="W973">
        <f t="shared" si="92"/>
        <v>2.8101728256282172E-4</v>
      </c>
      <c r="X973">
        <f t="shared" si="93"/>
        <v>-4.9153851555363518E-4</v>
      </c>
      <c r="Y973">
        <f t="shared" si="93"/>
        <v>2.1815622800844636E-3</v>
      </c>
      <c r="Z973">
        <f t="shared" si="93"/>
        <v>-1.0169963778211256E-2</v>
      </c>
      <c r="AE973">
        <f>W973-mu-theta*AE972</f>
        <v>-1.887111320225506E-4</v>
      </c>
      <c r="AF973">
        <f t="shared" si="95"/>
        <v>-8.9007021602923039E-4</v>
      </c>
      <c r="AG973">
        <f t="shared" si="95"/>
        <v>-5.9517527701591745E-4</v>
      </c>
      <c r="AK973">
        <f t="shared" si="94"/>
        <v>3.5611891349232521E-8</v>
      </c>
    </row>
    <row r="974" spans="1:37" x14ac:dyDescent="0.3">
      <c r="A974" s="1">
        <v>45287</v>
      </c>
      <c r="B974">
        <v>1.1103000000000001</v>
      </c>
      <c r="C974">
        <v>1.2794000000000001</v>
      </c>
      <c r="D974">
        <v>141.83000000000001</v>
      </c>
      <c r="G974">
        <v>1.1103000000000001</v>
      </c>
      <c r="H974">
        <f t="shared" si="91"/>
        <v>1.1042000000000001</v>
      </c>
      <c r="I974">
        <f t="shared" si="91"/>
        <v>1.1007</v>
      </c>
      <c r="J974">
        <f t="shared" si="91"/>
        <v>1.101</v>
      </c>
      <c r="L974">
        <f t="shared" si="90"/>
        <v>6.0999999999999943E-3</v>
      </c>
      <c r="W974">
        <f t="shared" si="92"/>
        <v>-3.8629020929904687E-3</v>
      </c>
      <c r="X974">
        <f t="shared" si="93"/>
        <v>2.8101728256282172E-4</v>
      </c>
      <c r="Y974">
        <f t="shared" si="93"/>
        <v>-4.9153851555363518E-4</v>
      </c>
      <c r="Z974">
        <f t="shared" si="93"/>
        <v>2.1815622800844636E-3</v>
      </c>
      <c r="AE974">
        <f>W974-mu-theta*AE973</f>
        <v>-4.1633008393238387E-3</v>
      </c>
      <c r="AF974">
        <f t="shared" si="95"/>
        <v>-1.887111320225506E-4</v>
      </c>
      <c r="AG974">
        <f t="shared" si="95"/>
        <v>-8.9007021602923039E-4</v>
      </c>
      <c r="AK974">
        <f t="shared" si="94"/>
        <v>1.7333073878714579E-5</v>
      </c>
    </row>
    <row r="975" spans="1:37" x14ac:dyDescent="0.3">
      <c r="A975" s="1">
        <v>45288</v>
      </c>
      <c r="B975">
        <v>1.1059000000000001</v>
      </c>
      <c r="C975">
        <v>1.2729999999999999</v>
      </c>
      <c r="D975">
        <v>141.38999999999999</v>
      </c>
      <c r="G975">
        <v>1.1059000000000001</v>
      </c>
      <c r="H975">
        <f t="shared" si="91"/>
        <v>1.1103000000000001</v>
      </c>
      <c r="I975">
        <f t="shared" si="91"/>
        <v>1.1042000000000001</v>
      </c>
      <c r="J975">
        <f t="shared" si="91"/>
        <v>1.1007</v>
      </c>
      <c r="L975">
        <f t="shared" si="90"/>
        <v>-4.3999999999999595E-3</v>
      </c>
      <c r="W975">
        <f t="shared" si="92"/>
        <v>-3.1023055770995284E-3</v>
      </c>
      <c r="X975">
        <f t="shared" si="93"/>
        <v>-3.8629020929904687E-3</v>
      </c>
      <c r="Y975">
        <f t="shared" si="93"/>
        <v>2.8101728256282172E-4</v>
      </c>
      <c r="Z975">
        <f t="shared" si="93"/>
        <v>-4.9153851555363518E-4</v>
      </c>
      <c r="AE975">
        <f>W975-mu-theta*AE974</f>
        <v>-4.3622926027068864E-3</v>
      </c>
      <c r="AF975">
        <f t="shared" si="95"/>
        <v>-4.1633008393238387E-3</v>
      </c>
      <c r="AG975">
        <f t="shared" si="95"/>
        <v>-1.887111320225506E-4</v>
      </c>
      <c r="AK975">
        <f t="shared" si="94"/>
        <v>1.902959675163122E-5</v>
      </c>
    </row>
    <row r="976" spans="1:37" x14ac:dyDescent="0.3">
      <c r="A976" s="1">
        <v>45289</v>
      </c>
      <c r="B976">
        <v>1.1035999999999999</v>
      </c>
      <c r="C976">
        <v>1.2728999999999999</v>
      </c>
      <c r="D976">
        <v>141.06</v>
      </c>
      <c r="G976">
        <v>1.1035999999999999</v>
      </c>
      <c r="H976">
        <f t="shared" si="91"/>
        <v>1.1059000000000001</v>
      </c>
      <c r="I976">
        <f t="shared" si="91"/>
        <v>1.1103000000000001</v>
      </c>
      <c r="J976">
        <f t="shared" si="91"/>
        <v>1.1042000000000001</v>
      </c>
      <c r="L976">
        <f t="shared" si="90"/>
        <v>-2.3000000000001908E-3</v>
      </c>
      <c r="W976">
        <f t="shared" si="92"/>
        <v>-2.3339698705706494E-3</v>
      </c>
      <c r="X976">
        <f t="shared" si="93"/>
        <v>-3.1023055770995284E-3</v>
      </c>
      <c r="Y976">
        <f t="shared" si="93"/>
        <v>-3.8629020929904687E-3</v>
      </c>
      <c r="Z976">
        <f t="shared" si="93"/>
        <v>2.8101728256282172E-4</v>
      </c>
      <c r="AE976">
        <f>W976-mu-theta*AE975</f>
        <v>-3.641999632127245E-3</v>
      </c>
      <c r="AF976">
        <f t="shared" si="95"/>
        <v>-4.3622926027068864E-3</v>
      </c>
      <c r="AG976">
        <f t="shared" si="95"/>
        <v>-4.1633008393238387E-3</v>
      </c>
      <c r="AK976">
        <f t="shared" si="94"/>
        <v>1.3264161320414987E-5</v>
      </c>
    </row>
    <row r="977" spans="1:38" s="2" customFormat="1" x14ac:dyDescent="0.3">
      <c r="A977" s="9">
        <v>45292</v>
      </c>
      <c r="B977" s="2">
        <v>1.0355000000000001</v>
      </c>
      <c r="C977" s="2">
        <v>1.2517</v>
      </c>
      <c r="D977" s="2">
        <v>156.87</v>
      </c>
      <c r="G977" s="2">
        <v>1.0355000000000001</v>
      </c>
      <c r="H977" s="2">
        <f t="shared" si="91"/>
        <v>1.1035999999999999</v>
      </c>
      <c r="I977" s="2">
        <f t="shared" si="91"/>
        <v>1.1059000000000001</v>
      </c>
      <c r="J977" s="2">
        <f t="shared" si="91"/>
        <v>1.1103000000000001</v>
      </c>
      <c r="L977" s="2">
        <f t="shared" si="90"/>
        <v>-6.8099999999999827E-2</v>
      </c>
      <c r="W977" s="2">
        <f t="shared" si="92"/>
        <v>0.11207996597192685</v>
      </c>
      <c r="X977">
        <f t="shared" si="93"/>
        <v>-2.3339698705706494E-3</v>
      </c>
      <c r="Y977">
        <f t="shared" si="93"/>
        <v>-3.1023055770995284E-3</v>
      </c>
      <c r="Z977">
        <f t="shared" si="93"/>
        <v>-3.8629020929904687E-3</v>
      </c>
      <c r="AE977">
        <f>W977-mu-theta*AE976</f>
        <v>0.11094583710155959</v>
      </c>
      <c r="AF977">
        <f t="shared" si="95"/>
        <v>-3.641999632127245E-3</v>
      </c>
      <c r="AG977">
        <f t="shared" si="95"/>
        <v>-4.3622926027068864E-3</v>
      </c>
      <c r="AH977"/>
      <c r="AI977"/>
      <c r="AJ977"/>
      <c r="AK977">
        <f t="shared" si="94"/>
        <v>1.2308978770165796E-2</v>
      </c>
      <c r="AL977"/>
    </row>
    <row r="978" spans="1:38" x14ac:dyDescent="0.3">
      <c r="A978" s="1">
        <v>45293</v>
      </c>
      <c r="B978">
        <v>1.0947</v>
      </c>
      <c r="C978">
        <v>1.2614000000000001</v>
      </c>
      <c r="D978">
        <v>141.97999999999999</v>
      </c>
      <c r="G978">
        <v>1.0947</v>
      </c>
      <c r="H978">
        <f t="shared" si="91"/>
        <v>1.0355000000000001</v>
      </c>
      <c r="I978">
        <f t="shared" si="91"/>
        <v>1.1035999999999999</v>
      </c>
      <c r="J978">
        <f t="shared" si="91"/>
        <v>1.1059000000000001</v>
      </c>
      <c r="L978">
        <f t="shared" si="90"/>
        <v>5.9199999999999919E-2</v>
      </c>
      <c r="W978">
        <f t="shared" si="92"/>
        <v>-9.4919359979601034E-2</v>
      </c>
      <c r="X978">
        <f t="shared" si="93"/>
        <v>0.11207996597192685</v>
      </c>
      <c r="Y978">
        <f t="shared" si="93"/>
        <v>-2.3339698705706494E-3</v>
      </c>
      <c r="Z978">
        <f t="shared" si="93"/>
        <v>-3.1023055770995284E-3</v>
      </c>
      <c r="AE978">
        <f>W978-mu-theta*AE977</f>
        <v>-6.8388458450725623E-2</v>
      </c>
      <c r="AF978">
        <f t="shared" si="95"/>
        <v>0.11094583710155959</v>
      </c>
      <c r="AG978">
        <f t="shared" si="95"/>
        <v>-3.641999632127245E-3</v>
      </c>
      <c r="AK978">
        <f t="shared" si="94"/>
        <v>4.6769812492666249E-3</v>
      </c>
    </row>
    <row r="979" spans="1:38" x14ac:dyDescent="0.3">
      <c r="A979" s="1">
        <v>45294</v>
      </c>
      <c r="B979">
        <v>1.0921000000000001</v>
      </c>
      <c r="C979">
        <v>1.2662</v>
      </c>
      <c r="D979">
        <v>143.29</v>
      </c>
      <c r="G979">
        <v>1.0921000000000001</v>
      </c>
      <c r="H979">
        <f t="shared" si="91"/>
        <v>1.0947</v>
      </c>
      <c r="I979">
        <f t="shared" si="91"/>
        <v>1.0355000000000001</v>
      </c>
      <c r="J979">
        <f t="shared" si="91"/>
        <v>1.1035999999999999</v>
      </c>
      <c r="L979">
        <f t="shared" si="90"/>
        <v>-2.5999999999999357E-3</v>
      </c>
      <c r="W979">
        <f t="shared" si="92"/>
        <v>9.226651641076224E-3</v>
      </c>
      <c r="X979">
        <f t="shared" si="93"/>
        <v>-9.4919359979601034E-2</v>
      </c>
      <c r="Y979">
        <f t="shared" si="93"/>
        <v>0.11207996597192685</v>
      </c>
      <c r="Z979">
        <f t="shared" si="93"/>
        <v>-2.3339698705706494E-3</v>
      </c>
      <c r="AE979">
        <f>W979-mu-theta*AE978</f>
        <v>-7.5392650570234691E-3</v>
      </c>
      <c r="AF979">
        <f t="shared" si="95"/>
        <v>-6.8388458450725623E-2</v>
      </c>
      <c r="AG979">
        <f t="shared" si="95"/>
        <v>0.11094583710155959</v>
      </c>
      <c r="AK979">
        <f t="shared" si="94"/>
        <v>5.6840517600055093E-5</v>
      </c>
    </row>
    <row r="980" spans="1:38" x14ac:dyDescent="0.3">
      <c r="A980" s="1">
        <v>45295</v>
      </c>
      <c r="B980">
        <v>1.0943000000000001</v>
      </c>
      <c r="C980">
        <v>1.2679</v>
      </c>
      <c r="D980">
        <v>144.62</v>
      </c>
      <c r="G980">
        <v>1.0943000000000001</v>
      </c>
      <c r="H980">
        <f t="shared" si="91"/>
        <v>1.0921000000000001</v>
      </c>
      <c r="I980">
        <f t="shared" si="91"/>
        <v>1.0947</v>
      </c>
      <c r="J980">
        <f t="shared" si="91"/>
        <v>1.0355000000000001</v>
      </c>
      <c r="L980">
        <f t="shared" si="90"/>
        <v>2.1999999999999797E-3</v>
      </c>
      <c r="W980">
        <f t="shared" si="92"/>
        <v>9.2818759159746852E-3</v>
      </c>
      <c r="X980">
        <f t="shared" si="93"/>
        <v>9.226651641076224E-3</v>
      </c>
      <c r="Y980">
        <f t="shared" si="93"/>
        <v>-9.4919359979601034E-2</v>
      </c>
      <c r="Z980">
        <f t="shared" si="93"/>
        <v>0.11207996597192685</v>
      </c>
      <c r="AE980">
        <f>W980-mu-theta*AE979</f>
        <v>7.2068272278762438E-3</v>
      </c>
      <c r="AF980">
        <f t="shared" si="95"/>
        <v>-7.5392650570234691E-3</v>
      </c>
      <c r="AG980">
        <f t="shared" si="95"/>
        <v>-6.8388458450725623E-2</v>
      </c>
      <c r="AK980">
        <f t="shared" si="94"/>
        <v>5.1938358692458381E-5</v>
      </c>
    </row>
    <row r="981" spans="1:38" x14ac:dyDescent="0.3">
      <c r="A981" s="1">
        <v>45296</v>
      </c>
      <c r="B981">
        <v>1.0941000000000001</v>
      </c>
      <c r="C981">
        <v>1.2716000000000001</v>
      </c>
      <c r="D981">
        <v>144.65</v>
      </c>
      <c r="G981">
        <v>1.0941000000000001</v>
      </c>
      <c r="H981">
        <f t="shared" si="91"/>
        <v>1.0943000000000001</v>
      </c>
      <c r="I981">
        <f t="shared" si="91"/>
        <v>1.0921000000000001</v>
      </c>
      <c r="J981">
        <f t="shared" si="91"/>
        <v>1.0947</v>
      </c>
      <c r="L981">
        <f t="shared" si="90"/>
        <v>-1.9999999999997797E-4</v>
      </c>
      <c r="W981">
        <f t="shared" si="92"/>
        <v>2.0744018807911173E-4</v>
      </c>
      <c r="X981">
        <f t="shared" si="93"/>
        <v>9.2818759159746852E-3</v>
      </c>
      <c r="Y981">
        <f t="shared" si="93"/>
        <v>9.226651641076224E-3</v>
      </c>
      <c r="Z981">
        <f t="shared" si="93"/>
        <v>-9.4919359979601034E-2</v>
      </c>
      <c r="AE981">
        <f>W981-mu-theta*AE980</f>
        <v>1.6925520105582972E-3</v>
      </c>
      <c r="AF981">
        <f t="shared" si="95"/>
        <v>7.2068272278762438E-3</v>
      </c>
      <c r="AG981">
        <f t="shared" si="95"/>
        <v>-7.5392650570234691E-3</v>
      </c>
      <c r="AK981">
        <f t="shared" si="94"/>
        <v>2.8647323084449343E-6</v>
      </c>
    </row>
    <row r="982" spans="1:38" x14ac:dyDescent="0.3">
      <c r="A982" s="1">
        <v>45299</v>
      </c>
      <c r="B982">
        <v>1.0949</v>
      </c>
      <c r="C982">
        <v>1.2746999999999999</v>
      </c>
      <c r="D982">
        <v>144.22</v>
      </c>
      <c r="G982">
        <v>1.0949</v>
      </c>
      <c r="H982">
        <f t="shared" si="91"/>
        <v>1.0941000000000001</v>
      </c>
      <c r="I982">
        <f t="shared" si="91"/>
        <v>1.0943000000000001</v>
      </c>
      <c r="J982">
        <f t="shared" si="91"/>
        <v>1.0921000000000001</v>
      </c>
      <c r="L982">
        <f t="shared" si="90"/>
        <v>7.9999999999991189E-4</v>
      </c>
      <c r="W982">
        <f t="shared" si="92"/>
        <v>-2.9726927065330576E-3</v>
      </c>
      <c r="X982">
        <f t="shared" si="93"/>
        <v>2.0744018807911173E-4</v>
      </c>
      <c r="Y982">
        <f t="shared" si="93"/>
        <v>9.2818759159746852E-3</v>
      </c>
      <c r="Z982">
        <f t="shared" si="93"/>
        <v>9.226651641076224E-3</v>
      </c>
      <c r="AE982">
        <f>W982-mu-theta*AE981</f>
        <v>-2.8188966315658738E-3</v>
      </c>
      <c r="AF982">
        <f t="shared" si="95"/>
        <v>1.6925520105582972E-3</v>
      </c>
      <c r="AG982">
        <f t="shared" si="95"/>
        <v>7.2068272278762438E-3</v>
      </c>
      <c r="AK982">
        <f t="shared" si="94"/>
        <v>7.9461782194534296E-6</v>
      </c>
    </row>
    <row r="983" spans="1:38" x14ac:dyDescent="0.3">
      <c r="A983" s="1">
        <v>45300</v>
      </c>
      <c r="B983">
        <v>1.0931</v>
      </c>
      <c r="C983">
        <v>1.2705</v>
      </c>
      <c r="D983">
        <v>144.47</v>
      </c>
      <c r="G983">
        <v>1.0931</v>
      </c>
      <c r="H983">
        <f t="shared" si="91"/>
        <v>1.0949</v>
      </c>
      <c r="I983">
        <f t="shared" si="91"/>
        <v>1.0941000000000001</v>
      </c>
      <c r="J983">
        <f t="shared" si="91"/>
        <v>1.0943000000000001</v>
      </c>
      <c r="L983">
        <f t="shared" si="90"/>
        <v>-1.8000000000000238E-3</v>
      </c>
      <c r="W983">
        <f t="shared" si="92"/>
        <v>1.7334627652198032E-3</v>
      </c>
      <c r="X983">
        <f t="shared" si="93"/>
        <v>-2.9726927065330576E-3</v>
      </c>
      <c r="Y983">
        <f t="shared" si="93"/>
        <v>2.0744018807911173E-4</v>
      </c>
      <c r="Z983">
        <f t="shared" si="93"/>
        <v>9.2818759159746852E-3</v>
      </c>
      <c r="AE983">
        <f>W983-mu-theta*AE982</f>
        <v>7.9805629141162075E-4</v>
      </c>
      <c r="AF983">
        <f t="shared" si="95"/>
        <v>-2.8188966315658738E-3</v>
      </c>
      <c r="AG983">
        <f t="shared" si="95"/>
        <v>1.6925520105582972E-3</v>
      </c>
      <c r="AK983">
        <f t="shared" si="94"/>
        <v>6.3689384426166976E-7</v>
      </c>
    </row>
    <row r="984" spans="1:38" x14ac:dyDescent="0.3">
      <c r="A984" s="1">
        <v>45301</v>
      </c>
      <c r="B984">
        <v>1.0971</v>
      </c>
      <c r="C984">
        <v>1.2739</v>
      </c>
      <c r="D984">
        <v>145.72999999999999</v>
      </c>
      <c r="G984">
        <v>1.0971</v>
      </c>
      <c r="H984">
        <f t="shared" si="91"/>
        <v>1.0931</v>
      </c>
      <c r="I984">
        <f t="shared" si="91"/>
        <v>1.0949</v>
      </c>
      <c r="J984">
        <f t="shared" si="91"/>
        <v>1.0941000000000001</v>
      </c>
      <c r="L984">
        <f t="shared" si="90"/>
        <v>4.0000000000000036E-3</v>
      </c>
      <c r="W984">
        <f t="shared" si="92"/>
        <v>8.7215338824668861E-3</v>
      </c>
      <c r="X984">
        <f t="shared" si="93"/>
        <v>1.7334627652198032E-3</v>
      </c>
      <c r="Y984">
        <f t="shared" si="93"/>
        <v>-2.9726927065330576E-3</v>
      </c>
      <c r="Z984">
        <f t="shared" si="93"/>
        <v>2.0744018807911173E-4</v>
      </c>
      <c r="AE984">
        <f>W984-mu-theta*AE983</f>
        <v>8.6593711613910159E-3</v>
      </c>
      <c r="AF984">
        <f t="shared" si="95"/>
        <v>7.9805629141162075E-4</v>
      </c>
      <c r="AG984">
        <f t="shared" si="95"/>
        <v>-2.8188966315658738E-3</v>
      </c>
      <c r="AK984">
        <f t="shared" si="94"/>
        <v>7.4984708910730397E-5</v>
      </c>
    </row>
    <row r="985" spans="1:38" x14ac:dyDescent="0.3">
      <c r="A985" s="1">
        <v>45302</v>
      </c>
      <c r="B985">
        <v>1.097</v>
      </c>
      <c r="C985">
        <v>1.276</v>
      </c>
      <c r="D985">
        <v>145.28</v>
      </c>
      <c r="G985">
        <v>1.097</v>
      </c>
      <c r="H985">
        <f t="shared" si="91"/>
        <v>1.0971</v>
      </c>
      <c r="I985">
        <f t="shared" si="91"/>
        <v>1.0931</v>
      </c>
      <c r="J985">
        <f t="shared" si="91"/>
        <v>1.0949</v>
      </c>
      <c r="L985">
        <f t="shared" si="90"/>
        <v>-9.9999999999988987E-5</v>
      </c>
      <c r="W985">
        <f t="shared" si="92"/>
        <v>-3.0879022850476131E-3</v>
      </c>
      <c r="X985">
        <f t="shared" si="93"/>
        <v>8.7215338824668861E-3</v>
      </c>
      <c r="Y985">
        <f t="shared" si="93"/>
        <v>1.7334627652198032E-3</v>
      </c>
      <c r="Z985">
        <f t="shared" si="93"/>
        <v>-2.9726927065330576E-3</v>
      </c>
      <c r="AE985">
        <f>W985-mu-theta*AE984</f>
        <v>-1.2521016528100697E-3</v>
      </c>
      <c r="AF985">
        <f t="shared" si="95"/>
        <v>8.6593711613910159E-3</v>
      </c>
      <c r="AG985">
        <f t="shared" si="95"/>
        <v>7.9805629141162075E-4</v>
      </c>
      <c r="AK985">
        <f t="shared" si="94"/>
        <v>1.5677585489697083E-6</v>
      </c>
    </row>
    <row r="986" spans="1:38" x14ac:dyDescent="0.3">
      <c r="A986" s="1">
        <v>45303</v>
      </c>
      <c r="B986">
        <v>1.0949</v>
      </c>
      <c r="C986">
        <v>1.2750999999999999</v>
      </c>
      <c r="D986">
        <v>144.9</v>
      </c>
      <c r="G986">
        <v>1.0949</v>
      </c>
      <c r="H986">
        <f t="shared" si="91"/>
        <v>1.097</v>
      </c>
      <c r="I986">
        <f t="shared" si="91"/>
        <v>1.0971</v>
      </c>
      <c r="J986">
        <f t="shared" si="91"/>
        <v>1.0931</v>
      </c>
      <c r="L986">
        <f t="shared" si="90"/>
        <v>-2.0999999999999908E-3</v>
      </c>
      <c r="W986">
        <f t="shared" si="92"/>
        <v>-2.6156387665197925E-3</v>
      </c>
      <c r="X986">
        <f t="shared" si="93"/>
        <v>-3.0879022850476131E-3</v>
      </c>
      <c r="Y986">
        <f t="shared" si="93"/>
        <v>8.7215338824668861E-3</v>
      </c>
      <c r="Z986">
        <f t="shared" si="93"/>
        <v>1.7334627652198032E-3</v>
      </c>
      <c r="AE986">
        <f>W986-mu-theta*AE985</f>
        <v>-3.1727727120019621E-3</v>
      </c>
      <c r="AF986">
        <f t="shared" si="95"/>
        <v>-1.2521016528100697E-3</v>
      </c>
      <c r="AG986">
        <f t="shared" si="95"/>
        <v>8.6593711613910159E-3</v>
      </c>
      <c r="AK986">
        <f t="shared" si="94"/>
        <v>1.0066486682024286E-5</v>
      </c>
    </row>
    <row r="987" spans="1:38" x14ac:dyDescent="0.3">
      <c r="A987" s="1">
        <v>45306</v>
      </c>
      <c r="B987">
        <v>1.0948</v>
      </c>
      <c r="C987">
        <v>1.2725</v>
      </c>
      <c r="D987">
        <v>145.72999999999999</v>
      </c>
      <c r="G987">
        <v>1.0948</v>
      </c>
      <c r="H987">
        <f t="shared" si="91"/>
        <v>1.0949</v>
      </c>
      <c r="I987">
        <f t="shared" si="91"/>
        <v>1.097</v>
      </c>
      <c r="J987">
        <f t="shared" si="91"/>
        <v>1.0971</v>
      </c>
      <c r="L987">
        <f t="shared" si="90"/>
        <v>-9.9999999999988987E-5</v>
      </c>
      <c r="W987">
        <f t="shared" si="92"/>
        <v>5.7280883367838787E-3</v>
      </c>
      <c r="X987">
        <f t="shared" si="93"/>
        <v>-2.6156387665197925E-3</v>
      </c>
      <c r="Y987">
        <f t="shared" si="93"/>
        <v>-3.0879022850476131E-3</v>
      </c>
      <c r="Z987">
        <f t="shared" si="93"/>
        <v>8.7215338824668861E-3</v>
      </c>
      <c r="AE987">
        <f>W987-mu-theta*AE986</f>
        <v>4.7072452860937881E-3</v>
      </c>
      <c r="AF987">
        <f t="shared" si="95"/>
        <v>-3.1727727120019621E-3</v>
      </c>
      <c r="AG987">
        <f t="shared" si="95"/>
        <v>-1.2521016528100697E-3</v>
      </c>
      <c r="AK987">
        <f t="shared" si="94"/>
        <v>2.2158158183452187E-5</v>
      </c>
    </row>
    <row r="988" spans="1:38" x14ac:dyDescent="0.3">
      <c r="A988" s="1">
        <v>45307</v>
      </c>
      <c r="B988">
        <v>1.0873999999999999</v>
      </c>
      <c r="C988">
        <v>1.2636000000000001</v>
      </c>
      <c r="D988">
        <v>147.18</v>
      </c>
      <c r="G988">
        <v>1.0873999999999999</v>
      </c>
      <c r="H988">
        <f t="shared" si="91"/>
        <v>1.0948</v>
      </c>
      <c r="I988">
        <f t="shared" si="91"/>
        <v>1.0949</v>
      </c>
      <c r="J988">
        <f t="shared" si="91"/>
        <v>1.097</v>
      </c>
      <c r="L988">
        <f t="shared" si="90"/>
        <v>-7.4000000000000732E-3</v>
      </c>
      <c r="W988">
        <f t="shared" si="92"/>
        <v>9.9499073629315659E-3</v>
      </c>
      <c r="X988">
        <f t="shared" si="93"/>
        <v>5.7280883367838787E-3</v>
      </c>
      <c r="Y988">
        <f t="shared" si="93"/>
        <v>-2.6156387665197925E-3</v>
      </c>
      <c r="Z988">
        <f t="shared" si="93"/>
        <v>-3.0879022850476131E-3</v>
      </c>
      <c r="AE988">
        <f>W988-mu-theta*AE987</f>
        <v>1.0831543176298867E-2</v>
      </c>
      <c r="AF988">
        <f t="shared" si="95"/>
        <v>4.7072452860937881E-3</v>
      </c>
      <c r="AG988">
        <f t="shared" si="95"/>
        <v>-3.1727727120019621E-3</v>
      </c>
      <c r="AK988">
        <f t="shared" si="94"/>
        <v>1.1732232758002655E-4</v>
      </c>
    </row>
    <row r="989" spans="1:38" x14ac:dyDescent="0.3">
      <c r="A989" s="1">
        <v>45308</v>
      </c>
      <c r="B989">
        <v>1.0881000000000001</v>
      </c>
      <c r="C989">
        <v>1.2672000000000001</v>
      </c>
      <c r="D989">
        <v>148.15</v>
      </c>
      <c r="G989">
        <v>1.0881000000000001</v>
      </c>
      <c r="H989">
        <f t="shared" si="91"/>
        <v>1.0873999999999999</v>
      </c>
      <c r="I989">
        <f t="shared" si="91"/>
        <v>1.0948</v>
      </c>
      <c r="J989">
        <f t="shared" si="91"/>
        <v>1.0949</v>
      </c>
      <c r="L989">
        <f t="shared" si="90"/>
        <v>7.0000000000014495E-4</v>
      </c>
      <c r="W989">
        <f t="shared" si="92"/>
        <v>6.5905693708384208E-3</v>
      </c>
      <c r="X989">
        <f t="shared" si="93"/>
        <v>9.9499073629315659E-3</v>
      </c>
      <c r="Y989">
        <f t="shared" si="93"/>
        <v>5.7280883367838787E-3</v>
      </c>
      <c r="Z989">
        <f t="shared" si="93"/>
        <v>-2.6156387665197925E-3</v>
      </c>
      <c r="AE989">
        <f>W989-mu-theta*AE988</f>
        <v>8.9507991793110683E-3</v>
      </c>
      <c r="AF989">
        <f t="shared" si="95"/>
        <v>1.0831543176298867E-2</v>
      </c>
      <c r="AG989">
        <f t="shared" si="95"/>
        <v>4.7072452860937881E-3</v>
      </c>
      <c r="AK989">
        <f t="shared" si="94"/>
        <v>8.0116805948355691E-5</v>
      </c>
    </row>
    <row r="990" spans="1:38" x14ac:dyDescent="0.3">
      <c r="A990" s="1">
        <v>45309</v>
      </c>
      <c r="B990">
        <v>1.0873999999999999</v>
      </c>
      <c r="C990">
        <v>1.2705</v>
      </c>
      <c r="D990">
        <v>148.15</v>
      </c>
      <c r="G990">
        <v>1.0873999999999999</v>
      </c>
      <c r="H990">
        <f t="shared" si="91"/>
        <v>1.0881000000000001</v>
      </c>
      <c r="I990">
        <f t="shared" si="91"/>
        <v>1.0873999999999999</v>
      </c>
      <c r="J990">
        <f t="shared" si="91"/>
        <v>1.0948</v>
      </c>
      <c r="L990">
        <f t="shared" si="90"/>
        <v>-7.0000000000014495E-4</v>
      </c>
      <c r="W990">
        <f t="shared" si="92"/>
        <v>0</v>
      </c>
      <c r="X990">
        <f t="shared" si="93"/>
        <v>6.5905693708384208E-3</v>
      </c>
      <c r="Y990">
        <f t="shared" si="93"/>
        <v>9.9499073629315659E-3</v>
      </c>
      <c r="Z990">
        <f t="shared" si="93"/>
        <v>5.7280883367838787E-3</v>
      </c>
      <c r="AE990">
        <f>W990-mu-theta*AE989</f>
        <v>1.9061603248957354E-3</v>
      </c>
      <c r="AF990">
        <f t="shared" si="95"/>
        <v>8.9507991793110683E-3</v>
      </c>
      <c r="AG990">
        <f t="shared" si="95"/>
        <v>1.0831543176298867E-2</v>
      </c>
      <c r="AK990">
        <f t="shared" si="94"/>
        <v>3.6334471842066153E-6</v>
      </c>
    </row>
    <row r="991" spans="1:38" x14ac:dyDescent="0.3">
      <c r="A991" s="1">
        <v>45310</v>
      </c>
      <c r="B991">
        <v>1.0896999999999999</v>
      </c>
      <c r="C991">
        <v>1.27</v>
      </c>
      <c r="D991">
        <v>148.13999999999999</v>
      </c>
      <c r="G991">
        <v>1.0896999999999999</v>
      </c>
      <c r="H991">
        <f t="shared" si="91"/>
        <v>1.0873999999999999</v>
      </c>
      <c r="I991">
        <f t="shared" si="91"/>
        <v>1.0881000000000001</v>
      </c>
      <c r="J991">
        <f t="shared" si="91"/>
        <v>1.0873999999999999</v>
      </c>
      <c r="L991">
        <f t="shared" si="90"/>
        <v>2.2999999999999687E-3</v>
      </c>
      <c r="W991">
        <f t="shared" si="92"/>
        <v>-6.7499156260677194E-5</v>
      </c>
      <c r="X991">
        <f t="shared" si="93"/>
        <v>0</v>
      </c>
      <c r="Y991">
        <f t="shared" si="93"/>
        <v>6.5905693708384208E-3</v>
      </c>
      <c r="Z991">
        <f t="shared" si="93"/>
        <v>9.9499073629315659E-3</v>
      </c>
      <c r="AE991">
        <f>W991-mu-theta*AE990</f>
        <v>1.3786853990230968E-4</v>
      </c>
      <c r="AF991">
        <f t="shared" si="95"/>
        <v>1.9061603248957354E-3</v>
      </c>
      <c r="AG991">
        <f t="shared" si="95"/>
        <v>8.9507991793110683E-3</v>
      </c>
      <c r="AK991">
        <f t="shared" si="94"/>
        <v>1.9007734294794758E-8</v>
      </c>
    </row>
    <row r="992" spans="1:38" x14ac:dyDescent="0.3">
      <c r="A992" s="1">
        <v>45313</v>
      </c>
      <c r="B992">
        <v>1.0881000000000001</v>
      </c>
      <c r="C992">
        <v>1.2706</v>
      </c>
      <c r="D992">
        <v>148.09</v>
      </c>
      <c r="G992">
        <v>1.0881000000000001</v>
      </c>
      <c r="H992">
        <f t="shared" si="91"/>
        <v>1.0896999999999999</v>
      </c>
      <c r="I992">
        <f t="shared" si="91"/>
        <v>1.0873999999999999</v>
      </c>
      <c r="J992">
        <f t="shared" si="91"/>
        <v>1.0881000000000001</v>
      </c>
      <c r="L992">
        <f t="shared" si="90"/>
        <v>-1.5999999999998238E-3</v>
      </c>
      <c r="W992">
        <f t="shared" si="92"/>
        <v>-3.3751856352087859E-4</v>
      </c>
      <c r="X992">
        <f t="shared" si="93"/>
        <v>-6.7499156260677194E-5</v>
      </c>
      <c r="Y992">
        <f t="shared" si="93"/>
        <v>0</v>
      </c>
      <c r="Z992">
        <f t="shared" si="93"/>
        <v>6.5905693708384208E-3</v>
      </c>
      <c r="AE992">
        <f>W992-mu-theta*AE991</f>
        <v>-5.5907092607467024E-4</v>
      </c>
      <c r="AF992">
        <f t="shared" si="95"/>
        <v>1.3786853990230968E-4</v>
      </c>
      <c r="AG992">
        <f t="shared" si="95"/>
        <v>1.9061603248957354E-3</v>
      </c>
      <c r="AK992">
        <f t="shared" si="94"/>
        <v>3.1256030038198938E-7</v>
      </c>
    </row>
    <row r="993" spans="1:37" x14ac:dyDescent="0.3">
      <c r="A993" s="1">
        <v>45314</v>
      </c>
      <c r="B993">
        <v>1.0851</v>
      </c>
      <c r="C993">
        <v>1.2686999999999999</v>
      </c>
      <c r="D993">
        <v>148.36000000000001</v>
      </c>
      <c r="G993">
        <v>1.0851</v>
      </c>
      <c r="H993">
        <f t="shared" si="91"/>
        <v>1.0881000000000001</v>
      </c>
      <c r="I993">
        <f t="shared" si="91"/>
        <v>1.0896999999999999</v>
      </c>
      <c r="J993">
        <f t="shared" si="91"/>
        <v>1.0873999999999999</v>
      </c>
      <c r="L993">
        <f t="shared" si="90"/>
        <v>-3.0000000000001137E-3</v>
      </c>
      <c r="W993">
        <f t="shared" si="92"/>
        <v>1.8232156121278291E-3</v>
      </c>
      <c r="X993">
        <f t="shared" si="93"/>
        <v>-3.3751856352087859E-4</v>
      </c>
      <c r="Y993">
        <f t="shared" si="93"/>
        <v>-6.7499156260677194E-5</v>
      </c>
      <c r="Z993">
        <f t="shared" si="93"/>
        <v>0</v>
      </c>
      <c r="AE993">
        <f>W993-mu-theta*AE992</f>
        <v>1.4334006131347472E-3</v>
      </c>
      <c r="AF993">
        <f t="shared" si="95"/>
        <v>-5.5907092607467024E-4</v>
      </c>
      <c r="AG993">
        <f t="shared" si="95"/>
        <v>1.3786853990230968E-4</v>
      </c>
      <c r="AK993">
        <f t="shared" si="94"/>
        <v>2.0546373177350691E-6</v>
      </c>
    </row>
    <row r="994" spans="1:37" x14ac:dyDescent="0.3">
      <c r="A994" s="1">
        <v>45315</v>
      </c>
      <c r="B994">
        <v>1.0883</v>
      </c>
      <c r="C994">
        <v>1.2723</v>
      </c>
      <c r="D994">
        <v>147.5</v>
      </c>
      <c r="G994">
        <v>1.0883</v>
      </c>
      <c r="H994">
        <f t="shared" si="91"/>
        <v>1.0851</v>
      </c>
      <c r="I994">
        <f t="shared" si="91"/>
        <v>1.0881000000000001</v>
      </c>
      <c r="J994">
        <f t="shared" si="91"/>
        <v>1.0896999999999999</v>
      </c>
      <c r="L994">
        <f t="shared" si="90"/>
        <v>3.2000000000000917E-3</v>
      </c>
      <c r="W994">
        <f t="shared" si="92"/>
        <v>-5.796710703693809E-3</v>
      </c>
      <c r="X994">
        <f t="shared" si="93"/>
        <v>1.8232156121278291E-3</v>
      </c>
      <c r="Y994">
        <f t="shared" si="93"/>
        <v>-3.3751856352087859E-4</v>
      </c>
      <c r="Z994">
        <f t="shared" si="93"/>
        <v>-6.7499156260677194E-5</v>
      </c>
      <c r="AE994">
        <f>W994-mu-theta*AE993</f>
        <v>-5.7054817518357838E-3</v>
      </c>
      <c r="AF994">
        <f t="shared" si="95"/>
        <v>1.4334006131347472E-3</v>
      </c>
      <c r="AG994">
        <f t="shared" si="95"/>
        <v>-5.5907092607467024E-4</v>
      </c>
      <c r="AK994">
        <f t="shared" si="94"/>
        <v>3.2552522020531127E-5</v>
      </c>
    </row>
    <row r="995" spans="1:37" x14ac:dyDescent="0.3">
      <c r="A995" s="1">
        <v>45316</v>
      </c>
      <c r="B995">
        <v>1.0846</v>
      </c>
      <c r="C995">
        <v>1.2707999999999999</v>
      </c>
      <c r="D995">
        <v>147.65</v>
      </c>
      <c r="G995">
        <v>1.0846</v>
      </c>
      <c r="H995">
        <f t="shared" si="91"/>
        <v>1.0883</v>
      </c>
      <c r="I995">
        <f t="shared" si="91"/>
        <v>1.0851</v>
      </c>
      <c r="J995">
        <f t="shared" si="91"/>
        <v>1.0881000000000001</v>
      </c>
      <c r="L995">
        <f t="shared" si="90"/>
        <v>-3.7000000000000366E-3</v>
      </c>
      <c r="W995">
        <f t="shared" si="92"/>
        <v>1.0169491525424115E-3</v>
      </c>
      <c r="X995">
        <f t="shared" si="93"/>
        <v>-5.796710703693809E-3</v>
      </c>
      <c r="Y995">
        <f t="shared" si="93"/>
        <v>1.8232156121278291E-3</v>
      </c>
      <c r="Z995">
        <f t="shared" si="93"/>
        <v>-3.3751856352087859E-4</v>
      </c>
      <c r="AE995">
        <f>W995-mu-theta*AE994</f>
        <v>-6.1536780826505918E-4</v>
      </c>
      <c r="AF995">
        <f t="shared" si="95"/>
        <v>-5.7054817518357838E-3</v>
      </c>
      <c r="AG995">
        <f t="shared" si="95"/>
        <v>1.4334006131347472E-3</v>
      </c>
      <c r="AK995">
        <f t="shared" si="94"/>
        <v>3.7867753944894262E-7</v>
      </c>
    </row>
    <row r="996" spans="1:37" x14ac:dyDescent="0.3">
      <c r="A996" s="1">
        <v>45317</v>
      </c>
      <c r="B996">
        <v>1.0851999999999999</v>
      </c>
      <c r="C996">
        <v>1.2702</v>
      </c>
      <c r="D996">
        <v>148.16</v>
      </c>
      <c r="G996">
        <v>1.0851999999999999</v>
      </c>
      <c r="H996">
        <f t="shared" si="91"/>
        <v>1.0846</v>
      </c>
      <c r="I996">
        <f t="shared" si="91"/>
        <v>1.0883</v>
      </c>
      <c r="J996">
        <f t="shared" si="91"/>
        <v>1.0851</v>
      </c>
      <c r="L996">
        <f t="shared" si="90"/>
        <v>5.9999999999993392E-4</v>
      </c>
      <c r="W996">
        <f t="shared" si="92"/>
        <v>3.4541144598712555E-3</v>
      </c>
      <c r="X996">
        <f t="shared" si="93"/>
        <v>1.0169491525424115E-3</v>
      </c>
      <c r="Y996">
        <f t="shared" si="93"/>
        <v>-5.796710703693809E-3</v>
      </c>
      <c r="Z996">
        <f t="shared" si="93"/>
        <v>1.8232156121278291E-3</v>
      </c>
      <c r="AE996">
        <f>W996-mu-theta*AE995</f>
        <v>3.0507076608968253E-3</v>
      </c>
      <c r="AF996">
        <f t="shared" si="95"/>
        <v>-6.1536780826505918E-4</v>
      </c>
      <c r="AG996">
        <f t="shared" si="95"/>
        <v>-5.7054817518357838E-3</v>
      </c>
      <c r="AK996">
        <f t="shared" si="94"/>
        <v>9.3068172322545794E-6</v>
      </c>
    </row>
    <row r="997" spans="1:37" x14ac:dyDescent="0.3">
      <c r="A997" s="1">
        <v>45320</v>
      </c>
      <c r="B997">
        <v>1.0832999999999999</v>
      </c>
      <c r="C997">
        <v>1.2706999999999999</v>
      </c>
      <c r="D997">
        <v>147.49</v>
      </c>
      <c r="G997">
        <v>1.0832999999999999</v>
      </c>
      <c r="H997">
        <f t="shared" si="91"/>
        <v>1.0851999999999999</v>
      </c>
      <c r="I997">
        <f t="shared" si="91"/>
        <v>1.0846</v>
      </c>
      <c r="J997">
        <f t="shared" si="91"/>
        <v>1.0883</v>
      </c>
      <c r="L997">
        <f t="shared" si="90"/>
        <v>-1.9000000000000128E-3</v>
      </c>
      <c r="W997">
        <f t="shared" si="92"/>
        <v>-4.5221382289416003E-3</v>
      </c>
      <c r="X997">
        <f t="shared" si="93"/>
        <v>3.4541144598712555E-3</v>
      </c>
      <c r="Y997">
        <f t="shared" si="93"/>
        <v>1.0169491525424115E-3</v>
      </c>
      <c r="Z997">
        <f t="shared" si="93"/>
        <v>-5.796710703693809E-3</v>
      </c>
      <c r="AE997">
        <f>W997-mu-theta*AE996</f>
        <v>-4.0404415807151197E-3</v>
      </c>
      <c r="AF997">
        <f t="shared" si="95"/>
        <v>3.0507076608968253E-3</v>
      </c>
      <c r="AG997">
        <f t="shared" si="95"/>
        <v>-6.1536780826505918E-4</v>
      </c>
      <c r="AK997">
        <f t="shared" si="94"/>
        <v>1.6325168167171696E-5</v>
      </c>
    </row>
    <row r="998" spans="1:37" x14ac:dyDescent="0.3">
      <c r="A998" s="1">
        <v>45321</v>
      </c>
      <c r="B998">
        <v>1.0840000000000001</v>
      </c>
      <c r="C998">
        <v>1.2697000000000001</v>
      </c>
      <c r="D998">
        <v>147.6</v>
      </c>
      <c r="G998">
        <v>1.0840000000000001</v>
      </c>
      <c r="H998">
        <f t="shared" si="91"/>
        <v>1.0832999999999999</v>
      </c>
      <c r="I998">
        <f t="shared" si="91"/>
        <v>1.0851999999999999</v>
      </c>
      <c r="J998">
        <f t="shared" si="91"/>
        <v>1.0846</v>
      </c>
      <c r="L998">
        <f t="shared" si="90"/>
        <v>7.0000000000014495E-4</v>
      </c>
      <c r="W998">
        <f t="shared" si="92"/>
        <v>7.4581327547620327E-4</v>
      </c>
      <c r="X998">
        <f t="shared" si="93"/>
        <v>-4.5221382289416003E-3</v>
      </c>
      <c r="Y998">
        <f t="shared" si="93"/>
        <v>3.4541144598712555E-3</v>
      </c>
      <c r="Z998">
        <f t="shared" si="93"/>
        <v>1.0169491525424115E-3</v>
      </c>
      <c r="AE998">
        <f>W998-mu-theta*AE997</f>
        <v>-4.8451174392592311E-4</v>
      </c>
      <c r="AF998">
        <f t="shared" si="95"/>
        <v>-4.0404415807151197E-3</v>
      </c>
      <c r="AG998">
        <f t="shared" si="95"/>
        <v>3.0507076608968253E-3</v>
      </c>
      <c r="AK998">
        <f t="shared" si="94"/>
        <v>2.3475163000213928E-7</v>
      </c>
    </row>
    <row r="999" spans="1:37" x14ac:dyDescent="0.3">
      <c r="A999" s="1">
        <v>45322</v>
      </c>
      <c r="B999">
        <v>1.0815999999999999</v>
      </c>
      <c r="C999">
        <v>1.2685</v>
      </c>
      <c r="D999">
        <v>146.88</v>
      </c>
      <c r="G999">
        <v>1.0815999999999999</v>
      </c>
      <c r="H999">
        <f t="shared" si="91"/>
        <v>1.0840000000000001</v>
      </c>
      <c r="I999">
        <f t="shared" si="91"/>
        <v>1.0832999999999999</v>
      </c>
      <c r="J999">
        <f t="shared" si="91"/>
        <v>1.0851999999999999</v>
      </c>
      <c r="L999">
        <f t="shared" si="90"/>
        <v>-2.4000000000001798E-3</v>
      </c>
      <c r="W999">
        <f t="shared" si="92"/>
        <v>-4.8780487804877971E-3</v>
      </c>
      <c r="X999">
        <f t="shared" si="93"/>
        <v>7.4581327547620327E-4</v>
      </c>
      <c r="Y999">
        <f t="shared" si="93"/>
        <v>-4.5221382289416003E-3</v>
      </c>
      <c r="Z999">
        <f t="shared" si="93"/>
        <v>3.4541144598712555E-3</v>
      </c>
      <c r="AE999">
        <f>W999-mu-theta*AE998</f>
        <v>-5.2498628982400397E-3</v>
      </c>
      <c r="AF999">
        <f t="shared" si="95"/>
        <v>-4.8451174392592311E-4</v>
      </c>
      <c r="AG999">
        <f t="shared" si="95"/>
        <v>-4.0404415807151197E-3</v>
      </c>
      <c r="AK999">
        <f t="shared" si="94"/>
        <v>2.7561060450317311E-5</v>
      </c>
    </row>
    <row r="1000" spans="1:37" x14ac:dyDescent="0.3">
      <c r="A1000" s="1">
        <v>45323</v>
      </c>
      <c r="B1000">
        <v>1.0871999999999999</v>
      </c>
      <c r="C1000">
        <v>1.2742</v>
      </c>
      <c r="D1000">
        <v>146.41999999999999</v>
      </c>
      <c r="G1000">
        <v>1.0871999999999999</v>
      </c>
      <c r="H1000">
        <f t="shared" si="91"/>
        <v>1.0815999999999999</v>
      </c>
      <c r="I1000">
        <f t="shared" si="91"/>
        <v>1.0840000000000001</v>
      </c>
      <c r="J1000">
        <f t="shared" si="91"/>
        <v>1.0832999999999999</v>
      </c>
      <c r="L1000">
        <f t="shared" si="90"/>
        <v>5.6000000000000494E-3</v>
      </c>
      <c r="W1000">
        <f t="shared" si="92"/>
        <v>-3.1318082788671566E-3</v>
      </c>
      <c r="X1000">
        <f t="shared" si="93"/>
        <v>-4.8780487804877971E-3</v>
      </c>
      <c r="Y1000">
        <f t="shared" si="93"/>
        <v>7.4581327547620327E-4</v>
      </c>
      <c r="Z1000">
        <f t="shared" si="93"/>
        <v>-4.5221382289416003E-3</v>
      </c>
      <c r="AE1000">
        <f>W1000-mu-theta*AE999</f>
        <v>-4.6541248260662535E-3</v>
      </c>
      <c r="AF1000">
        <f t="shared" si="95"/>
        <v>-5.2498628982400397E-3</v>
      </c>
      <c r="AG1000">
        <f t="shared" si="95"/>
        <v>-4.8451174392592311E-4</v>
      </c>
      <c r="AK1000">
        <f t="shared" si="94"/>
        <v>2.1660877896606233E-5</v>
      </c>
    </row>
    <row r="1001" spans="1:37" x14ac:dyDescent="0.3">
      <c r="A1001" s="1">
        <v>45324</v>
      </c>
      <c r="B1001">
        <v>1.0784</v>
      </c>
      <c r="C1001">
        <v>1.2629999999999999</v>
      </c>
      <c r="D1001">
        <v>148.37</v>
      </c>
      <c r="G1001">
        <v>1.0784</v>
      </c>
      <c r="H1001">
        <f t="shared" si="91"/>
        <v>1.0871999999999999</v>
      </c>
      <c r="I1001">
        <f t="shared" si="91"/>
        <v>1.0815999999999999</v>
      </c>
      <c r="J1001">
        <f t="shared" si="91"/>
        <v>1.0840000000000001</v>
      </c>
      <c r="L1001">
        <f t="shared" si="90"/>
        <v>-8.799999999999919E-3</v>
      </c>
      <c r="W1001">
        <f t="shared" si="92"/>
        <v>1.3317852752356352E-2</v>
      </c>
      <c r="X1001">
        <f t="shared" si="93"/>
        <v>-3.1318082788671566E-3</v>
      </c>
      <c r="Y1001">
        <f t="shared" si="93"/>
        <v>-4.8780487804877971E-3</v>
      </c>
      <c r="Z1001">
        <f t="shared" si="93"/>
        <v>7.4581327547620327E-4</v>
      </c>
      <c r="AE1001">
        <f>W1001-mu-theta*AE1000</f>
        <v>1.1939365710508489E-2</v>
      </c>
      <c r="AF1001">
        <f t="shared" si="95"/>
        <v>-4.6541248260662535E-3</v>
      </c>
      <c r="AG1001">
        <f t="shared" si="95"/>
        <v>-5.2498628982400397E-3</v>
      </c>
      <c r="AK1001">
        <f t="shared" si="94"/>
        <v>1.4254845356926588E-4</v>
      </c>
    </row>
    <row r="1002" spans="1:37" x14ac:dyDescent="0.3">
      <c r="A1002" s="1">
        <v>45327</v>
      </c>
      <c r="B1002">
        <v>1.0741000000000001</v>
      </c>
      <c r="C1002">
        <v>1.2532000000000001</v>
      </c>
      <c r="D1002">
        <v>148.66999999999999</v>
      </c>
      <c r="G1002">
        <v>1.0741000000000001</v>
      </c>
      <c r="H1002">
        <f t="shared" si="91"/>
        <v>1.0784</v>
      </c>
      <c r="I1002">
        <f t="shared" si="91"/>
        <v>1.0871999999999999</v>
      </c>
      <c r="J1002">
        <f t="shared" si="91"/>
        <v>1.0815999999999999</v>
      </c>
      <c r="L1002">
        <f t="shared" si="90"/>
        <v>-4.2999999999999705E-3</v>
      </c>
      <c r="W1002">
        <f t="shared" si="92"/>
        <v>2.0219720967849493E-3</v>
      </c>
      <c r="X1002">
        <f t="shared" si="93"/>
        <v>1.3317852752356352E-2</v>
      </c>
      <c r="Y1002">
        <f t="shared" si="93"/>
        <v>-3.1318082788671566E-3</v>
      </c>
      <c r="Z1002">
        <f t="shared" si="93"/>
        <v>-4.8780487804877971E-3</v>
      </c>
      <c r="AE1002">
        <f>W1002-mu-theta*AE1001</f>
        <v>4.6496643599080317E-3</v>
      </c>
      <c r="AF1002">
        <f t="shared" si="95"/>
        <v>1.1939365710508489E-2</v>
      </c>
      <c r="AG1002">
        <f t="shared" si="95"/>
        <v>-4.6541248260662535E-3</v>
      </c>
      <c r="AK1002">
        <f t="shared" si="94"/>
        <v>2.1619378659798965E-5</v>
      </c>
    </row>
    <row r="1003" spans="1:37" x14ac:dyDescent="0.3">
      <c r="A1003" s="1">
        <v>45328</v>
      </c>
      <c r="B1003">
        <v>1.0753999999999999</v>
      </c>
      <c r="C1003">
        <v>1.2597</v>
      </c>
      <c r="D1003">
        <v>147.94</v>
      </c>
      <c r="G1003">
        <v>1.0753999999999999</v>
      </c>
      <c r="H1003">
        <f t="shared" si="91"/>
        <v>1.0741000000000001</v>
      </c>
      <c r="I1003">
        <f t="shared" si="91"/>
        <v>1.0784</v>
      </c>
      <c r="J1003">
        <f t="shared" si="91"/>
        <v>1.0871999999999999</v>
      </c>
      <c r="L1003">
        <f t="shared" si="90"/>
        <v>1.2999999999998568E-3</v>
      </c>
      <c r="W1003">
        <f t="shared" si="92"/>
        <v>-4.9102038070894588E-3</v>
      </c>
      <c r="X1003">
        <f t="shared" si="93"/>
        <v>2.0219720967849493E-3</v>
      </c>
      <c r="Y1003">
        <f t="shared" si="93"/>
        <v>1.3317852752356352E-2</v>
      </c>
      <c r="Z1003">
        <f t="shared" si="93"/>
        <v>-3.1318082788671566E-3</v>
      </c>
      <c r="AE1003">
        <f>W1003-mu-theta*AE1002</f>
        <v>-4.0424698014423603E-3</v>
      </c>
      <c r="AF1003">
        <f t="shared" si="95"/>
        <v>4.6496643599080317E-3</v>
      </c>
      <c r="AG1003">
        <f t="shared" si="95"/>
        <v>1.1939365710508489E-2</v>
      </c>
      <c r="AK1003">
        <f t="shared" si="94"/>
        <v>1.6341562095573437E-5</v>
      </c>
    </row>
    <row r="1004" spans="1:37" x14ac:dyDescent="0.3">
      <c r="A1004" s="1">
        <v>45329</v>
      </c>
      <c r="B1004">
        <v>1.0770999999999999</v>
      </c>
      <c r="C1004">
        <v>1.2625</v>
      </c>
      <c r="D1004">
        <v>148.18</v>
      </c>
      <c r="G1004">
        <v>1.0770999999999999</v>
      </c>
      <c r="H1004">
        <f t="shared" si="91"/>
        <v>1.0753999999999999</v>
      </c>
      <c r="I1004">
        <f t="shared" si="91"/>
        <v>1.0741000000000001</v>
      </c>
      <c r="J1004">
        <f t="shared" si="91"/>
        <v>1.0784</v>
      </c>
      <c r="L1004">
        <f t="shared" si="90"/>
        <v>1.7000000000000348E-3</v>
      </c>
      <c r="W1004">
        <f t="shared" si="92"/>
        <v>1.6222793024199614E-3</v>
      </c>
      <c r="X1004">
        <f t="shared" si="93"/>
        <v>-4.9102038070894588E-3</v>
      </c>
      <c r="Y1004">
        <f t="shared" si="93"/>
        <v>2.0219720967849493E-3</v>
      </c>
      <c r="Z1004">
        <f t="shared" si="93"/>
        <v>1.3317852752356352E-2</v>
      </c>
      <c r="AE1004">
        <f>W1004-mu-theta*AE1003</f>
        <v>3.914646081127585E-4</v>
      </c>
      <c r="AF1004">
        <f t="shared" si="95"/>
        <v>-4.0424698014423603E-3</v>
      </c>
      <c r="AG1004">
        <f t="shared" si="95"/>
        <v>4.6496643599080317E-3</v>
      </c>
      <c r="AK1004">
        <f t="shared" si="94"/>
        <v>1.532445394048756E-7</v>
      </c>
    </row>
    <row r="1005" spans="1:37" x14ac:dyDescent="0.3">
      <c r="A1005" s="1">
        <v>45330</v>
      </c>
      <c r="B1005">
        <v>1.0775999999999999</v>
      </c>
      <c r="C1005">
        <v>1.2616000000000001</v>
      </c>
      <c r="D1005">
        <v>149.31</v>
      </c>
      <c r="G1005">
        <v>1.0775999999999999</v>
      </c>
      <c r="H1005">
        <f t="shared" si="91"/>
        <v>1.0770999999999999</v>
      </c>
      <c r="I1005">
        <f t="shared" si="91"/>
        <v>1.0753999999999999</v>
      </c>
      <c r="J1005">
        <f t="shared" si="91"/>
        <v>1.0741000000000001</v>
      </c>
      <c r="L1005">
        <f t="shared" si="90"/>
        <v>4.9999999999994493E-4</v>
      </c>
      <c r="W1005">
        <f t="shared" si="92"/>
        <v>7.625860440005368E-3</v>
      </c>
      <c r="X1005">
        <f t="shared" si="93"/>
        <v>1.6222793024199614E-3</v>
      </c>
      <c r="Y1005">
        <f t="shared" si="93"/>
        <v>-4.9102038070894588E-3</v>
      </c>
      <c r="Z1005">
        <f t="shared" si="93"/>
        <v>2.0219720967849493E-3</v>
      </c>
      <c r="AE1005">
        <f>W1005-mu-theta*AE1004</f>
        <v>7.465533973115143E-3</v>
      </c>
      <c r="AF1005">
        <f t="shared" si="95"/>
        <v>3.914646081127585E-4</v>
      </c>
      <c r="AG1005">
        <f t="shared" si="95"/>
        <v>-4.0424698014423603E-3</v>
      </c>
      <c r="AK1005">
        <f t="shared" si="94"/>
        <v>5.5734197503736373E-5</v>
      </c>
    </row>
    <row r="1006" spans="1:37" x14ac:dyDescent="0.3">
      <c r="A1006" s="1">
        <v>45331</v>
      </c>
      <c r="B1006">
        <v>1.0782</v>
      </c>
      <c r="C1006">
        <v>1.2619</v>
      </c>
      <c r="D1006">
        <v>149.30000000000001</v>
      </c>
      <c r="G1006">
        <v>1.0782</v>
      </c>
      <c r="H1006">
        <f t="shared" si="91"/>
        <v>1.0775999999999999</v>
      </c>
      <c r="I1006">
        <f t="shared" si="91"/>
        <v>1.0770999999999999</v>
      </c>
      <c r="J1006">
        <f t="shared" si="91"/>
        <v>1.0753999999999999</v>
      </c>
      <c r="L1006">
        <f t="shared" si="90"/>
        <v>6.0000000000015596E-4</v>
      </c>
      <c r="W1006">
        <f t="shared" si="92"/>
        <v>-6.6974750518993402E-5</v>
      </c>
      <c r="X1006">
        <f t="shared" si="93"/>
        <v>7.625860440005368E-3</v>
      </c>
      <c r="Y1006">
        <f t="shared" si="93"/>
        <v>1.6222793024199614E-3</v>
      </c>
      <c r="Z1006">
        <f t="shared" si="93"/>
        <v>-4.9102038070894588E-3</v>
      </c>
      <c r="AE1006">
        <f>W1006-mu-theta*AE1005</f>
        <v>1.4805968423471409E-3</v>
      </c>
      <c r="AF1006">
        <f t="shared" si="95"/>
        <v>7.465533973115143E-3</v>
      </c>
      <c r="AG1006">
        <f t="shared" si="95"/>
        <v>3.914646081127585E-4</v>
      </c>
      <c r="AK1006">
        <f t="shared" si="94"/>
        <v>2.1921670095683244E-6</v>
      </c>
    </row>
    <row r="1007" spans="1:37" x14ac:dyDescent="0.3">
      <c r="A1007" s="1">
        <v>45334</v>
      </c>
      <c r="B1007">
        <v>1.0770999999999999</v>
      </c>
      <c r="C1007">
        <v>1.2625999999999999</v>
      </c>
      <c r="D1007">
        <v>149.34</v>
      </c>
      <c r="G1007">
        <v>1.0770999999999999</v>
      </c>
      <c r="H1007">
        <f t="shared" si="91"/>
        <v>1.0782</v>
      </c>
      <c r="I1007">
        <f t="shared" si="91"/>
        <v>1.0775999999999999</v>
      </c>
      <c r="J1007">
        <f t="shared" si="91"/>
        <v>1.0770999999999999</v>
      </c>
      <c r="L1007">
        <f t="shared" si="90"/>
        <v>-1.1000000000001009E-3</v>
      </c>
      <c r="W1007">
        <f t="shared" si="92"/>
        <v>2.6791694574676518E-4</v>
      </c>
      <c r="X1007">
        <f t="shared" si="93"/>
        <v>-6.6974750518993402E-5</v>
      </c>
      <c r="Y1007">
        <f t="shared" si="93"/>
        <v>7.625860440005368E-3</v>
      </c>
      <c r="Z1007">
        <f t="shared" si="93"/>
        <v>1.6222793024199614E-3</v>
      </c>
      <c r="AE1007">
        <f>W1007-mu-theta*AE1006</f>
        <v>3.7054051987107044E-4</v>
      </c>
      <c r="AF1007">
        <f t="shared" si="95"/>
        <v>1.4805968423471409E-3</v>
      </c>
      <c r="AG1007">
        <f t="shared" si="95"/>
        <v>7.465533973115143E-3</v>
      </c>
      <c r="AK1007">
        <f t="shared" si="94"/>
        <v>1.3730027686632316E-7</v>
      </c>
    </row>
    <row r="1008" spans="1:37" x14ac:dyDescent="0.3">
      <c r="A1008" s="1">
        <v>45335</v>
      </c>
      <c r="B1008">
        <v>1.0709</v>
      </c>
      <c r="C1008">
        <v>1.2588999999999999</v>
      </c>
      <c r="D1008">
        <v>150.79</v>
      </c>
      <c r="G1008">
        <v>1.0709</v>
      </c>
      <c r="H1008">
        <f t="shared" si="91"/>
        <v>1.0770999999999999</v>
      </c>
      <c r="I1008">
        <f t="shared" si="91"/>
        <v>1.0782</v>
      </c>
      <c r="J1008">
        <f t="shared" si="91"/>
        <v>1.0775999999999999</v>
      </c>
      <c r="L1008">
        <f t="shared" si="90"/>
        <v>-6.1999999999999833E-3</v>
      </c>
      <c r="W1008">
        <f t="shared" si="92"/>
        <v>9.7093879737510953E-3</v>
      </c>
      <c r="X1008">
        <f t="shared" si="93"/>
        <v>2.6791694574676518E-4</v>
      </c>
      <c r="Y1008">
        <f t="shared" si="93"/>
        <v>-6.6974750518993402E-5</v>
      </c>
      <c r="Z1008">
        <f t="shared" si="93"/>
        <v>7.625860440005368E-3</v>
      </c>
      <c r="AE1008">
        <f>W1008-mu-theta*AE1007</f>
        <v>9.5440097879892771E-3</v>
      </c>
      <c r="AF1008">
        <f t="shared" si="95"/>
        <v>3.7054051987107044E-4</v>
      </c>
      <c r="AG1008">
        <f t="shared" si="95"/>
        <v>1.4805968423471409E-3</v>
      </c>
      <c r="AK1008">
        <f t="shared" si="94"/>
        <v>9.1088122833235126E-5</v>
      </c>
    </row>
    <row r="1009" spans="1:37" x14ac:dyDescent="0.3">
      <c r="A1009" s="1">
        <v>45336</v>
      </c>
      <c r="B1009">
        <v>1.0725</v>
      </c>
      <c r="C1009">
        <v>1.2565</v>
      </c>
      <c r="D1009">
        <v>150.55000000000001</v>
      </c>
      <c r="G1009">
        <v>1.0725</v>
      </c>
      <c r="H1009">
        <f t="shared" si="91"/>
        <v>1.0709</v>
      </c>
      <c r="I1009">
        <f t="shared" si="91"/>
        <v>1.0770999999999999</v>
      </c>
      <c r="J1009">
        <f t="shared" si="91"/>
        <v>1.0782</v>
      </c>
      <c r="L1009">
        <f t="shared" si="90"/>
        <v>1.6000000000000458E-3</v>
      </c>
      <c r="W1009">
        <f t="shared" si="92"/>
        <v>-1.5916174812652078E-3</v>
      </c>
      <c r="X1009">
        <f t="shared" si="93"/>
        <v>9.7093879737510953E-3</v>
      </c>
      <c r="Y1009">
        <f t="shared" si="93"/>
        <v>2.6791694574676518E-4</v>
      </c>
      <c r="Z1009">
        <f t="shared" si="93"/>
        <v>-6.6974750518993402E-5</v>
      </c>
      <c r="AE1009">
        <f>W1009-mu-theta*AE1008</f>
        <v>4.5776214150746591E-4</v>
      </c>
      <c r="AF1009">
        <f t="shared" si="95"/>
        <v>9.5440097879892771E-3</v>
      </c>
      <c r="AG1009">
        <f t="shared" si="95"/>
        <v>3.7054051987107044E-4</v>
      </c>
      <c r="AK1009">
        <f t="shared" si="94"/>
        <v>2.0954617819750124E-7</v>
      </c>
    </row>
    <row r="1010" spans="1:37" x14ac:dyDescent="0.3">
      <c r="A1010" s="1">
        <v>45337</v>
      </c>
      <c r="B1010">
        <v>1.0770999999999999</v>
      </c>
      <c r="C1010">
        <v>1.26</v>
      </c>
      <c r="D1010">
        <v>149.91</v>
      </c>
      <c r="G1010">
        <v>1.0770999999999999</v>
      </c>
      <c r="H1010">
        <f t="shared" si="91"/>
        <v>1.0725</v>
      </c>
      <c r="I1010">
        <f t="shared" si="91"/>
        <v>1.0709</v>
      </c>
      <c r="J1010">
        <f t="shared" si="91"/>
        <v>1.0770999999999999</v>
      </c>
      <c r="L1010">
        <f t="shared" si="90"/>
        <v>4.5999999999999375E-3</v>
      </c>
      <c r="W1010">
        <f t="shared" si="92"/>
        <v>-4.2510793756228146E-3</v>
      </c>
      <c r="X1010">
        <f t="shared" si="93"/>
        <v>-1.5916174812652078E-3</v>
      </c>
      <c r="Y1010">
        <f t="shared" si="93"/>
        <v>9.7093879737510953E-3</v>
      </c>
      <c r="Z1010">
        <f t="shared" si="93"/>
        <v>2.6791694574676518E-4</v>
      </c>
      <c r="AE1010">
        <f>W1010-mu-theta*AE1009</f>
        <v>-4.3953995775459992E-3</v>
      </c>
      <c r="AF1010">
        <f t="shared" si="95"/>
        <v>4.5776214150746591E-4</v>
      </c>
      <c r="AG1010">
        <f t="shared" si="95"/>
        <v>9.5440097879892771E-3</v>
      </c>
      <c r="AK1010">
        <f t="shared" si="94"/>
        <v>1.9319537446291548E-5</v>
      </c>
    </row>
    <row r="1011" spans="1:37" x14ac:dyDescent="0.3">
      <c r="A1011" s="1">
        <v>45338</v>
      </c>
      <c r="B1011">
        <v>1.0773999999999999</v>
      </c>
      <c r="C1011">
        <v>1.2598</v>
      </c>
      <c r="D1011">
        <v>150.21</v>
      </c>
      <c r="G1011">
        <v>1.0773999999999999</v>
      </c>
      <c r="H1011">
        <f t="shared" si="91"/>
        <v>1.0770999999999999</v>
      </c>
      <c r="I1011">
        <f t="shared" si="91"/>
        <v>1.0725</v>
      </c>
      <c r="J1011">
        <f t="shared" si="91"/>
        <v>1.0709</v>
      </c>
      <c r="L1011">
        <f t="shared" si="90"/>
        <v>2.9999999999996696E-4</v>
      </c>
      <c r="W1011">
        <f t="shared" si="92"/>
        <v>2.0012007204323352E-3</v>
      </c>
      <c r="X1011">
        <f t="shared" si="93"/>
        <v>-4.2510793756228146E-3</v>
      </c>
      <c r="Y1011">
        <f t="shared" si="93"/>
        <v>-1.5916174812652078E-3</v>
      </c>
      <c r="Z1011">
        <f t="shared" si="93"/>
        <v>9.7093879737510953E-3</v>
      </c>
      <c r="AE1011">
        <f>W1011-mu-theta*AE1010</f>
        <v>6.851779162330054E-4</v>
      </c>
      <c r="AF1011">
        <f t="shared" si="95"/>
        <v>-4.3953995775459992E-3</v>
      </c>
      <c r="AG1011">
        <f t="shared" si="95"/>
        <v>4.5776214150746591E-4</v>
      </c>
      <c r="AK1011">
        <f t="shared" si="94"/>
        <v>4.6946877689340338E-7</v>
      </c>
    </row>
    <row r="1012" spans="1:37" x14ac:dyDescent="0.3">
      <c r="A1012" s="1">
        <v>45341</v>
      </c>
      <c r="B1012">
        <v>1.0777000000000001</v>
      </c>
      <c r="C1012">
        <v>1.2593000000000001</v>
      </c>
      <c r="D1012">
        <v>150.11000000000001</v>
      </c>
      <c r="G1012">
        <v>1.0777000000000001</v>
      </c>
      <c r="H1012">
        <f t="shared" si="91"/>
        <v>1.0773999999999999</v>
      </c>
      <c r="I1012">
        <f t="shared" si="91"/>
        <v>1.0770999999999999</v>
      </c>
      <c r="J1012">
        <f t="shared" si="91"/>
        <v>1.0725</v>
      </c>
      <c r="L1012">
        <f t="shared" si="90"/>
        <v>3.00000000000189E-4</v>
      </c>
      <c r="W1012">
        <f t="shared" si="92"/>
        <v>-6.6573463817318624E-4</v>
      </c>
      <c r="X1012">
        <f t="shared" si="93"/>
        <v>2.0012007204323352E-3</v>
      </c>
      <c r="Y1012">
        <f t="shared" si="93"/>
        <v>-4.2510793756228146E-3</v>
      </c>
      <c r="Z1012">
        <f t="shared" si="93"/>
        <v>-1.5916174812652078E-3</v>
      </c>
      <c r="AE1012">
        <f>W1012-mu-theta*AE1011</f>
        <v>-7.5514967301767522E-4</v>
      </c>
      <c r="AF1012">
        <f t="shared" si="95"/>
        <v>6.851779162330054E-4</v>
      </c>
      <c r="AG1012">
        <f t="shared" si="95"/>
        <v>-4.3953995775459992E-3</v>
      </c>
      <c r="AK1012">
        <f t="shared" si="94"/>
        <v>5.7025102865870183E-7</v>
      </c>
    </row>
    <row r="1013" spans="1:37" x14ac:dyDescent="0.3">
      <c r="A1013" s="1">
        <v>45342</v>
      </c>
      <c r="B1013">
        <v>1.0803</v>
      </c>
      <c r="C1013">
        <v>1.2618</v>
      </c>
      <c r="D1013">
        <v>149.99</v>
      </c>
      <c r="G1013">
        <v>1.0803</v>
      </c>
      <c r="H1013">
        <f t="shared" si="91"/>
        <v>1.0777000000000001</v>
      </c>
      <c r="I1013">
        <f t="shared" si="91"/>
        <v>1.0773999999999999</v>
      </c>
      <c r="J1013">
        <f t="shared" si="91"/>
        <v>1.0770999999999999</v>
      </c>
      <c r="L1013">
        <f t="shared" si="90"/>
        <v>2.5999999999999357E-3</v>
      </c>
      <c r="W1013">
        <f t="shared" si="92"/>
        <v>-7.9941376324032067E-4</v>
      </c>
      <c r="X1013">
        <f t="shared" si="93"/>
        <v>-6.6573463817318624E-4</v>
      </c>
      <c r="Y1013">
        <f t="shared" si="93"/>
        <v>2.0012007204323352E-3</v>
      </c>
      <c r="Z1013">
        <f t="shared" si="93"/>
        <v>-4.2510793756228146E-3</v>
      </c>
      <c r="AE1013">
        <f>W1013-mu-theta*AE1012</f>
        <v>-1.2365682063615849E-3</v>
      </c>
      <c r="AF1013">
        <f t="shared" si="95"/>
        <v>-7.5514967301767522E-4</v>
      </c>
      <c r="AG1013">
        <f t="shared" si="95"/>
        <v>6.851779162330054E-4</v>
      </c>
      <c r="AK1013">
        <f t="shared" si="94"/>
        <v>1.5291009289843072E-6</v>
      </c>
    </row>
    <row r="1014" spans="1:37" x14ac:dyDescent="0.3">
      <c r="A1014" s="1">
        <v>45343</v>
      </c>
      <c r="B1014">
        <v>1.0817000000000001</v>
      </c>
      <c r="C1014">
        <v>1.2634000000000001</v>
      </c>
      <c r="D1014">
        <v>150.28</v>
      </c>
      <c r="G1014">
        <v>1.0817000000000001</v>
      </c>
      <c r="H1014">
        <f t="shared" si="91"/>
        <v>1.0803</v>
      </c>
      <c r="I1014">
        <f t="shared" si="91"/>
        <v>1.0777000000000001</v>
      </c>
      <c r="J1014">
        <f t="shared" si="91"/>
        <v>1.0773999999999999</v>
      </c>
      <c r="L1014">
        <f t="shared" si="90"/>
        <v>1.4000000000000679E-3</v>
      </c>
      <c r="W1014">
        <f t="shared" si="92"/>
        <v>1.9334622308153345E-3</v>
      </c>
      <c r="X1014">
        <f t="shared" si="93"/>
        <v>-7.9941376324032067E-4</v>
      </c>
      <c r="Y1014">
        <f t="shared" si="93"/>
        <v>-6.6573463817318624E-4</v>
      </c>
      <c r="Z1014">
        <f t="shared" si="93"/>
        <v>2.0012007204323352E-3</v>
      </c>
      <c r="AE1014">
        <f>W1014-mu-theta*AE1013</f>
        <v>1.3800785373708317E-3</v>
      </c>
      <c r="AF1014">
        <f t="shared" si="95"/>
        <v>-1.2365682063615849E-3</v>
      </c>
      <c r="AG1014">
        <f t="shared" si="95"/>
        <v>-7.5514967301767522E-4</v>
      </c>
      <c r="AK1014">
        <f t="shared" si="94"/>
        <v>1.9046167693116142E-6</v>
      </c>
    </row>
    <row r="1015" spans="1:37" x14ac:dyDescent="0.3">
      <c r="A1015" s="1">
        <v>45344</v>
      </c>
      <c r="B1015">
        <v>1.0823</v>
      </c>
      <c r="C1015">
        <v>1.2659</v>
      </c>
      <c r="D1015">
        <v>150.51</v>
      </c>
      <c r="G1015">
        <v>1.0823</v>
      </c>
      <c r="H1015">
        <f t="shared" si="91"/>
        <v>1.0817000000000001</v>
      </c>
      <c r="I1015">
        <f t="shared" si="91"/>
        <v>1.0803</v>
      </c>
      <c r="J1015">
        <f t="shared" si="91"/>
        <v>1.0777000000000001</v>
      </c>
      <c r="L1015">
        <f t="shared" si="90"/>
        <v>5.9999999999993392E-4</v>
      </c>
      <c r="W1015">
        <f t="shared" si="92"/>
        <v>1.5304764439711856E-3</v>
      </c>
      <c r="X1015">
        <f t="shared" si="93"/>
        <v>1.9334622308153345E-3</v>
      </c>
      <c r="Y1015">
        <f t="shared" si="93"/>
        <v>-7.9941376324032067E-4</v>
      </c>
      <c r="Z1015">
        <f t="shared" si="93"/>
        <v>-6.6573463817318624E-4</v>
      </c>
      <c r="AE1015">
        <f>W1015-mu-theta*AE1014</f>
        <v>1.6088318056733217E-3</v>
      </c>
      <c r="AF1015">
        <f t="shared" si="95"/>
        <v>1.3800785373708317E-3</v>
      </c>
      <c r="AG1015">
        <f t="shared" si="95"/>
        <v>-1.2365682063615849E-3</v>
      </c>
      <c r="AK1015">
        <f t="shared" si="94"/>
        <v>2.5883397789460807E-6</v>
      </c>
    </row>
    <row r="1016" spans="1:37" x14ac:dyDescent="0.3">
      <c r="A1016" s="1">
        <v>45345</v>
      </c>
      <c r="B1016">
        <v>1.0818000000000001</v>
      </c>
      <c r="C1016">
        <v>1.2679</v>
      </c>
      <c r="D1016">
        <v>150.5</v>
      </c>
      <c r="G1016">
        <v>1.0818000000000001</v>
      </c>
      <c r="H1016">
        <f t="shared" si="91"/>
        <v>1.0823</v>
      </c>
      <c r="I1016">
        <f t="shared" si="91"/>
        <v>1.0817000000000001</v>
      </c>
      <c r="J1016">
        <f t="shared" si="91"/>
        <v>1.0803</v>
      </c>
      <c r="L1016">
        <f t="shared" si="90"/>
        <v>-4.9999999999994493E-4</v>
      </c>
      <c r="W1016">
        <f t="shared" si="92"/>
        <v>-6.6440768055218296E-5</v>
      </c>
      <c r="X1016">
        <f t="shared" si="93"/>
        <v>1.5304764439711856E-3</v>
      </c>
      <c r="Y1016">
        <f t="shared" si="93"/>
        <v>1.9334622308153345E-3</v>
      </c>
      <c r="Z1016">
        <f t="shared" si="93"/>
        <v>-7.9941376324032067E-4</v>
      </c>
      <c r="AE1016">
        <f>W1016-mu-theta*AE1015</f>
        <v>6.7142672838450823E-5</v>
      </c>
      <c r="AF1016">
        <f t="shared" si="95"/>
        <v>1.6088318056733217E-3</v>
      </c>
      <c r="AG1016">
        <f t="shared" si="95"/>
        <v>1.3800785373708317E-3</v>
      </c>
      <c r="AK1016">
        <f t="shared" si="94"/>
        <v>4.5081385158912422E-9</v>
      </c>
    </row>
    <row r="1017" spans="1:37" x14ac:dyDescent="0.3">
      <c r="A1017" s="1">
        <v>45348</v>
      </c>
      <c r="B1017">
        <v>1.0847</v>
      </c>
      <c r="C1017">
        <v>1.2682</v>
      </c>
      <c r="D1017">
        <v>150.69</v>
      </c>
      <c r="G1017">
        <v>1.0847</v>
      </c>
      <c r="H1017">
        <f t="shared" si="91"/>
        <v>1.0818000000000001</v>
      </c>
      <c r="I1017">
        <f t="shared" si="91"/>
        <v>1.0823</v>
      </c>
      <c r="J1017">
        <f t="shared" si="91"/>
        <v>1.0817000000000001</v>
      </c>
      <c r="L1017">
        <f t="shared" si="90"/>
        <v>2.8999999999999027E-3</v>
      </c>
      <c r="W1017">
        <f t="shared" si="92"/>
        <v>1.2624584717607823E-3</v>
      </c>
      <c r="X1017">
        <f t="shared" si="93"/>
        <v>-6.6440768055218296E-5</v>
      </c>
      <c r="Y1017">
        <f t="shared" si="93"/>
        <v>1.5304764439711856E-3</v>
      </c>
      <c r="Z1017">
        <f t="shared" si="93"/>
        <v>1.9334622308153345E-3</v>
      </c>
      <c r="AE1017">
        <f>W1017-mu-theta*AE1016</f>
        <v>1.0238307082036375E-3</v>
      </c>
      <c r="AF1017">
        <f t="shared" si="95"/>
        <v>6.7142672838450823E-5</v>
      </c>
      <c r="AG1017">
        <f t="shared" si="95"/>
        <v>1.6088318056733217E-3</v>
      </c>
      <c r="AK1017">
        <f t="shared" si="94"/>
        <v>1.048229319060762E-6</v>
      </c>
    </row>
    <row r="1018" spans="1:37" x14ac:dyDescent="0.3">
      <c r="A1018" s="1">
        <v>45349</v>
      </c>
      <c r="B1018">
        <v>1.0844</v>
      </c>
      <c r="C1018">
        <v>1.2683</v>
      </c>
      <c r="D1018">
        <v>150.5</v>
      </c>
      <c r="G1018">
        <v>1.0844</v>
      </c>
      <c r="H1018">
        <f t="shared" si="91"/>
        <v>1.0847</v>
      </c>
      <c r="I1018">
        <f t="shared" si="91"/>
        <v>1.0818000000000001</v>
      </c>
      <c r="J1018">
        <f t="shared" si="91"/>
        <v>1.0823</v>
      </c>
      <c r="L1018">
        <f t="shared" si="90"/>
        <v>-2.9999999999996696E-4</v>
      </c>
      <c r="W1018">
        <f t="shared" si="92"/>
        <v>-1.2608666799389324E-3</v>
      </c>
      <c r="X1018">
        <f t="shared" si="93"/>
        <v>1.2624584717607823E-3</v>
      </c>
      <c r="Y1018">
        <f t="shared" si="93"/>
        <v>-6.6440768055218296E-5</v>
      </c>
      <c r="Z1018">
        <f t="shared" si="93"/>
        <v>1.5304764439711856E-3</v>
      </c>
      <c r="AE1018">
        <f>W1018-mu-theta*AE1017</f>
        <v>-1.2685205082565015E-3</v>
      </c>
      <c r="AF1018">
        <f t="shared" si="95"/>
        <v>1.0238307082036375E-3</v>
      </c>
      <c r="AG1018">
        <f t="shared" si="95"/>
        <v>6.7142672838450823E-5</v>
      </c>
      <c r="AK1018">
        <f t="shared" si="94"/>
        <v>1.6091442798673329E-6</v>
      </c>
    </row>
    <row r="1019" spans="1:37" x14ac:dyDescent="0.3">
      <c r="A1019" s="1">
        <v>45350</v>
      </c>
      <c r="B1019">
        <v>1.0835999999999999</v>
      </c>
      <c r="C1019">
        <v>1.2661</v>
      </c>
      <c r="D1019">
        <v>150.66999999999999</v>
      </c>
      <c r="G1019">
        <v>1.0835999999999999</v>
      </c>
      <c r="H1019">
        <f t="shared" si="91"/>
        <v>1.0844</v>
      </c>
      <c r="I1019">
        <f t="shared" si="91"/>
        <v>1.0847</v>
      </c>
      <c r="J1019">
        <f t="shared" si="91"/>
        <v>1.0818000000000001</v>
      </c>
      <c r="L1019">
        <f t="shared" si="90"/>
        <v>-8.0000000000013394E-4</v>
      </c>
      <c r="W1019">
        <f t="shared" si="92"/>
        <v>1.1295681063122093E-3</v>
      </c>
      <c r="X1019">
        <f t="shared" si="93"/>
        <v>-1.2608666799389324E-3</v>
      </c>
      <c r="Y1019">
        <f t="shared" si="93"/>
        <v>1.2624584717607823E-3</v>
      </c>
      <c r="Z1019">
        <f t="shared" si="93"/>
        <v>-6.6440768055218296E-5</v>
      </c>
      <c r="AE1019">
        <f>W1019-mu-theta*AE1018</f>
        <v>5.6847014381048485E-4</v>
      </c>
      <c r="AF1019">
        <f t="shared" si="95"/>
        <v>-1.2685205082565015E-3</v>
      </c>
      <c r="AG1019">
        <f t="shared" si="95"/>
        <v>1.0238307082036375E-3</v>
      </c>
      <c r="AK1019">
        <f t="shared" si="94"/>
        <v>3.231583044039133E-7</v>
      </c>
    </row>
    <row r="1020" spans="1:37" x14ac:dyDescent="0.3">
      <c r="A1020" s="1">
        <v>45351</v>
      </c>
      <c r="B1020">
        <v>1.0803</v>
      </c>
      <c r="C1020">
        <v>1.2623</v>
      </c>
      <c r="D1020">
        <v>149.97999999999999</v>
      </c>
      <c r="G1020">
        <v>1.0803</v>
      </c>
      <c r="H1020">
        <f t="shared" si="91"/>
        <v>1.0835999999999999</v>
      </c>
      <c r="I1020">
        <f t="shared" si="91"/>
        <v>1.0844</v>
      </c>
      <c r="J1020">
        <f t="shared" si="91"/>
        <v>1.0847</v>
      </c>
      <c r="L1020">
        <f t="shared" si="90"/>
        <v>-3.2999999999998586E-3</v>
      </c>
      <c r="W1020">
        <f t="shared" si="92"/>
        <v>-4.5795447003384735E-3</v>
      </c>
      <c r="X1020">
        <f t="shared" si="93"/>
        <v>1.1295681063122093E-3</v>
      </c>
      <c r="Y1020">
        <f t="shared" si="93"/>
        <v>-1.2608666799389324E-3</v>
      </c>
      <c r="Z1020">
        <f t="shared" si="93"/>
        <v>1.2624584717607823E-3</v>
      </c>
      <c r="AE1020">
        <f>W1020-mu-theta*AE1019</f>
        <v>-4.6971365833016754E-3</v>
      </c>
      <c r="AF1020">
        <f t="shared" si="95"/>
        <v>5.6847014381048485E-4</v>
      </c>
      <c r="AG1020">
        <f t="shared" si="95"/>
        <v>-1.2685205082565015E-3</v>
      </c>
      <c r="AK1020">
        <f t="shared" si="94"/>
        <v>2.2063092082190938E-5</v>
      </c>
    </row>
    <row r="1021" spans="1:37" x14ac:dyDescent="0.3">
      <c r="A1021" s="1">
        <v>45352</v>
      </c>
      <c r="B1021">
        <v>1.0837000000000001</v>
      </c>
      <c r="C1021">
        <v>1.2649999999999999</v>
      </c>
      <c r="D1021">
        <v>150.11000000000001</v>
      </c>
      <c r="G1021">
        <v>1.0837000000000001</v>
      </c>
      <c r="H1021">
        <f t="shared" si="91"/>
        <v>1.0803</v>
      </c>
      <c r="I1021">
        <f t="shared" si="91"/>
        <v>1.0835999999999999</v>
      </c>
      <c r="J1021">
        <f t="shared" si="91"/>
        <v>1.0844</v>
      </c>
      <c r="L1021">
        <f t="shared" si="90"/>
        <v>3.4000000000000696E-3</v>
      </c>
      <c r="W1021">
        <f t="shared" si="92"/>
        <v>8.6678223763184343E-4</v>
      </c>
      <c r="X1021">
        <f t="shared" si="93"/>
        <v>-4.5795447003384735E-3</v>
      </c>
      <c r="Y1021">
        <f t="shared" si="93"/>
        <v>1.1295681063122093E-3</v>
      </c>
      <c r="Z1021">
        <f t="shared" si="93"/>
        <v>-1.2608666799389324E-3</v>
      </c>
      <c r="AE1021">
        <f>W1021-mu-theta*AE1020</f>
        <v>-5.2208916616368773E-4</v>
      </c>
      <c r="AF1021">
        <f t="shared" si="95"/>
        <v>-4.6971365833016754E-3</v>
      </c>
      <c r="AG1021">
        <f t="shared" si="95"/>
        <v>5.6847014381048485E-4</v>
      </c>
      <c r="AK1021">
        <f t="shared" si="94"/>
        <v>2.7257709742549475E-7</v>
      </c>
    </row>
    <row r="1022" spans="1:37" x14ac:dyDescent="0.3">
      <c r="A1022" s="1">
        <v>45355</v>
      </c>
      <c r="B1022">
        <v>1.0853999999999999</v>
      </c>
      <c r="C1022">
        <v>1.2689999999999999</v>
      </c>
      <c r="D1022">
        <v>150.51</v>
      </c>
      <c r="G1022">
        <v>1.0853999999999999</v>
      </c>
      <c r="H1022">
        <f t="shared" si="91"/>
        <v>1.0837000000000001</v>
      </c>
      <c r="I1022">
        <f t="shared" si="91"/>
        <v>1.0803</v>
      </c>
      <c r="J1022">
        <f t="shared" si="91"/>
        <v>1.0835999999999999</v>
      </c>
      <c r="L1022">
        <f t="shared" si="90"/>
        <v>1.6999999999998128E-3</v>
      </c>
      <c r="W1022">
        <f t="shared" si="92"/>
        <v>2.6647125441341497E-3</v>
      </c>
      <c r="X1022">
        <f t="shared" si="93"/>
        <v>8.6678223763184343E-4</v>
      </c>
      <c r="Y1022">
        <f t="shared" si="93"/>
        <v>-4.5795447003384735E-3</v>
      </c>
      <c r="Z1022">
        <f t="shared" si="93"/>
        <v>1.1295681063122093E-3</v>
      </c>
      <c r="AE1022">
        <f>W1022-mu-theta*AE1021</f>
        <v>2.283826080152446E-3</v>
      </c>
      <c r="AF1022">
        <f t="shared" si="95"/>
        <v>-5.2208916616368773E-4</v>
      </c>
      <c r="AG1022">
        <f t="shared" si="95"/>
        <v>-4.6971365833016754E-3</v>
      </c>
      <c r="AK1022">
        <f t="shared" si="94"/>
        <v>5.2158615643844863E-6</v>
      </c>
    </row>
    <row r="1023" spans="1:37" x14ac:dyDescent="0.3">
      <c r="A1023" s="1">
        <v>45356</v>
      </c>
      <c r="B1023">
        <v>1.0854999999999999</v>
      </c>
      <c r="C1023">
        <v>1.2703</v>
      </c>
      <c r="D1023">
        <v>150.04</v>
      </c>
      <c r="G1023">
        <v>1.0854999999999999</v>
      </c>
      <c r="H1023">
        <f t="shared" si="91"/>
        <v>1.0853999999999999</v>
      </c>
      <c r="I1023">
        <f t="shared" si="91"/>
        <v>1.0837000000000001</v>
      </c>
      <c r="J1023">
        <f t="shared" si="91"/>
        <v>1.0803</v>
      </c>
      <c r="L1023">
        <f t="shared" si="90"/>
        <v>9.9999999999988987E-5</v>
      </c>
      <c r="W1023">
        <f t="shared" si="92"/>
        <v>-3.1227160985980926E-3</v>
      </c>
      <c r="X1023">
        <f t="shared" si="93"/>
        <v>2.6647125441341497E-3</v>
      </c>
      <c r="Y1023">
        <f t="shared" si="93"/>
        <v>8.6678223763184343E-4</v>
      </c>
      <c r="Z1023">
        <f t="shared" si="93"/>
        <v>-4.5795447003384735E-3</v>
      </c>
      <c r="AE1023">
        <f>W1023-mu-theta*AE1022</f>
        <v>-2.8261682658887433E-3</v>
      </c>
      <c r="AF1023">
        <f t="shared" si="95"/>
        <v>2.283826080152446E-3</v>
      </c>
      <c r="AG1023">
        <f t="shared" si="95"/>
        <v>-5.2208916616368773E-4</v>
      </c>
      <c r="AK1023">
        <f t="shared" si="94"/>
        <v>7.987227067116586E-6</v>
      </c>
    </row>
    <row r="1024" spans="1:37" x14ac:dyDescent="0.3">
      <c r="A1024" s="1">
        <v>45357</v>
      </c>
      <c r="B1024">
        <v>1.0896999999999999</v>
      </c>
      <c r="C1024">
        <v>1.2728999999999999</v>
      </c>
      <c r="D1024">
        <v>149.37</v>
      </c>
      <c r="G1024">
        <v>1.0896999999999999</v>
      </c>
      <c r="H1024">
        <f t="shared" si="91"/>
        <v>1.0854999999999999</v>
      </c>
      <c r="I1024">
        <f t="shared" si="91"/>
        <v>1.0853999999999999</v>
      </c>
      <c r="J1024">
        <f t="shared" si="91"/>
        <v>1.0837000000000001</v>
      </c>
      <c r="L1024">
        <f t="shared" si="90"/>
        <v>4.1999999999999815E-3</v>
      </c>
      <c r="W1024">
        <f t="shared" si="92"/>
        <v>-4.4654758731004236E-3</v>
      </c>
      <c r="X1024">
        <f t="shared" si="93"/>
        <v>-3.1227160985980926E-3</v>
      </c>
      <c r="Y1024">
        <f t="shared" si="93"/>
        <v>2.6647125441341497E-3</v>
      </c>
      <c r="Z1024">
        <f t="shared" si="93"/>
        <v>8.6678223763184343E-4</v>
      </c>
      <c r="AE1024">
        <f>W1024-mu-theta*AE1023</f>
        <v>-5.4026379432295484E-3</v>
      </c>
      <c r="AF1024">
        <f t="shared" si="95"/>
        <v>-2.8261682658887433E-3</v>
      </c>
      <c r="AG1024">
        <f t="shared" si="95"/>
        <v>2.283826080152446E-3</v>
      </c>
      <c r="AK1024">
        <f t="shared" si="94"/>
        <v>2.9188496745623604E-5</v>
      </c>
    </row>
    <row r="1025" spans="1:37" x14ac:dyDescent="0.3">
      <c r="A1025" s="1">
        <v>45358</v>
      </c>
      <c r="B1025">
        <v>1.0946</v>
      </c>
      <c r="C1025">
        <v>1.2806</v>
      </c>
      <c r="D1025">
        <v>148.03</v>
      </c>
      <c r="G1025">
        <v>1.0946</v>
      </c>
      <c r="H1025">
        <f t="shared" si="91"/>
        <v>1.0896999999999999</v>
      </c>
      <c r="I1025">
        <f t="shared" si="91"/>
        <v>1.0854999999999999</v>
      </c>
      <c r="J1025">
        <f t="shared" si="91"/>
        <v>1.0853999999999999</v>
      </c>
      <c r="L1025">
        <f t="shared" si="90"/>
        <v>4.9000000000001265E-3</v>
      </c>
      <c r="W1025">
        <f t="shared" si="92"/>
        <v>-8.9710115819776615E-3</v>
      </c>
      <c r="X1025">
        <f t="shared" si="93"/>
        <v>-4.4654758731004236E-3</v>
      </c>
      <c r="Y1025">
        <f t="shared" si="93"/>
        <v>-3.1227160985980926E-3</v>
      </c>
      <c r="Z1025">
        <f t="shared" si="93"/>
        <v>2.6647125441341497E-3</v>
      </c>
      <c r="AE1025">
        <f>W1025-mu-theta*AE1024</f>
        <v>-1.0530212726917294E-2</v>
      </c>
      <c r="AF1025">
        <f t="shared" si="95"/>
        <v>-5.4026379432295484E-3</v>
      </c>
      <c r="AG1025">
        <f t="shared" si="95"/>
        <v>-2.8261682658887433E-3</v>
      </c>
      <c r="AK1025">
        <f t="shared" si="94"/>
        <v>1.1088538007413096E-4</v>
      </c>
    </row>
    <row r="1026" spans="1:37" x14ac:dyDescent="0.3">
      <c r="A1026" s="1">
        <v>45359</v>
      </c>
      <c r="B1026">
        <v>1.0936999999999999</v>
      </c>
      <c r="C1026">
        <v>1.2857000000000001</v>
      </c>
      <c r="D1026">
        <v>147.07</v>
      </c>
      <c r="G1026">
        <v>1.0936999999999999</v>
      </c>
      <c r="H1026">
        <f t="shared" si="91"/>
        <v>1.0946</v>
      </c>
      <c r="I1026">
        <f t="shared" si="91"/>
        <v>1.0896999999999999</v>
      </c>
      <c r="J1026">
        <f t="shared" si="91"/>
        <v>1.0854999999999999</v>
      </c>
      <c r="L1026">
        <f t="shared" si="90"/>
        <v>-9.0000000000012292E-4</v>
      </c>
      <c r="W1026">
        <f t="shared" si="92"/>
        <v>-6.4851719246099299E-3</v>
      </c>
      <c r="X1026">
        <f t="shared" si="93"/>
        <v>-8.9710115819776615E-3</v>
      </c>
      <c r="Y1026">
        <f t="shared" si="93"/>
        <v>-4.4654758731004236E-3</v>
      </c>
      <c r="Z1026">
        <f t="shared" si="93"/>
        <v>-3.1227160985980926E-3</v>
      </c>
      <c r="AE1026">
        <f>W1026-mu-theta*AE1025</f>
        <v>-9.2823274311001295E-3</v>
      </c>
      <c r="AF1026">
        <f t="shared" si="95"/>
        <v>-1.0530212726917294E-2</v>
      </c>
      <c r="AG1026">
        <f t="shared" si="95"/>
        <v>-5.4026379432295484E-3</v>
      </c>
      <c r="AK1026">
        <f t="shared" si="94"/>
        <v>8.6161602538153924E-5</v>
      </c>
    </row>
    <row r="1027" spans="1:37" x14ac:dyDescent="0.3">
      <c r="A1027" s="1">
        <v>45362</v>
      </c>
      <c r="B1027">
        <v>1.0926</v>
      </c>
      <c r="C1027">
        <v>1.2811999999999999</v>
      </c>
      <c r="D1027">
        <v>146.94</v>
      </c>
      <c r="G1027">
        <v>1.0926</v>
      </c>
      <c r="H1027">
        <f t="shared" si="91"/>
        <v>1.0936999999999999</v>
      </c>
      <c r="I1027">
        <f t="shared" si="91"/>
        <v>1.0946</v>
      </c>
      <c r="J1027">
        <f t="shared" si="91"/>
        <v>1.0896999999999999</v>
      </c>
      <c r="L1027">
        <f t="shared" si="90"/>
        <v>-1.0999999999998789E-3</v>
      </c>
      <c r="W1027">
        <f t="shared" si="92"/>
        <v>-8.8393282110556508E-4</v>
      </c>
      <c r="X1027">
        <f t="shared" si="93"/>
        <v>-6.4851719246099299E-3</v>
      </c>
      <c r="Y1027">
        <f t="shared" si="93"/>
        <v>-8.9710115819776615E-3</v>
      </c>
      <c r="Z1027">
        <f t="shared" si="93"/>
        <v>-4.4654758731004236E-3</v>
      </c>
      <c r="AE1027">
        <f>W1027-mu-theta*AE1026</f>
        <v>-3.3798104116526955E-3</v>
      </c>
      <c r="AF1027">
        <f t="shared" si="95"/>
        <v>-9.2823274311001295E-3</v>
      </c>
      <c r="AG1027">
        <f t="shared" si="95"/>
        <v>-1.0530212726917294E-2</v>
      </c>
      <c r="AK1027">
        <f t="shared" si="94"/>
        <v>1.1423118418715964E-5</v>
      </c>
    </row>
    <row r="1028" spans="1:37" x14ac:dyDescent="0.3">
      <c r="A1028" s="1">
        <v>45363</v>
      </c>
      <c r="B1028">
        <v>1.0924</v>
      </c>
      <c r="C1028">
        <v>1.2790999999999999</v>
      </c>
      <c r="D1028">
        <v>147.68</v>
      </c>
      <c r="G1028">
        <v>1.0924</v>
      </c>
      <c r="H1028">
        <f t="shared" si="91"/>
        <v>1.0926</v>
      </c>
      <c r="I1028">
        <f t="shared" si="91"/>
        <v>1.0936999999999999</v>
      </c>
      <c r="J1028">
        <f t="shared" si="91"/>
        <v>1.0946</v>
      </c>
      <c r="L1028">
        <f t="shared" si="90"/>
        <v>-1.9999999999997797E-4</v>
      </c>
      <c r="W1028">
        <f t="shared" si="92"/>
        <v>5.0360691438683077E-3</v>
      </c>
      <c r="X1028">
        <f t="shared" si="93"/>
        <v>-8.8393282110556508E-4</v>
      </c>
      <c r="Y1028">
        <f t="shared" si="93"/>
        <v>-6.4851719246099299E-3</v>
      </c>
      <c r="Z1028">
        <f t="shared" si="93"/>
        <v>-8.9710115819776615E-3</v>
      </c>
      <c r="AE1028">
        <f>W1028-mu-theta*AE1027</f>
        <v>3.9652408205882598E-3</v>
      </c>
      <c r="AF1028">
        <f t="shared" si="95"/>
        <v>-3.3798104116526955E-3</v>
      </c>
      <c r="AG1028">
        <f t="shared" si="95"/>
        <v>-9.2823274311001295E-3</v>
      </c>
      <c r="AK1028">
        <f t="shared" si="94"/>
        <v>1.5723134765259456E-5</v>
      </c>
    </row>
    <row r="1029" spans="1:37" x14ac:dyDescent="0.3">
      <c r="A1029" s="1">
        <v>45364</v>
      </c>
      <c r="B1029">
        <v>1.0946</v>
      </c>
      <c r="C1029">
        <v>1.2796000000000001</v>
      </c>
      <c r="D1029">
        <v>147.74</v>
      </c>
      <c r="G1029">
        <v>1.0946</v>
      </c>
      <c r="H1029">
        <f t="shared" si="91"/>
        <v>1.0924</v>
      </c>
      <c r="I1029">
        <f t="shared" si="91"/>
        <v>1.0926</v>
      </c>
      <c r="J1029">
        <f t="shared" si="91"/>
        <v>1.0936999999999999</v>
      </c>
      <c r="L1029">
        <f t="shared" si="90"/>
        <v>2.1999999999999797E-3</v>
      </c>
      <c r="W1029">
        <f t="shared" si="92"/>
        <v>4.0628385698809774E-4</v>
      </c>
      <c r="X1029">
        <f t="shared" si="93"/>
        <v>5.0360691438683077E-3</v>
      </c>
      <c r="Y1029">
        <f t="shared" si="93"/>
        <v>-8.8393282110556508E-4</v>
      </c>
      <c r="Z1029">
        <f t="shared" si="93"/>
        <v>-6.4851719246099299E-3</v>
      </c>
      <c r="AE1029">
        <f>W1029-mu-theta*AE1028</f>
        <v>1.1087769560872828E-3</v>
      </c>
      <c r="AF1029">
        <f t="shared" si="95"/>
        <v>3.9652408205882598E-3</v>
      </c>
      <c r="AG1029">
        <f t="shared" si="95"/>
        <v>-3.3798104116526955E-3</v>
      </c>
      <c r="AK1029">
        <f t="shared" si="94"/>
        <v>1.2293863383501802E-6</v>
      </c>
    </row>
    <row r="1030" spans="1:37" x14ac:dyDescent="0.3">
      <c r="A1030" s="1">
        <v>45365</v>
      </c>
      <c r="B1030">
        <v>1.0881000000000001</v>
      </c>
      <c r="C1030">
        <v>1.2750999999999999</v>
      </c>
      <c r="D1030">
        <v>148.32</v>
      </c>
      <c r="G1030">
        <v>1.0881000000000001</v>
      </c>
      <c r="H1030">
        <f t="shared" si="91"/>
        <v>1.0946</v>
      </c>
      <c r="I1030">
        <f t="shared" si="91"/>
        <v>1.0924</v>
      </c>
      <c r="J1030">
        <f t="shared" si="91"/>
        <v>1.0926</v>
      </c>
      <c r="L1030">
        <f t="shared" ref="L1030:L1093" si="96">G1030-H1030</f>
        <v>-6.4999999999999503E-3</v>
      </c>
      <c r="W1030">
        <f t="shared" si="92"/>
        <v>3.925815622038609E-3</v>
      </c>
      <c r="X1030">
        <f t="shared" si="93"/>
        <v>4.0628385698809774E-4</v>
      </c>
      <c r="Y1030">
        <f t="shared" si="93"/>
        <v>5.0360691438683077E-3</v>
      </c>
      <c r="Z1030">
        <f t="shared" si="93"/>
        <v>-8.8393282110556508E-4</v>
      </c>
      <c r="AE1030">
        <f>W1030-mu-theta*AE1029</f>
        <v>3.9386704323077374E-3</v>
      </c>
      <c r="AF1030">
        <f t="shared" si="95"/>
        <v>1.1087769560872828E-3</v>
      </c>
      <c r="AG1030">
        <f t="shared" si="95"/>
        <v>3.9652408205882598E-3</v>
      </c>
      <c r="AK1030">
        <f t="shared" si="94"/>
        <v>1.5513124774335218E-5</v>
      </c>
    </row>
    <row r="1031" spans="1:37" x14ac:dyDescent="0.3">
      <c r="A1031" s="1">
        <v>45366</v>
      </c>
      <c r="B1031">
        <v>1.0887</v>
      </c>
      <c r="C1031">
        <v>1.2739</v>
      </c>
      <c r="D1031">
        <v>149.02000000000001</v>
      </c>
      <c r="G1031">
        <v>1.0887</v>
      </c>
      <c r="H1031">
        <f t="shared" ref="H1031:J1094" si="97">G1030</f>
        <v>1.0881000000000001</v>
      </c>
      <c r="I1031">
        <f t="shared" si="97"/>
        <v>1.0946</v>
      </c>
      <c r="J1031">
        <f t="shared" si="97"/>
        <v>1.0924</v>
      </c>
      <c r="L1031">
        <f t="shared" si="96"/>
        <v>5.9999999999993392E-4</v>
      </c>
      <c r="W1031">
        <f t="shared" ref="W1031:W1094" si="98">(D1031-D1030)/D1030</f>
        <v>4.7195253505934271E-3</v>
      </c>
      <c r="X1031">
        <f t="shared" si="93"/>
        <v>3.925815622038609E-3</v>
      </c>
      <c r="Y1031">
        <f t="shared" si="93"/>
        <v>4.0628385698809774E-4</v>
      </c>
      <c r="Z1031">
        <f t="shared" si="93"/>
        <v>5.0360691438683077E-3</v>
      </c>
      <c r="AE1031">
        <f>W1031-mu-theta*AE1030</f>
        <v>5.4156035402183307E-3</v>
      </c>
      <c r="AF1031">
        <f t="shared" si="95"/>
        <v>3.9386704323077374E-3</v>
      </c>
      <c r="AG1031">
        <f t="shared" si="95"/>
        <v>1.1087769560872828E-3</v>
      </c>
      <c r="AK1031">
        <f t="shared" si="94"/>
        <v>2.9328761704825317E-5</v>
      </c>
    </row>
    <row r="1032" spans="1:37" x14ac:dyDescent="0.3">
      <c r="A1032" s="1">
        <v>45369</v>
      </c>
      <c r="B1032">
        <v>1.0871</v>
      </c>
      <c r="C1032">
        <v>1.2726999999999999</v>
      </c>
      <c r="D1032">
        <v>149.13999999999999</v>
      </c>
      <c r="G1032">
        <v>1.0871</v>
      </c>
      <c r="H1032">
        <f t="shared" si="97"/>
        <v>1.0887</v>
      </c>
      <c r="I1032">
        <f t="shared" si="97"/>
        <v>1.0881000000000001</v>
      </c>
      <c r="J1032">
        <f t="shared" si="97"/>
        <v>1.0946</v>
      </c>
      <c r="L1032">
        <f t="shared" si="96"/>
        <v>-1.6000000000000458E-3</v>
      </c>
      <c r="W1032">
        <f t="shared" si="98"/>
        <v>8.0526103878657978E-4</v>
      </c>
      <c r="X1032">
        <f t="shared" ref="X1032:Z1095" si="99">W1031</f>
        <v>4.7195253505934271E-3</v>
      </c>
      <c r="Y1032">
        <f t="shared" si="99"/>
        <v>3.925815622038609E-3</v>
      </c>
      <c r="Z1032">
        <f t="shared" si="99"/>
        <v>4.0628385698809774E-4</v>
      </c>
      <c r="AE1032">
        <f>W1032-mu-theta*AE1031</f>
        <v>1.8579163354822425E-3</v>
      </c>
      <c r="AF1032">
        <f t="shared" si="95"/>
        <v>5.4156035402183307E-3</v>
      </c>
      <c r="AG1032">
        <f t="shared" si="95"/>
        <v>3.9386704323077374E-3</v>
      </c>
      <c r="AK1032">
        <f t="shared" ref="AK1032:AK1095" si="100">POWER(AE1032,2)</f>
        <v>3.4518531096517647E-6</v>
      </c>
    </row>
    <row r="1033" spans="1:37" x14ac:dyDescent="0.3">
      <c r="A1033" s="1">
        <v>45370</v>
      </c>
      <c r="B1033">
        <v>1.0865</v>
      </c>
      <c r="C1033">
        <v>1.272</v>
      </c>
      <c r="D1033">
        <v>150.85</v>
      </c>
      <c r="G1033">
        <v>1.0865</v>
      </c>
      <c r="H1033">
        <f t="shared" si="97"/>
        <v>1.0871</v>
      </c>
      <c r="I1033">
        <f t="shared" si="97"/>
        <v>1.0887</v>
      </c>
      <c r="J1033">
        <f t="shared" si="97"/>
        <v>1.0881000000000001</v>
      </c>
      <c r="L1033">
        <f t="shared" si="96"/>
        <v>-5.9999999999993392E-4</v>
      </c>
      <c r="W1033">
        <f t="shared" si="98"/>
        <v>1.1465736891511386E-2</v>
      </c>
      <c r="X1033">
        <f t="shared" si="99"/>
        <v>8.0526103878657978E-4</v>
      </c>
      <c r="Y1033">
        <f t="shared" si="99"/>
        <v>4.7195253505934271E-3</v>
      </c>
      <c r="Z1033">
        <f t="shared" si="99"/>
        <v>3.925815622038609E-3</v>
      </c>
      <c r="AE1033">
        <f>W1033-mu-theta*AE1032</f>
        <v>1.1659457003849164E-2</v>
      </c>
      <c r="AF1033">
        <f t="shared" ref="AF1033:AG1096" si="101">AE1032</f>
        <v>1.8579163354822425E-3</v>
      </c>
      <c r="AG1033">
        <f t="shared" si="101"/>
        <v>5.4156035402183307E-3</v>
      </c>
      <c r="AK1033">
        <f t="shared" si="100"/>
        <v>1.3594293762460733E-4</v>
      </c>
    </row>
    <row r="1034" spans="1:37" x14ac:dyDescent="0.3">
      <c r="A1034" s="1">
        <v>45371</v>
      </c>
      <c r="B1034">
        <v>1.0918000000000001</v>
      </c>
      <c r="C1034">
        <v>1.2784</v>
      </c>
      <c r="D1034">
        <v>151.25</v>
      </c>
      <c r="G1034">
        <v>1.0918000000000001</v>
      </c>
      <c r="H1034">
        <f t="shared" si="97"/>
        <v>1.0865</v>
      </c>
      <c r="I1034">
        <f t="shared" si="97"/>
        <v>1.0871</v>
      </c>
      <c r="J1034">
        <f t="shared" si="97"/>
        <v>1.0887</v>
      </c>
      <c r="L1034">
        <f t="shared" si="96"/>
        <v>5.3000000000000824E-3</v>
      </c>
      <c r="W1034">
        <f t="shared" si="98"/>
        <v>2.6516407026848242E-3</v>
      </c>
      <c r="X1034">
        <f t="shared" si="99"/>
        <v>1.1465736891511386E-2</v>
      </c>
      <c r="Y1034">
        <f t="shared" si="99"/>
        <v>8.0526103878657978E-4</v>
      </c>
      <c r="Z1034">
        <f t="shared" si="99"/>
        <v>4.7195253505934271E-3</v>
      </c>
      <c r="AE1034">
        <f>W1034-mu-theta*AE1033</f>
        <v>5.2117543894120537E-3</v>
      </c>
      <c r="AF1034">
        <f t="shared" si="101"/>
        <v>1.1659457003849164E-2</v>
      </c>
      <c r="AG1034">
        <f t="shared" si="101"/>
        <v>1.8579163354822425E-3</v>
      </c>
      <c r="AK1034">
        <f t="shared" si="100"/>
        <v>2.716238381555581E-5</v>
      </c>
    </row>
    <row r="1035" spans="1:37" x14ac:dyDescent="0.3">
      <c r="A1035" s="1">
        <v>45372</v>
      </c>
      <c r="B1035">
        <v>1.0860000000000001</v>
      </c>
      <c r="C1035">
        <v>1.2656000000000001</v>
      </c>
      <c r="D1035">
        <v>151.61000000000001</v>
      </c>
      <c r="G1035">
        <v>1.0860000000000001</v>
      </c>
      <c r="H1035">
        <f t="shared" si="97"/>
        <v>1.0918000000000001</v>
      </c>
      <c r="I1035">
        <f t="shared" si="97"/>
        <v>1.0865</v>
      </c>
      <c r="J1035">
        <f t="shared" si="97"/>
        <v>1.0871</v>
      </c>
      <c r="L1035">
        <f t="shared" si="96"/>
        <v>-5.8000000000000274E-3</v>
      </c>
      <c r="W1035">
        <f t="shared" si="98"/>
        <v>2.3801652892562887E-3</v>
      </c>
      <c r="X1035">
        <f t="shared" si="99"/>
        <v>2.6516407026848242E-3</v>
      </c>
      <c r="Y1035">
        <f t="shared" si="99"/>
        <v>1.1465736891511386E-2</v>
      </c>
      <c r="Z1035">
        <f t="shared" si="99"/>
        <v>8.0526103878657978E-4</v>
      </c>
      <c r="AE1035">
        <f>W1035-mu-theta*AE1034</f>
        <v>3.3836051271853968E-3</v>
      </c>
      <c r="AF1035">
        <f t="shared" si="101"/>
        <v>5.2117543894120537E-3</v>
      </c>
      <c r="AG1035">
        <f t="shared" si="101"/>
        <v>1.1659457003849164E-2</v>
      </c>
      <c r="AK1035">
        <f t="shared" si="100"/>
        <v>1.1448783656715304E-5</v>
      </c>
    </row>
    <row r="1036" spans="1:37" x14ac:dyDescent="0.3">
      <c r="A1036" s="1">
        <v>45373</v>
      </c>
      <c r="B1036">
        <v>1.0805</v>
      </c>
      <c r="C1036">
        <v>1.2601</v>
      </c>
      <c r="D1036">
        <v>151.41999999999999</v>
      </c>
      <c r="G1036">
        <v>1.0805</v>
      </c>
      <c r="H1036">
        <f t="shared" si="97"/>
        <v>1.0860000000000001</v>
      </c>
      <c r="I1036">
        <f t="shared" si="97"/>
        <v>1.0918000000000001</v>
      </c>
      <c r="J1036">
        <f t="shared" si="97"/>
        <v>1.0865</v>
      </c>
      <c r="L1036">
        <f t="shared" si="96"/>
        <v>-5.5000000000000604E-3</v>
      </c>
      <c r="W1036">
        <f t="shared" si="98"/>
        <v>-1.2532154871052446E-3</v>
      </c>
      <c r="X1036">
        <f t="shared" si="99"/>
        <v>2.3801652892562887E-3</v>
      </c>
      <c r="Y1036">
        <f t="shared" si="99"/>
        <v>2.6516407026848242E-3</v>
      </c>
      <c r="Z1036">
        <f t="shared" si="99"/>
        <v>1.1465736891511386E-2</v>
      </c>
      <c r="AE1036">
        <f>W1036-mu-theta*AE1035</f>
        <v>-6.9114714510023329E-4</v>
      </c>
      <c r="AF1036">
        <f t="shared" si="101"/>
        <v>3.3836051271853968E-3</v>
      </c>
      <c r="AG1036">
        <f t="shared" si="101"/>
        <v>5.2117543894120537E-3</v>
      </c>
      <c r="AK1036">
        <f t="shared" si="100"/>
        <v>4.7768437618020294E-7</v>
      </c>
    </row>
    <row r="1037" spans="1:37" x14ac:dyDescent="0.3">
      <c r="A1037" s="1">
        <v>45376</v>
      </c>
      <c r="B1037">
        <v>1.0835999999999999</v>
      </c>
      <c r="C1037">
        <v>1.2634000000000001</v>
      </c>
      <c r="D1037">
        <v>151.41</v>
      </c>
      <c r="G1037">
        <v>1.0835999999999999</v>
      </c>
      <c r="H1037">
        <f t="shared" si="97"/>
        <v>1.0805</v>
      </c>
      <c r="I1037">
        <f t="shared" si="97"/>
        <v>1.0860000000000001</v>
      </c>
      <c r="J1037">
        <f t="shared" si="97"/>
        <v>1.0918000000000001</v>
      </c>
      <c r="L1037">
        <f t="shared" si="96"/>
        <v>3.0999999999998806E-3</v>
      </c>
      <c r="W1037">
        <f t="shared" si="98"/>
        <v>-6.6041474045640646E-5</v>
      </c>
      <c r="X1037">
        <f t="shared" si="99"/>
        <v>-1.2532154871052446E-3</v>
      </c>
      <c r="Y1037">
        <f t="shared" si="99"/>
        <v>2.3801652892562887E-3</v>
      </c>
      <c r="Z1037">
        <f t="shared" si="99"/>
        <v>2.6516407026848242E-3</v>
      </c>
      <c r="AE1037">
        <f>W1037-mu-theta*AE1036</f>
        <v>-4.8774373715429551E-4</v>
      </c>
      <c r="AF1037">
        <f t="shared" si="101"/>
        <v>-6.9114714510023329E-4</v>
      </c>
      <c r="AG1037">
        <f t="shared" si="101"/>
        <v>3.3836051271853968E-3</v>
      </c>
      <c r="AK1037">
        <f t="shared" si="100"/>
        <v>2.3789395313323851E-7</v>
      </c>
    </row>
    <row r="1038" spans="1:37" x14ac:dyDescent="0.3">
      <c r="A1038" s="1">
        <v>45377</v>
      </c>
      <c r="B1038">
        <v>1.083</v>
      </c>
      <c r="C1038">
        <v>1.2625</v>
      </c>
      <c r="D1038">
        <v>151.55000000000001</v>
      </c>
      <c r="G1038">
        <v>1.083</v>
      </c>
      <c r="H1038">
        <f t="shared" si="97"/>
        <v>1.0835999999999999</v>
      </c>
      <c r="I1038">
        <f t="shared" si="97"/>
        <v>1.0805</v>
      </c>
      <c r="J1038">
        <f t="shared" si="97"/>
        <v>1.0860000000000001</v>
      </c>
      <c r="L1038">
        <f t="shared" si="96"/>
        <v>-5.9999999999993392E-4</v>
      </c>
      <c r="W1038">
        <f t="shared" si="98"/>
        <v>9.246417013408281E-4</v>
      </c>
      <c r="X1038">
        <f t="shared" si="99"/>
        <v>-6.6041474045640646E-5</v>
      </c>
      <c r="Y1038">
        <f t="shared" si="99"/>
        <v>-1.2532154871052446E-3</v>
      </c>
      <c r="Z1038">
        <f t="shared" si="99"/>
        <v>2.3801652892562887E-3</v>
      </c>
      <c r="AE1038">
        <f>W1038-mu-theta*AE1037</f>
        <v>5.5204728095384001E-4</v>
      </c>
      <c r="AF1038">
        <f t="shared" si="101"/>
        <v>-4.8774373715429551E-4</v>
      </c>
      <c r="AG1038">
        <f t="shared" si="101"/>
        <v>-6.9114714510023329E-4</v>
      </c>
      <c r="AK1038">
        <f t="shared" si="100"/>
        <v>3.0475620040852798E-7</v>
      </c>
    </row>
    <row r="1039" spans="1:37" x14ac:dyDescent="0.3">
      <c r="A1039" s="1">
        <v>45378</v>
      </c>
      <c r="B1039">
        <v>1.0826</v>
      </c>
      <c r="C1039">
        <v>1.2638</v>
      </c>
      <c r="D1039">
        <v>151.32</v>
      </c>
      <c r="G1039">
        <v>1.0826</v>
      </c>
      <c r="H1039">
        <f t="shared" si="97"/>
        <v>1.083</v>
      </c>
      <c r="I1039">
        <f t="shared" si="97"/>
        <v>1.0835999999999999</v>
      </c>
      <c r="J1039">
        <f t="shared" si="97"/>
        <v>1.0805</v>
      </c>
      <c r="L1039">
        <f t="shared" si="96"/>
        <v>-3.9999999999995595E-4</v>
      </c>
      <c r="W1039">
        <f t="shared" si="98"/>
        <v>-1.5176509402838546E-3</v>
      </c>
      <c r="X1039">
        <f t="shared" si="99"/>
        <v>9.246417013408281E-4</v>
      </c>
      <c r="Y1039">
        <f t="shared" si="99"/>
        <v>-6.6041474045640646E-5</v>
      </c>
      <c r="Z1039">
        <f t="shared" si="99"/>
        <v>-1.2532154871052446E-3</v>
      </c>
      <c r="AE1039">
        <f>W1039-mu-theta*AE1038</f>
        <v>-1.6392078077787705E-3</v>
      </c>
      <c r="AF1039">
        <f t="shared" si="101"/>
        <v>5.5204728095384001E-4</v>
      </c>
      <c r="AG1039">
        <f t="shared" si="101"/>
        <v>-4.8774373715429551E-4</v>
      </c>
      <c r="AK1039">
        <f t="shared" si="100"/>
        <v>2.6870022370828824E-6</v>
      </c>
    </row>
    <row r="1040" spans="1:37" x14ac:dyDescent="0.3">
      <c r="A1040" s="1">
        <v>45379</v>
      </c>
      <c r="B1040">
        <v>1.0787</v>
      </c>
      <c r="C1040">
        <v>1.2622</v>
      </c>
      <c r="D1040">
        <v>151.37</v>
      </c>
      <c r="G1040">
        <v>1.0787</v>
      </c>
      <c r="H1040">
        <f t="shared" si="97"/>
        <v>1.0826</v>
      </c>
      <c r="I1040">
        <f t="shared" si="97"/>
        <v>1.083</v>
      </c>
      <c r="J1040">
        <f t="shared" si="97"/>
        <v>1.0835999999999999</v>
      </c>
      <c r="L1040">
        <f t="shared" si="96"/>
        <v>-3.9000000000000146E-3</v>
      </c>
      <c r="W1040">
        <f t="shared" si="98"/>
        <v>3.3042558815762207E-4</v>
      </c>
      <c r="X1040">
        <f t="shared" si="99"/>
        <v>-1.5176509402838546E-3</v>
      </c>
      <c r="Y1040">
        <f t="shared" si="99"/>
        <v>9.246417013408281E-4</v>
      </c>
      <c r="Z1040">
        <f t="shared" si="99"/>
        <v>-6.6041474045640646E-5</v>
      </c>
      <c r="AE1040">
        <f>W1040-mu-theta*AE1039</f>
        <v>-3.201676969037779E-4</v>
      </c>
      <c r="AF1040">
        <f t="shared" si="101"/>
        <v>-1.6392078077787705E-3</v>
      </c>
      <c r="AG1040">
        <f t="shared" si="101"/>
        <v>5.5204728095384001E-4</v>
      </c>
      <c r="AK1040">
        <f t="shared" si="100"/>
        <v>1.0250735414066939E-7</v>
      </c>
    </row>
    <row r="1041" spans="1:37" x14ac:dyDescent="0.3">
      <c r="A1041" s="1">
        <v>45380</v>
      </c>
      <c r="B1041">
        <v>1.0792999999999999</v>
      </c>
      <c r="C1041">
        <v>1.2623</v>
      </c>
      <c r="D1041">
        <v>151.31</v>
      </c>
      <c r="G1041">
        <v>1.0792999999999999</v>
      </c>
      <c r="H1041">
        <f t="shared" si="97"/>
        <v>1.0787</v>
      </c>
      <c r="I1041">
        <f t="shared" si="97"/>
        <v>1.0826</v>
      </c>
      <c r="J1041">
        <f t="shared" si="97"/>
        <v>1.083</v>
      </c>
      <c r="L1041">
        <f t="shared" si="96"/>
        <v>5.9999999999993392E-4</v>
      </c>
      <c r="W1041">
        <f t="shared" si="98"/>
        <v>-3.9637973178306316E-4</v>
      </c>
      <c r="X1041">
        <f t="shared" si="99"/>
        <v>3.3042558815762207E-4</v>
      </c>
      <c r="Y1041">
        <f t="shared" si="99"/>
        <v>-1.5176509402838546E-3</v>
      </c>
      <c r="Z1041">
        <f t="shared" si="99"/>
        <v>9.246417013408281E-4</v>
      </c>
      <c r="AE1041">
        <f>W1041-mu-theta*AE1040</f>
        <v>-7.2851613865078228E-4</v>
      </c>
      <c r="AF1041">
        <f t="shared" si="101"/>
        <v>-3.201676969037779E-4</v>
      </c>
      <c r="AG1041">
        <f t="shared" si="101"/>
        <v>-1.6392078077787705E-3</v>
      </c>
      <c r="AK1041">
        <f t="shared" si="100"/>
        <v>5.3073576427464587E-7</v>
      </c>
    </row>
    <row r="1042" spans="1:37" x14ac:dyDescent="0.3">
      <c r="A1042" s="1">
        <v>45383</v>
      </c>
      <c r="B1042">
        <v>1.0743</v>
      </c>
      <c r="C1042">
        <v>1.2549999999999999</v>
      </c>
      <c r="D1042">
        <v>151.63</v>
      </c>
      <c r="G1042">
        <v>1.0743</v>
      </c>
      <c r="H1042">
        <f t="shared" si="97"/>
        <v>1.0792999999999999</v>
      </c>
      <c r="I1042">
        <f t="shared" si="97"/>
        <v>1.0787</v>
      </c>
      <c r="J1042">
        <f t="shared" si="97"/>
        <v>1.0826</v>
      </c>
      <c r="L1042">
        <f t="shared" si="96"/>
        <v>-4.9999999999998934E-3</v>
      </c>
      <c r="W1042">
        <f t="shared" si="98"/>
        <v>2.1148635252130933E-3</v>
      </c>
      <c r="X1042">
        <f t="shared" si="99"/>
        <v>-3.9637973178306316E-4</v>
      </c>
      <c r="Y1042">
        <f t="shared" si="99"/>
        <v>3.3042558815762207E-4</v>
      </c>
      <c r="Z1042">
        <f t="shared" si="99"/>
        <v>-1.5176509402838546E-3</v>
      </c>
      <c r="AE1042">
        <f>W1042-mu-theta*AE1041</f>
        <v>1.6841392369747754E-3</v>
      </c>
      <c r="AF1042">
        <f t="shared" si="101"/>
        <v>-7.2851613865078228E-4</v>
      </c>
      <c r="AG1042">
        <f t="shared" si="101"/>
        <v>-3.201676969037779E-4</v>
      </c>
      <c r="AK1042">
        <f t="shared" si="100"/>
        <v>2.8363249695179785E-6</v>
      </c>
    </row>
    <row r="1043" spans="1:37" x14ac:dyDescent="0.3">
      <c r="A1043" s="1">
        <v>45384</v>
      </c>
      <c r="B1043">
        <v>1.0768</v>
      </c>
      <c r="C1043">
        <v>1.2577</v>
      </c>
      <c r="D1043">
        <v>151.55000000000001</v>
      </c>
      <c r="G1043">
        <v>1.0768</v>
      </c>
      <c r="H1043">
        <f t="shared" si="97"/>
        <v>1.0743</v>
      </c>
      <c r="I1043">
        <f t="shared" si="97"/>
        <v>1.0792999999999999</v>
      </c>
      <c r="J1043">
        <f t="shared" si="97"/>
        <v>1.0787</v>
      </c>
      <c r="L1043">
        <f t="shared" si="96"/>
        <v>2.4999999999999467E-3</v>
      </c>
      <c r="W1043">
        <f t="shared" si="98"/>
        <v>-5.276000791399069E-4</v>
      </c>
      <c r="X1043">
        <f t="shared" si="99"/>
        <v>2.1148635252130933E-3</v>
      </c>
      <c r="Y1043">
        <f t="shared" si="99"/>
        <v>-3.9637973178306316E-4</v>
      </c>
      <c r="Z1043">
        <f t="shared" si="99"/>
        <v>3.3042558815762207E-4</v>
      </c>
      <c r="AE1043">
        <f>W1043-mu-theta*AE1042</f>
        <v>-3.7583510663145072E-4</v>
      </c>
      <c r="AF1043">
        <f t="shared" si="101"/>
        <v>1.6841392369747754E-3</v>
      </c>
      <c r="AG1043">
        <f t="shared" si="101"/>
        <v>-7.2851613865078228E-4</v>
      </c>
      <c r="AK1043">
        <f t="shared" si="100"/>
        <v>1.4125202737667393E-7</v>
      </c>
    </row>
    <row r="1044" spans="1:37" x14ac:dyDescent="0.3">
      <c r="A1044" s="1">
        <v>45385</v>
      </c>
      <c r="B1044">
        <v>1.0834999999999999</v>
      </c>
      <c r="C1044">
        <v>1.2650999999999999</v>
      </c>
      <c r="D1044">
        <v>151.68</v>
      </c>
      <c r="G1044">
        <v>1.0834999999999999</v>
      </c>
      <c r="H1044">
        <f t="shared" si="97"/>
        <v>1.0768</v>
      </c>
      <c r="I1044">
        <f t="shared" si="97"/>
        <v>1.0743</v>
      </c>
      <c r="J1044">
        <f t="shared" si="97"/>
        <v>1.0792999999999999</v>
      </c>
      <c r="L1044">
        <f t="shared" si="96"/>
        <v>6.6999999999999282E-3</v>
      </c>
      <c r="W1044">
        <f t="shared" si="98"/>
        <v>8.5780270537773307E-4</v>
      </c>
      <c r="X1044">
        <f t="shared" si="99"/>
        <v>-5.276000791399069E-4</v>
      </c>
      <c r="Y1044">
        <f t="shared" si="99"/>
        <v>2.1148635252130933E-3</v>
      </c>
      <c r="Z1044">
        <f t="shared" si="99"/>
        <v>-3.9637973178306316E-4</v>
      </c>
      <c r="AE1044">
        <f>W1044-mu-theta*AE1043</f>
        <v>5.1222647255411982E-4</v>
      </c>
      <c r="AF1044">
        <f t="shared" si="101"/>
        <v>-3.7583510663145072E-4</v>
      </c>
      <c r="AG1044">
        <f t="shared" si="101"/>
        <v>1.6841392369747754E-3</v>
      </c>
      <c r="AK1044">
        <f t="shared" si="100"/>
        <v>2.6237595918523647E-7</v>
      </c>
    </row>
    <row r="1045" spans="1:37" x14ac:dyDescent="0.3">
      <c r="A1045" s="1">
        <v>45386</v>
      </c>
      <c r="B1045">
        <v>1.0834999999999999</v>
      </c>
      <c r="C1045">
        <v>1.264</v>
      </c>
      <c r="D1045">
        <v>151.33000000000001</v>
      </c>
      <c r="G1045">
        <v>1.0834999999999999</v>
      </c>
      <c r="H1045">
        <f t="shared" si="97"/>
        <v>1.0834999999999999</v>
      </c>
      <c r="I1045">
        <f t="shared" si="97"/>
        <v>1.0768</v>
      </c>
      <c r="J1045">
        <f t="shared" si="97"/>
        <v>1.0743</v>
      </c>
      <c r="L1045">
        <f t="shared" si="96"/>
        <v>0</v>
      </c>
      <c r="W1045">
        <f t="shared" si="98"/>
        <v>-2.3074894514767555E-3</v>
      </c>
      <c r="X1045">
        <f t="shared" si="99"/>
        <v>8.5780270537773307E-4</v>
      </c>
      <c r="Y1045">
        <f t="shared" si="99"/>
        <v>-5.276000791399069E-4</v>
      </c>
      <c r="Z1045">
        <f t="shared" si="99"/>
        <v>2.1148635252130933E-3</v>
      </c>
      <c r="AE1045">
        <f>W1045-mu-theta*AE1044</f>
        <v>-2.4386602876641864E-3</v>
      </c>
      <c r="AF1045">
        <f t="shared" si="101"/>
        <v>5.1222647255411982E-4</v>
      </c>
      <c r="AG1045">
        <f t="shared" si="101"/>
        <v>-3.7583510663145072E-4</v>
      </c>
      <c r="AK1045">
        <f t="shared" si="100"/>
        <v>5.9470639986303723E-6</v>
      </c>
    </row>
    <row r="1046" spans="1:37" x14ac:dyDescent="0.3">
      <c r="A1046" s="1">
        <v>45387</v>
      </c>
      <c r="B1046">
        <v>1.0834999999999999</v>
      </c>
      <c r="C1046">
        <v>1.2636000000000001</v>
      </c>
      <c r="D1046">
        <v>151.61000000000001</v>
      </c>
      <c r="G1046">
        <v>1.0834999999999999</v>
      </c>
      <c r="H1046">
        <f t="shared" si="97"/>
        <v>1.0834999999999999</v>
      </c>
      <c r="I1046">
        <f t="shared" si="97"/>
        <v>1.0834999999999999</v>
      </c>
      <c r="J1046">
        <f t="shared" si="97"/>
        <v>1.0768</v>
      </c>
      <c r="L1046">
        <f t="shared" si="96"/>
        <v>0</v>
      </c>
      <c r="W1046">
        <f t="shared" si="98"/>
        <v>1.8502610189651829E-3</v>
      </c>
      <c r="X1046">
        <f t="shared" si="99"/>
        <v>-2.3074894514767555E-3</v>
      </c>
      <c r="Y1046">
        <f t="shared" si="99"/>
        <v>8.5780270537773307E-4</v>
      </c>
      <c r="Z1046">
        <f t="shared" si="99"/>
        <v>-5.276000791399069E-4</v>
      </c>
      <c r="AE1046">
        <f>W1046-mu-theta*AE1045</f>
        <v>1.0066553009159631E-3</v>
      </c>
      <c r="AF1046">
        <f t="shared" si="101"/>
        <v>-2.4386602876641864E-3</v>
      </c>
      <c r="AG1046">
        <f t="shared" si="101"/>
        <v>5.1222647255411982E-4</v>
      </c>
      <c r="AK1046">
        <f t="shared" si="100"/>
        <v>1.0133548948622084E-6</v>
      </c>
    </row>
    <row r="1047" spans="1:37" x14ac:dyDescent="0.3">
      <c r="A1047" s="1">
        <v>45390</v>
      </c>
      <c r="B1047">
        <v>1.0858000000000001</v>
      </c>
      <c r="C1047">
        <v>1.2652000000000001</v>
      </c>
      <c r="D1047">
        <v>151.79</v>
      </c>
      <c r="G1047">
        <v>1.0858000000000001</v>
      </c>
      <c r="H1047">
        <f t="shared" si="97"/>
        <v>1.0834999999999999</v>
      </c>
      <c r="I1047">
        <f t="shared" si="97"/>
        <v>1.0834999999999999</v>
      </c>
      <c r="J1047">
        <f t="shared" si="97"/>
        <v>1.0834999999999999</v>
      </c>
      <c r="L1047">
        <f t="shared" si="96"/>
        <v>2.3000000000001908E-3</v>
      </c>
      <c r="W1047">
        <f t="shared" si="98"/>
        <v>1.1872567772572944E-3</v>
      </c>
      <c r="X1047">
        <f t="shared" si="99"/>
        <v>1.8502610189651829E-3</v>
      </c>
      <c r="Y1047">
        <f t="shared" si="99"/>
        <v>-2.3074894514767555E-3</v>
      </c>
      <c r="Z1047">
        <f t="shared" si="99"/>
        <v>8.5780270537773307E-4</v>
      </c>
      <c r="AE1047">
        <f>W1047-mu-theta*AE1046</f>
        <v>1.1754562770216821E-3</v>
      </c>
      <c r="AF1047">
        <f t="shared" si="101"/>
        <v>1.0066553009159631E-3</v>
      </c>
      <c r="AG1047">
        <f t="shared" si="101"/>
        <v>-2.4386602876641864E-3</v>
      </c>
      <c r="AK1047">
        <f t="shared" si="100"/>
        <v>1.3816974591896736E-6</v>
      </c>
    </row>
    <row r="1048" spans="1:37" x14ac:dyDescent="0.3">
      <c r="A1048" s="1">
        <v>45391</v>
      </c>
      <c r="B1048">
        <v>1.0854999999999999</v>
      </c>
      <c r="C1048">
        <v>1.2676000000000001</v>
      </c>
      <c r="D1048">
        <v>151.77000000000001</v>
      </c>
      <c r="G1048">
        <v>1.0854999999999999</v>
      </c>
      <c r="H1048">
        <f t="shared" si="97"/>
        <v>1.0858000000000001</v>
      </c>
      <c r="I1048">
        <f t="shared" si="97"/>
        <v>1.0834999999999999</v>
      </c>
      <c r="J1048">
        <f t="shared" si="97"/>
        <v>1.0834999999999999</v>
      </c>
      <c r="L1048">
        <f t="shared" si="96"/>
        <v>-3.00000000000189E-4</v>
      </c>
      <c r="W1048">
        <f t="shared" si="98"/>
        <v>-1.3176098557205225E-4</v>
      </c>
      <c r="X1048">
        <f t="shared" si="99"/>
        <v>1.1872567772572944E-3</v>
      </c>
      <c r="Y1048">
        <f t="shared" si="99"/>
        <v>1.8502610189651829E-3</v>
      </c>
      <c r="Z1048">
        <f t="shared" si="99"/>
        <v>-2.3074894514767555E-3</v>
      </c>
      <c r="AE1048">
        <f>W1048-mu-theta*AE1047</f>
        <v>-1.0280773507372038E-4</v>
      </c>
      <c r="AF1048">
        <f t="shared" si="101"/>
        <v>1.1754562770216821E-3</v>
      </c>
      <c r="AG1048">
        <f t="shared" si="101"/>
        <v>1.0066553009159631E-3</v>
      </c>
      <c r="AK1048">
        <f t="shared" si="100"/>
        <v>1.0569430390988276E-8</v>
      </c>
    </row>
    <row r="1049" spans="1:37" x14ac:dyDescent="0.3">
      <c r="A1049" s="1">
        <v>45392</v>
      </c>
      <c r="B1049">
        <v>1.0742</v>
      </c>
      <c r="C1049">
        <v>1.2531000000000001</v>
      </c>
      <c r="D1049">
        <v>153.16999999999999</v>
      </c>
      <c r="G1049">
        <v>1.0742</v>
      </c>
      <c r="H1049">
        <f t="shared" si="97"/>
        <v>1.0854999999999999</v>
      </c>
      <c r="I1049">
        <f t="shared" si="97"/>
        <v>1.0858000000000001</v>
      </c>
      <c r="J1049">
        <f t="shared" si="97"/>
        <v>1.0834999999999999</v>
      </c>
      <c r="L1049">
        <f t="shared" si="96"/>
        <v>-1.1299999999999866E-2</v>
      </c>
      <c r="W1049">
        <f t="shared" si="98"/>
        <v>9.2244844172101013E-3</v>
      </c>
      <c r="X1049">
        <f t="shared" si="99"/>
        <v>-1.3176098557205225E-4</v>
      </c>
      <c r="Y1049">
        <f t="shared" si="99"/>
        <v>1.1872567772572944E-3</v>
      </c>
      <c r="Z1049">
        <f t="shared" si="99"/>
        <v>1.8502610189651829E-3</v>
      </c>
      <c r="AE1049">
        <f>W1049-mu-theta*AE1048</f>
        <v>8.9448253947054558E-3</v>
      </c>
      <c r="AF1049">
        <f t="shared" si="101"/>
        <v>-1.0280773507372038E-4</v>
      </c>
      <c r="AG1049">
        <f t="shared" si="101"/>
        <v>1.1754562770216821E-3</v>
      </c>
      <c r="AK1049">
        <f t="shared" si="100"/>
        <v>8.000990134176762E-5</v>
      </c>
    </row>
    <row r="1050" spans="1:37" x14ac:dyDescent="0.3">
      <c r="A1050" s="1">
        <v>45393</v>
      </c>
      <c r="B1050">
        <v>1.0724</v>
      </c>
      <c r="C1050">
        <v>1.2549999999999999</v>
      </c>
      <c r="D1050">
        <v>153.27000000000001</v>
      </c>
      <c r="G1050">
        <v>1.0724</v>
      </c>
      <c r="H1050">
        <f t="shared" si="97"/>
        <v>1.0742</v>
      </c>
      <c r="I1050">
        <f t="shared" si="97"/>
        <v>1.0854999999999999</v>
      </c>
      <c r="J1050">
        <f t="shared" si="97"/>
        <v>1.0858000000000001</v>
      </c>
      <c r="L1050">
        <f t="shared" si="96"/>
        <v>-1.8000000000000238E-3</v>
      </c>
      <c r="W1050">
        <f t="shared" si="98"/>
        <v>6.5286936084104426E-4</v>
      </c>
      <c r="X1050">
        <f t="shared" si="99"/>
        <v>9.2244844172101013E-3</v>
      </c>
      <c r="Y1050">
        <f t="shared" si="99"/>
        <v>-1.3176098557205225E-4</v>
      </c>
      <c r="Z1050">
        <f t="shared" si="99"/>
        <v>1.1872567772572944E-3</v>
      </c>
      <c r="AE1050">
        <f>W1050-mu-theta*AE1049</f>
        <v>2.5575874302808462E-3</v>
      </c>
      <c r="AF1050">
        <f t="shared" si="101"/>
        <v>8.9448253947054558E-3</v>
      </c>
      <c r="AG1050">
        <f t="shared" si="101"/>
        <v>-1.0280773507372038E-4</v>
      </c>
      <c r="AK1050">
        <f t="shared" si="100"/>
        <v>6.5412534635305821E-6</v>
      </c>
    </row>
    <row r="1051" spans="1:37" x14ac:dyDescent="0.3">
      <c r="A1051" s="1">
        <v>45394</v>
      </c>
      <c r="B1051">
        <v>1.0642</v>
      </c>
      <c r="C1051">
        <v>1.2450000000000001</v>
      </c>
      <c r="D1051">
        <v>153.28</v>
      </c>
      <c r="G1051">
        <v>1.0642</v>
      </c>
      <c r="H1051">
        <f t="shared" si="97"/>
        <v>1.0724</v>
      </c>
      <c r="I1051">
        <f t="shared" si="97"/>
        <v>1.0742</v>
      </c>
      <c r="J1051">
        <f t="shared" si="97"/>
        <v>1.0854999999999999</v>
      </c>
      <c r="L1051">
        <f t="shared" si="96"/>
        <v>-8.1999999999999851E-3</v>
      </c>
      <c r="W1051">
        <f t="shared" si="98"/>
        <v>6.5244340053441014E-5</v>
      </c>
      <c r="X1051">
        <f t="shared" si="99"/>
        <v>6.5286936084104426E-4</v>
      </c>
      <c r="Y1051">
        <f t="shared" si="99"/>
        <v>9.2244844172101013E-3</v>
      </c>
      <c r="Z1051">
        <f t="shared" si="99"/>
        <v>-1.3176098557205225E-4</v>
      </c>
      <c r="AE1051">
        <f>W1051-mu-theta*AE1050</f>
        <v>4.2788658809800355E-4</v>
      </c>
      <c r="AF1051">
        <f t="shared" si="101"/>
        <v>2.5575874302808462E-3</v>
      </c>
      <c r="AG1051">
        <f t="shared" si="101"/>
        <v>8.9448253947054558E-3</v>
      </c>
      <c r="AK1051">
        <f t="shared" si="100"/>
        <v>1.8308693227415055E-7</v>
      </c>
    </row>
    <row r="1052" spans="1:37" x14ac:dyDescent="0.3">
      <c r="A1052" s="1">
        <v>45397</v>
      </c>
      <c r="B1052">
        <v>1.0622</v>
      </c>
      <c r="C1052">
        <v>1.2444</v>
      </c>
      <c r="D1052">
        <v>154.27000000000001</v>
      </c>
      <c r="G1052">
        <v>1.0622</v>
      </c>
      <c r="H1052">
        <f t="shared" si="97"/>
        <v>1.0642</v>
      </c>
      <c r="I1052">
        <f t="shared" si="97"/>
        <v>1.0724</v>
      </c>
      <c r="J1052">
        <f t="shared" si="97"/>
        <v>1.0742</v>
      </c>
      <c r="L1052">
        <f t="shared" si="96"/>
        <v>-2.0000000000000018E-3</v>
      </c>
      <c r="W1052">
        <f t="shared" si="98"/>
        <v>6.4587682672234414E-3</v>
      </c>
      <c r="X1052">
        <f t="shared" si="99"/>
        <v>6.5244340053441014E-5</v>
      </c>
      <c r="Y1052">
        <f t="shared" si="99"/>
        <v>6.5286936084104426E-4</v>
      </c>
      <c r="Z1052">
        <f t="shared" si="99"/>
        <v>9.2244844172101013E-3</v>
      </c>
      <c r="AE1052">
        <f>W1052-mu-theta*AE1051</f>
        <v>6.307235187242459E-3</v>
      </c>
      <c r="AF1052">
        <f t="shared" si="101"/>
        <v>4.2788658809800355E-4</v>
      </c>
      <c r="AG1052">
        <f t="shared" si="101"/>
        <v>2.5575874302808462E-3</v>
      </c>
      <c r="AK1052">
        <f t="shared" si="100"/>
        <v>3.9781215707189419E-5</v>
      </c>
    </row>
    <row r="1053" spans="1:37" x14ac:dyDescent="0.3">
      <c r="A1053" s="1">
        <v>45398</v>
      </c>
      <c r="B1053">
        <v>1.0617000000000001</v>
      </c>
      <c r="C1053">
        <v>1.2423999999999999</v>
      </c>
      <c r="D1053">
        <v>154.71</v>
      </c>
      <c r="G1053">
        <v>1.0617000000000001</v>
      </c>
      <c r="H1053">
        <f t="shared" si="97"/>
        <v>1.0622</v>
      </c>
      <c r="I1053">
        <f t="shared" si="97"/>
        <v>1.0642</v>
      </c>
      <c r="J1053">
        <f t="shared" si="97"/>
        <v>1.0724</v>
      </c>
      <c r="L1053">
        <f t="shared" si="96"/>
        <v>-4.9999999999994493E-4</v>
      </c>
      <c r="W1053">
        <f t="shared" si="98"/>
        <v>2.8521423478317085E-3</v>
      </c>
      <c r="X1053">
        <f t="shared" si="99"/>
        <v>6.4587682672234414E-3</v>
      </c>
      <c r="Y1053">
        <f t="shared" si="99"/>
        <v>6.5244340053441014E-5</v>
      </c>
      <c r="Z1053">
        <f t="shared" si="99"/>
        <v>6.5286936084104426E-4</v>
      </c>
      <c r="AE1053">
        <f>W1053-mu-theta*AE1052</f>
        <v>4.120064965413949E-3</v>
      </c>
      <c r="AF1053">
        <f t="shared" si="101"/>
        <v>6.307235187242459E-3</v>
      </c>
      <c r="AG1053">
        <f t="shared" si="101"/>
        <v>4.2788658809800355E-4</v>
      </c>
      <c r="AK1053">
        <f t="shared" si="100"/>
        <v>1.6974935319231446E-5</v>
      </c>
    </row>
    <row r="1054" spans="1:37" x14ac:dyDescent="0.3">
      <c r="A1054" s="1">
        <v>45399</v>
      </c>
      <c r="B1054">
        <v>1.0670999999999999</v>
      </c>
      <c r="C1054">
        <v>1.2445999999999999</v>
      </c>
      <c r="D1054">
        <v>154.38</v>
      </c>
      <c r="G1054">
        <v>1.0670999999999999</v>
      </c>
      <c r="H1054">
        <f t="shared" si="97"/>
        <v>1.0617000000000001</v>
      </c>
      <c r="I1054">
        <f t="shared" si="97"/>
        <v>1.0622</v>
      </c>
      <c r="J1054">
        <f t="shared" si="97"/>
        <v>1.0642</v>
      </c>
      <c r="L1054">
        <f t="shared" si="96"/>
        <v>5.3999999999998494E-3</v>
      </c>
      <c r="W1054">
        <f t="shared" si="98"/>
        <v>-2.1330230754315329E-3</v>
      </c>
      <c r="X1054">
        <f t="shared" si="99"/>
        <v>2.8521423478317085E-3</v>
      </c>
      <c r="Y1054">
        <f t="shared" si="99"/>
        <v>6.4587682672234414E-3</v>
      </c>
      <c r="Z1054">
        <f t="shared" si="99"/>
        <v>6.5244340053441014E-5</v>
      </c>
      <c r="AE1054">
        <f>W1054-mu-theta*AE1053</f>
        <v>-1.3931506628272502E-3</v>
      </c>
      <c r="AF1054">
        <f t="shared" si="101"/>
        <v>4.120064965413949E-3</v>
      </c>
      <c r="AG1054">
        <f t="shared" si="101"/>
        <v>6.307235187242459E-3</v>
      </c>
      <c r="AK1054">
        <f t="shared" si="100"/>
        <v>1.9408687693360066E-6</v>
      </c>
    </row>
    <row r="1055" spans="1:37" x14ac:dyDescent="0.3">
      <c r="A1055" s="1">
        <v>45400</v>
      </c>
      <c r="B1055">
        <v>1.0643</v>
      </c>
      <c r="C1055">
        <v>1.2435</v>
      </c>
      <c r="D1055">
        <v>154.63</v>
      </c>
      <c r="G1055">
        <v>1.0643</v>
      </c>
      <c r="H1055">
        <f t="shared" si="97"/>
        <v>1.0670999999999999</v>
      </c>
      <c r="I1055">
        <f t="shared" si="97"/>
        <v>1.0617000000000001</v>
      </c>
      <c r="J1055">
        <f t="shared" si="97"/>
        <v>1.0622</v>
      </c>
      <c r="L1055">
        <f t="shared" si="96"/>
        <v>-2.7999999999999137E-3</v>
      </c>
      <c r="W1055">
        <f t="shared" si="98"/>
        <v>1.6193807488016584E-3</v>
      </c>
      <c r="X1055">
        <f t="shared" si="99"/>
        <v>-2.1330230754315329E-3</v>
      </c>
      <c r="Y1055">
        <f t="shared" si="99"/>
        <v>2.8521423478317085E-3</v>
      </c>
      <c r="Z1055">
        <f t="shared" si="99"/>
        <v>6.4587682672234414E-3</v>
      </c>
      <c r="AE1055">
        <f>W1055-mu-theta*AE1054</f>
        <v>1.028193231307502E-3</v>
      </c>
      <c r="AF1055">
        <f t="shared" si="101"/>
        <v>-1.3931506628272502E-3</v>
      </c>
      <c r="AG1055">
        <f t="shared" si="101"/>
        <v>4.120064965413949E-3</v>
      </c>
      <c r="AK1055">
        <f t="shared" si="100"/>
        <v>1.0571813209065622E-6</v>
      </c>
    </row>
    <row r="1056" spans="1:37" x14ac:dyDescent="0.3">
      <c r="A1056" s="1">
        <v>45401</v>
      </c>
      <c r="B1056">
        <v>1.0653999999999999</v>
      </c>
      <c r="C1056">
        <v>1.2371000000000001</v>
      </c>
      <c r="D1056">
        <v>154.63</v>
      </c>
      <c r="G1056">
        <v>1.0653999999999999</v>
      </c>
      <c r="H1056">
        <f t="shared" si="97"/>
        <v>1.0643</v>
      </c>
      <c r="I1056">
        <f t="shared" si="97"/>
        <v>1.0670999999999999</v>
      </c>
      <c r="J1056">
        <f t="shared" si="97"/>
        <v>1.0617000000000001</v>
      </c>
      <c r="L1056">
        <f t="shared" si="96"/>
        <v>1.0999999999998789E-3</v>
      </c>
      <c r="W1056">
        <f t="shared" si="98"/>
        <v>0</v>
      </c>
      <c r="X1056">
        <f t="shared" si="99"/>
        <v>1.6193807488016584E-3</v>
      </c>
      <c r="Y1056">
        <f t="shared" si="99"/>
        <v>-2.1330230754315329E-3</v>
      </c>
      <c r="Z1056">
        <f t="shared" si="99"/>
        <v>2.8521423478317085E-3</v>
      </c>
      <c r="AE1056">
        <f>W1056-mu-theta*AE1055</f>
        <v>-6.6005809771353761E-6</v>
      </c>
      <c r="AF1056">
        <f t="shared" si="101"/>
        <v>1.028193231307502E-3</v>
      </c>
      <c r="AG1056">
        <f t="shared" si="101"/>
        <v>-1.3931506628272502E-3</v>
      </c>
      <c r="AK1056">
        <f t="shared" si="100"/>
        <v>4.3567669235721397E-11</v>
      </c>
    </row>
    <row r="1057" spans="1:37" x14ac:dyDescent="0.3">
      <c r="A1057" s="1">
        <v>45404</v>
      </c>
      <c r="B1057">
        <v>1.0653999999999999</v>
      </c>
      <c r="C1057">
        <v>1.2349000000000001</v>
      </c>
      <c r="D1057">
        <v>154.84</v>
      </c>
      <c r="G1057">
        <v>1.0653999999999999</v>
      </c>
      <c r="H1057">
        <f t="shared" si="97"/>
        <v>1.0653999999999999</v>
      </c>
      <c r="I1057">
        <f t="shared" si="97"/>
        <v>1.0643</v>
      </c>
      <c r="J1057">
        <f t="shared" si="97"/>
        <v>1.0670999999999999</v>
      </c>
      <c r="L1057">
        <f t="shared" si="96"/>
        <v>0</v>
      </c>
      <c r="W1057">
        <f t="shared" si="98"/>
        <v>1.3580805794477654E-3</v>
      </c>
      <c r="X1057">
        <f t="shared" si="99"/>
        <v>0</v>
      </c>
      <c r="Y1057">
        <f t="shared" si="99"/>
        <v>1.6193807488016584E-3</v>
      </c>
      <c r="Z1057">
        <f t="shared" si="99"/>
        <v>-2.1330230754315329E-3</v>
      </c>
      <c r="AE1057">
        <f>W1057-mu-theta*AE1056</f>
        <v>1.101648924860819E-3</v>
      </c>
      <c r="AF1057">
        <f t="shared" si="101"/>
        <v>-6.6005809771353761E-6</v>
      </c>
      <c r="AG1057">
        <f t="shared" si="101"/>
        <v>1.028193231307502E-3</v>
      </c>
      <c r="AK1057">
        <f t="shared" si="100"/>
        <v>1.2136303536469985E-6</v>
      </c>
    </row>
    <row r="1058" spans="1:37" x14ac:dyDescent="0.3">
      <c r="A1058" s="1">
        <v>45405</v>
      </c>
      <c r="B1058">
        <v>1.0699000000000001</v>
      </c>
      <c r="C1058">
        <v>1.2447999999999999</v>
      </c>
      <c r="D1058">
        <v>154.82</v>
      </c>
      <c r="G1058">
        <v>1.0699000000000001</v>
      </c>
      <c r="H1058">
        <f t="shared" si="97"/>
        <v>1.0653999999999999</v>
      </c>
      <c r="I1058">
        <f t="shared" si="97"/>
        <v>1.0653999999999999</v>
      </c>
      <c r="J1058">
        <f t="shared" si="97"/>
        <v>1.0643</v>
      </c>
      <c r="L1058">
        <f t="shared" si="96"/>
        <v>4.5000000000001705E-3</v>
      </c>
      <c r="W1058">
        <f t="shared" si="98"/>
        <v>-1.2916559028681369E-4</v>
      </c>
      <c r="X1058">
        <f t="shared" si="99"/>
        <v>1.3580805794477654E-3</v>
      </c>
      <c r="Y1058">
        <f t="shared" si="99"/>
        <v>0</v>
      </c>
      <c r="Z1058">
        <f t="shared" si="99"/>
        <v>1.6193807488016584E-3</v>
      </c>
      <c r="AE1058">
        <f>W1058-mu-theta*AE1057</f>
        <v>-1.1803170613155557E-4</v>
      </c>
      <c r="AF1058">
        <f t="shared" si="101"/>
        <v>1.101648924860819E-3</v>
      </c>
      <c r="AG1058">
        <f t="shared" si="101"/>
        <v>-6.6005809771353761E-6</v>
      </c>
      <c r="AK1058">
        <f t="shared" si="100"/>
        <v>1.3931483652325892E-8</v>
      </c>
    </row>
    <row r="1059" spans="1:37" x14ac:dyDescent="0.3">
      <c r="A1059" s="1">
        <v>45406</v>
      </c>
      <c r="B1059">
        <v>1.0697000000000001</v>
      </c>
      <c r="C1059">
        <v>1.2461</v>
      </c>
      <c r="D1059">
        <v>155.34</v>
      </c>
      <c r="G1059">
        <v>1.0697000000000001</v>
      </c>
      <c r="H1059">
        <f t="shared" si="97"/>
        <v>1.0699000000000001</v>
      </c>
      <c r="I1059">
        <f t="shared" si="97"/>
        <v>1.0653999999999999</v>
      </c>
      <c r="J1059">
        <f t="shared" si="97"/>
        <v>1.0653999999999999</v>
      </c>
      <c r="L1059">
        <f t="shared" si="96"/>
        <v>-1.9999999999997797E-4</v>
      </c>
      <c r="W1059">
        <f t="shared" si="98"/>
        <v>3.3587391809844352E-3</v>
      </c>
      <c r="X1059">
        <f t="shared" si="99"/>
        <v>-1.2916559028681369E-4</v>
      </c>
      <c r="Y1059">
        <f t="shared" si="99"/>
        <v>1.3580805794477654E-3</v>
      </c>
      <c r="Z1059">
        <f t="shared" si="99"/>
        <v>0</v>
      </c>
      <c r="AE1059">
        <f>W1059-mu-theta*AE1058</f>
        <v>3.0754046233259923E-3</v>
      </c>
      <c r="AF1059">
        <f t="shared" si="101"/>
        <v>-1.1803170613155557E-4</v>
      </c>
      <c r="AG1059">
        <f t="shared" si="101"/>
        <v>1.101648924860819E-3</v>
      </c>
      <c r="AK1059">
        <f t="shared" si="100"/>
        <v>9.458113597174888E-6</v>
      </c>
    </row>
    <row r="1060" spans="1:37" x14ac:dyDescent="0.3">
      <c r="A1060" s="1">
        <v>45407</v>
      </c>
      <c r="B1060">
        <v>1.0729</v>
      </c>
      <c r="C1060">
        <v>1.2513000000000001</v>
      </c>
      <c r="D1060">
        <v>155.65</v>
      </c>
      <c r="G1060">
        <v>1.0729</v>
      </c>
      <c r="H1060">
        <f t="shared" si="97"/>
        <v>1.0697000000000001</v>
      </c>
      <c r="I1060">
        <f t="shared" si="97"/>
        <v>1.0699000000000001</v>
      </c>
      <c r="J1060">
        <f t="shared" si="97"/>
        <v>1.0653999999999999</v>
      </c>
      <c r="L1060">
        <f t="shared" si="96"/>
        <v>3.1999999999998696E-3</v>
      </c>
      <c r="W1060">
        <f t="shared" si="98"/>
        <v>1.9956225054718829E-3</v>
      </c>
      <c r="X1060">
        <f t="shared" si="99"/>
        <v>3.3587391809844352E-3</v>
      </c>
      <c r="Y1060">
        <f t="shared" si="99"/>
        <v>-1.2916559028681369E-4</v>
      </c>
      <c r="Z1060">
        <f t="shared" si="99"/>
        <v>1.3580805794477654E-3</v>
      </c>
      <c r="AE1060">
        <f>W1060-mu-theta*AE1059</f>
        <v>2.4832817605146503E-3</v>
      </c>
      <c r="AF1060">
        <f t="shared" si="101"/>
        <v>3.0754046233259923E-3</v>
      </c>
      <c r="AG1060">
        <f t="shared" si="101"/>
        <v>-1.1803170613155557E-4</v>
      </c>
      <c r="AK1060">
        <f t="shared" si="100"/>
        <v>6.1666883021047414E-6</v>
      </c>
    </row>
    <row r="1061" spans="1:37" x14ac:dyDescent="0.3">
      <c r="A1061" s="1">
        <v>45408</v>
      </c>
      <c r="B1061">
        <v>1.0691999999999999</v>
      </c>
      <c r="C1061">
        <v>1.2488999999999999</v>
      </c>
      <c r="D1061">
        <v>158.33000000000001</v>
      </c>
      <c r="G1061">
        <v>1.0691999999999999</v>
      </c>
      <c r="H1061">
        <f t="shared" si="97"/>
        <v>1.0729</v>
      </c>
      <c r="I1061">
        <f t="shared" si="97"/>
        <v>1.0697000000000001</v>
      </c>
      <c r="J1061">
        <f t="shared" si="97"/>
        <v>1.0699000000000001</v>
      </c>
      <c r="L1061">
        <f t="shared" si="96"/>
        <v>-3.7000000000000366E-3</v>
      </c>
      <c r="W1061">
        <f t="shared" si="98"/>
        <v>1.7218117571474505E-2</v>
      </c>
      <c r="X1061">
        <f t="shared" si="99"/>
        <v>1.9956225054718829E-3</v>
      </c>
      <c r="Y1061">
        <f t="shared" si="99"/>
        <v>3.3587391809844352E-3</v>
      </c>
      <c r="Z1061">
        <f t="shared" si="99"/>
        <v>-1.2916559028681369E-4</v>
      </c>
      <c r="AE1061">
        <f>W1061-mu-theta*AE1060</f>
        <v>1.7562820143969596E-2</v>
      </c>
      <c r="AF1061">
        <f t="shared" si="101"/>
        <v>2.4832817605146503E-3</v>
      </c>
      <c r="AG1061">
        <f t="shared" si="101"/>
        <v>3.0754046233259923E-3</v>
      </c>
      <c r="AK1061">
        <f t="shared" si="100"/>
        <v>3.0845265140942425E-4</v>
      </c>
    </row>
    <row r="1062" spans="1:37" x14ac:dyDescent="0.3">
      <c r="A1062" s="1">
        <v>45411</v>
      </c>
      <c r="B1062">
        <v>1.0719000000000001</v>
      </c>
      <c r="C1062">
        <v>1.2561</v>
      </c>
      <c r="D1062">
        <v>156.33000000000001</v>
      </c>
      <c r="G1062">
        <v>1.0719000000000001</v>
      </c>
      <c r="H1062">
        <f t="shared" si="97"/>
        <v>1.0691999999999999</v>
      </c>
      <c r="I1062">
        <f t="shared" si="97"/>
        <v>1.0729</v>
      </c>
      <c r="J1062">
        <f t="shared" si="97"/>
        <v>1.0697000000000001</v>
      </c>
      <c r="L1062">
        <f t="shared" si="96"/>
        <v>2.7000000000001467E-3</v>
      </c>
      <c r="W1062">
        <f t="shared" si="98"/>
        <v>-1.263184488094486E-2</v>
      </c>
      <c r="X1062">
        <f t="shared" si="99"/>
        <v>1.7218117571474505E-2</v>
      </c>
      <c r="Y1062">
        <f t="shared" si="99"/>
        <v>1.9956225054718829E-3</v>
      </c>
      <c r="Z1062">
        <f t="shared" si="99"/>
        <v>3.3587391809844352E-3</v>
      </c>
      <c r="AE1062">
        <f>W1062-mu-theta*AE1061</f>
        <v>-8.6464776473794587E-3</v>
      </c>
      <c r="AF1062">
        <f t="shared" si="101"/>
        <v>1.7562820143969596E-2</v>
      </c>
      <c r="AG1062">
        <f t="shared" si="101"/>
        <v>2.4832817605146503E-3</v>
      </c>
      <c r="AK1062">
        <f t="shared" si="100"/>
        <v>7.4761575706632619E-5</v>
      </c>
    </row>
    <row r="1063" spans="1:37" x14ac:dyDescent="0.3">
      <c r="A1063" s="1">
        <v>45412</v>
      </c>
      <c r="B1063">
        <v>1.0665</v>
      </c>
      <c r="C1063">
        <v>1.2490000000000001</v>
      </c>
      <c r="D1063">
        <v>157.80000000000001</v>
      </c>
      <c r="G1063">
        <v>1.0665</v>
      </c>
      <c r="H1063">
        <f t="shared" si="97"/>
        <v>1.0719000000000001</v>
      </c>
      <c r="I1063">
        <f t="shared" si="97"/>
        <v>1.0691999999999999</v>
      </c>
      <c r="J1063">
        <f t="shared" si="97"/>
        <v>1.0729</v>
      </c>
      <c r="L1063">
        <f t="shared" si="96"/>
        <v>-5.4000000000000714E-3</v>
      </c>
      <c r="W1063">
        <f t="shared" si="98"/>
        <v>9.4031855689886701E-3</v>
      </c>
      <c r="X1063">
        <f t="shared" si="99"/>
        <v>-1.263184488094486E-2</v>
      </c>
      <c r="Y1063">
        <f t="shared" si="99"/>
        <v>1.7218117571474505E-2</v>
      </c>
      <c r="Z1063">
        <f t="shared" si="99"/>
        <v>1.9956225054718829E-3</v>
      </c>
      <c r="AE1063">
        <f>W1063-mu-theta*AE1062</f>
        <v>7.0608216854579926E-3</v>
      </c>
      <c r="AF1063">
        <f t="shared" si="101"/>
        <v>-8.6464776473794587E-3</v>
      </c>
      <c r="AG1063">
        <f t="shared" si="101"/>
        <v>1.7562820143969596E-2</v>
      </c>
      <c r="AK1063">
        <f t="shared" si="100"/>
        <v>4.9855202873833844E-5</v>
      </c>
    </row>
    <row r="1064" spans="1:37" x14ac:dyDescent="0.3">
      <c r="A1064" s="1">
        <v>45413</v>
      </c>
      <c r="B1064">
        <v>1.0709</v>
      </c>
      <c r="C1064">
        <v>1.2524999999999999</v>
      </c>
      <c r="D1064">
        <v>154.47</v>
      </c>
      <c r="G1064">
        <v>1.0709</v>
      </c>
      <c r="H1064">
        <f t="shared" si="97"/>
        <v>1.0665</v>
      </c>
      <c r="I1064">
        <f t="shared" si="97"/>
        <v>1.0719000000000001</v>
      </c>
      <c r="J1064">
        <f t="shared" si="97"/>
        <v>1.0691999999999999</v>
      </c>
      <c r="L1064">
        <f t="shared" si="96"/>
        <v>4.3999999999999595E-3</v>
      </c>
      <c r="W1064">
        <f t="shared" si="98"/>
        <v>-2.1102661596958252E-2</v>
      </c>
      <c r="X1064">
        <f t="shared" si="99"/>
        <v>9.4031855689886701E-3</v>
      </c>
      <c r="Y1064">
        <f t="shared" si="99"/>
        <v>-1.263184488094486E-2</v>
      </c>
      <c r="Z1064">
        <f t="shared" si="99"/>
        <v>1.7218117571474505E-2</v>
      </c>
      <c r="AE1064">
        <f>W1064-mu-theta*AE1063</f>
        <v>-1.9652800005957358E-2</v>
      </c>
      <c r="AF1064">
        <f t="shared" si="101"/>
        <v>7.0608216854579926E-3</v>
      </c>
      <c r="AG1064">
        <f t="shared" si="101"/>
        <v>-8.6464776473794587E-3</v>
      </c>
      <c r="AK1064">
        <f t="shared" si="100"/>
        <v>3.8623254807415753E-4</v>
      </c>
    </row>
    <row r="1065" spans="1:37" x14ac:dyDescent="0.3">
      <c r="A1065" s="1">
        <v>45414</v>
      </c>
      <c r="B1065">
        <v>1.0725</v>
      </c>
      <c r="C1065">
        <v>1.2531000000000001</v>
      </c>
      <c r="D1065">
        <v>153.63</v>
      </c>
      <c r="G1065">
        <v>1.0725</v>
      </c>
      <c r="H1065">
        <f t="shared" si="97"/>
        <v>1.0709</v>
      </c>
      <c r="I1065">
        <f t="shared" si="97"/>
        <v>1.0665</v>
      </c>
      <c r="J1065">
        <f t="shared" si="97"/>
        <v>1.0719000000000001</v>
      </c>
      <c r="L1065">
        <f t="shared" si="96"/>
        <v>1.6000000000000458E-3</v>
      </c>
      <c r="W1065">
        <f t="shared" si="98"/>
        <v>-5.4379491163332903E-3</v>
      </c>
      <c r="X1065">
        <f t="shared" si="99"/>
        <v>-2.1102661596958252E-2</v>
      </c>
      <c r="Y1065">
        <f t="shared" si="99"/>
        <v>9.4031855689886701E-3</v>
      </c>
      <c r="Z1065">
        <f t="shared" si="99"/>
        <v>-1.263184488094486E-2</v>
      </c>
      <c r="AE1065">
        <f>W1065-mu-theta*AE1064</f>
        <v>-1.0437577953225349E-2</v>
      </c>
      <c r="AF1065">
        <f t="shared" si="101"/>
        <v>-1.9652800005957358E-2</v>
      </c>
      <c r="AG1065">
        <f t="shared" si="101"/>
        <v>7.0608216854579926E-3</v>
      </c>
      <c r="AK1065">
        <f t="shared" si="100"/>
        <v>1.0894303352965588E-4</v>
      </c>
    </row>
    <row r="1066" spans="1:37" x14ac:dyDescent="0.3">
      <c r="A1066" s="1">
        <v>45415</v>
      </c>
      <c r="B1066">
        <v>1.0758000000000001</v>
      </c>
      <c r="C1066">
        <v>1.2544</v>
      </c>
      <c r="D1066">
        <v>152.97999999999999</v>
      </c>
      <c r="G1066">
        <v>1.0758000000000001</v>
      </c>
      <c r="H1066">
        <f t="shared" si="97"/>
        <v>1.0725</v>
      </c>
      <c r="I1066">
        <f t="shared" si="97"/>
        <v>1.0709</v>
      </c>
      <c r="J1066">
        <f t="shared" si="97"/>
        <v>1.0665</v>
      </c>
      <c r="L1066">
        <f t="shared" si="96"/>
        <v>3.3000000000000806E-3</v>
      </c>
      <c r="W1066">
        <f t="shared" si="98"/>
        <v>-4.2309444769902081E-3</v>
      </c>
      <c r="X1066">
        <f t="shared" si="99"/>
        <v>-5.4379491163332903E-3</v>
      </c>
      <c r="Y1066">
        <f t="shared" si="99"/>
        <v>-2.1102661596958252E-2</v>
      </c>
      <c r="Z1066">
        <f t="shared" si="99"/>
        <v>9.4031855689886701E-3</v>
      </c>
      <c r="AE1066">
        <f>W1066-mu-theta*AE1065</f>
        <v>-7.0057350981377279E-3</v>
      </c>
      <c r="AF1066">
        <f t="shared" si="101"/>
        <v>-1.0437577953225349E-2</v>
      </c>
      <c r="AG1066">
        <f t="shared" si="101"/>
        <v>-1.9652800005957358E-2</v>
      </c>
      <c r="AK1066">
        <f t="shared" si="100"/>
        <v>4.9080324265278838E-5</v>
      </c>
    </row>
    <row r="1067" spans="1:37" x14ac:dyDescent="0.3">
      <c r="A1067" s="1">
        <v>45418</v>
      </c>
      <c r="B1067">
        <v>1.0768</v>
      </c>
      <c r="C1067">
        <v>1.2561</v>
      </c>
      <c r="D1067">
        <v>153.88</v>
      </c>
      <c r="G1067">
        <v>1.0768</v>
      </c>
      <c r="H1067">
        <f t="shared" si="97"/>
        <v>1.0758000000000001</v>
      </c>
      <c r="I1067">
        <f t="shared" si="97"/>
        <v>1.0725</v>
      </c>
      <c r="J1067">
        <f t="shared" si="97"/>
        <v>1.0709</v>
      </c>
      <c r="L1067">
        <f t="shared" si="96"/>
        <v>9.9999999999988987E-4</v>
      </c>
      <c r="W1067">
        <f t="shared" si="98"/>
        <v>5.8831219767290222E-3</v>
      </c>
      <c r="X1067">
        <f t="shared" si="99"/>
        <v>-4.2309444769902081E-3</v>
      </c>
      <c r="Y1067">
        <f t="shared" si="99"/>
        <v>-5.4379491163332903E-3</v>
      </c>
      <c r="Z1067">
        <f t="shared" si="99"/>
        <v>-2.1102661596958252E-2</v>
      </c>
      <c r="AE1067">
        <f>W1067-mu-theta*AE1066</f>
        <v>3.9368838408865292E-3</v>
      </c>
      <c r="AF1067">
        <f t="shared" si="101"/>
        <v>-7.0057350981377279E-3</v>
      </c>
      <c r="AG1067">
        <f t="shared" si="101"/>
        <v>-1.0437577953225349E-2</v>
      </c>
      <c r="AK1067">
        <f t="shared" si="100"/>
        <v>1.5499054376633471E-5</v>
      </c>
    </row>
    <row r="1068" spans="1:37" x14ac:dyDescent="0.3">
      <c r="A1068" s="1">
        <v>45419</v>
      </c>
      <c r="B1068">
        <v>1.0751999999999999</v>
      </c>
      <c r="C1068">
        <v>1.2504</v>
      </c>
      <c r="D1068">
        <v>154.69</v>
      </c>
      <c r="G1068">
        <v>1.0751999999999999</v>
      </c>
      <c r="H1068">
        <f t="shared" si="97"/>
        <v>1.0768</v>
      </c>
      <c r="I1068">
        <f t="shared" si="97"/>
        <v>1.0758000000000001</v>
      </c>
      <c r="J1068">
        <f t="shared" si="97"/>
        <v>1.0725</v>
      </c>
      <c r="L1068">
        <f t="shared" si="96"/>
        <v>-1.6000000000000458E-3</v>
      </c>
      <c r="W1068">
        <f t="shared" si="98"/>
        <v>5.2638419547699654E-3</v>
      </c>
      <c r="X1068">
        <f t="shared" si="99"/>
        <v>5.8831219767290222E-3</v>
      </c>
      <c r="Y1068">
        <f t="shared" si="99"/>
        <v>-4.2309444769902081E-3</v>
      </c>
      <c r="Z1068">
        <f t="shared" si="99"/>
        <v>-5.4379491163332903E-3</v>
      </c>
      <c r="AE1068">
        <f>W1068-mu-theta*AE1067</f>
        <v>5.959488806240771E-3</v>
      </c>
      <c r="AF1068">
        <f t="shared" si="101"/>
        <v>3.9368838408865292E-3</v>
      </c>
      <c r="AG1068">
        <f t="shared" si="101"/>
        <v>-7.0057350981377279E-3</v>
      </c>
      <c r="AK1068">
        <f t="shared" si="100"/>
        <v>3.5515506831709049E-5</v>
      </c>
    </row>
    <row r="1069" spans="1:37" x14ac:dyDescent="0.3">
      <c r="A1069" s="1">
        <v>45420</v>
      </c>
      <c r="B1069">
        <v>1.0745</v>
      </c>
      <c r="C1069">
        <v>1.2496</v>
      </c>
      <c r="D1069">
        <v>155.47999999999999</v>
      </c>
      <c r="G1069">
        <v>1.0745</v>
      </c>
      <c r="H1069">
        <f t="shared" si="97"/>
        <v>1.0751999999999999</v>
      </c>
      <c r="I1069">
        <f t="shared" si="97"/>
        <v>1.0768</v>
      </c>
      <c r="J1069">
        <f t="shared" si="97"/>
        <v>1.0758000000000001</v>
      </c>
      <c r="L1069">
        <f t="shared" si="96"/>
        <v>-6.9999999999992291E-4</v>
      </c>
      <c r="W1069">
        <f t="shared" si="98"/>
        <v>5.1069881698881121E-3</v>
      </c>
      <c r="X1069">
        <f t="shared" si="99"/>
        <v>5.2638419547699654E-3</v>
      </c>
      <c r="Y1069">
        <f t="shared" si="99"/>
        <v>5.8831219767290222E-3</v>
      </c>
      <c r="Z1069">
        <f t="shared" si="99"/>
        <v>-4.2309444769902081E-3</v>
      </c>
      <c r="AE1069">
        <f>W1069-mu-theta*AE1068</f>
        <v>6.2909541086825583E-3</v>
      </c>
      <c r="AF1069">
        <f t="shared" si="101"/>
        <v>5.959488806240771E-3</v>
      </c>
      <c r="AG1069">
        <f t="shared" si="101"/>
        <v>3.9368838408865292E-3</v>
      </c>
      <c r="AK1069">
        <f t="shared" si="100"/>
        <v>3.9576103597549961E-5</v>
      </c>
    </row>
    <row r="1070" spans="1:37" x14ac:dyDescent="0.3">
      <c r="A1070" s="1">
        <v>45421</v>
      </c>
      <c r="B1070">
        <v>1.0781000000000001</v>
      </c>
      <c r="C1070">
        <v>1.2522</v>
      </c>
      <c r="D1070">
        <v>155.46</v>
      </c>
      <c r="G1070">
        <v>1.0781000000000001</v>
      </c>
      <c r="H1070">
        <f t="shared" si="97"/>
        <v>1.0745</v>
      </c>
      <c r="I1070">
        <f t="shared" si="97"/>
        <v>1.0751999999999999</v>
      </c>
      <c r="J1070">
        <f t="shared" si="97"/>
        <v>1.0768</v>
      </c>
      <c r="L1070">
        <f t="shared" si="96"/>
        <v>3.6000000000000476E-3</v>
      </c>
      <c r="W1070">
        <f t="shared" si="98"/>
        <v>-1.2863390789800497E-4</v>
      </c>
      <c r="X1070">
        <f t="shared" si="99"/>
        <v>5.1069881698881121E-3</v>
      </c>
      <c r="Y1070">
        <f t="shared" si="99"/>
        <v>5.2638419547699654E-3</v>
      </c>
      <c r="Z1070">
        <f t="shared" si="99"/>
        <v>5.8831219767290222E-3</v>
      </c>
      <c r="AE1070">
        <f>W1070-mu-theta*AE1069</f>
        <v>1.1353579562453785E-3</v>
      </c>
      <c r="AF1070">
        <f t="shared" si="101"/>
        <v>6.2909541086825583E-3</v>
      </c>
      <c r="AG1070">
        <f t="shared" si="101"/>
        <v>5.959488806240771E-3</v>
      </c>
      <c r="AK1070">
        <f t="shared" si="100"/>
        <v>1.2890376888096828E-6</v>
      </c>
    </row>
    <row r="1071" spans="1:37" x14ac:dyDescent="0.3">
      <c r="A1071" s="1">
        <v>45422</v>
      </c>
      <c r="B1071">
        <v>1.0769</v>
      </c>
      <c r="C1071">
        <v>1.2521</v>
      </c>
      <c r="D1071">
        <v>155.72</v>
      </c>
      <c r="G1071">
        <v>1.0769</v>
      </c>
      <c r="H1071">
        <f t="shared" si="97"/>
        <v>1.0781000000000001</v>
      </c>
      <c r="I1071">
        <f t="shared" si="97"/>
        <v>1.0745</v>
      </c>
      <c r="J1071">
        <f t="shared" si="97"/>
        <v>1.0751999999999999</v>
      </c>
      <c r="L1071">
        <f t="shared" si="96"/>
        <v>-1.2000000000000899E-3</v>
      </c>
      <c r="W1071">
        <f t="shared" si="98"/>
        <v>1.6724559372185185E-3</v>
      </c>
      <c r="X1071">
        <f t="shared" si="99"/>
        <v>-1.2863390789800497E-4</v>
      </c>
      <c r="Y1071">
        <f t="shared" si="99"/>
        <v>5.1069881698881121E-3</v>
      </c>
      <c r="Z1071">
        <f t="shared" si="99"/>
        <v>5.2638419547699654E-3</v>
      </c>
      <c r="AE1071">
        <f>W1071-mu-theta*AE1070</f>
        <v>1.6917282189957705E-3</v>
      </c>
      <c r="AF1071">
        <f t="shared" si="101"/>
        <v>1.1353579562453785E-3</v>
      </c>
      <c r="AG1071">
        <f t="shared" si="101"/>
        <v>6.2909541086825583E-3</v>
      </c>
      <c r="AK1071">
        <f t="shared" si="100"/>
        <v>2.8619443669466015E-6</v>
      </c>
    </row>
    <row r="1072" spans="1:37" x14ac:dyDescent="0.3">
      <c r="A1072" s="1">
        <v>45425</v>
      </c>
      <c r="B1072">
        <v>1.0788</v>
      </c>
      <c r="C1072">
        <v>1.2558</v>
      </c>
      <c r="D1072">
        <v>156.19999999999999</v>
      </c>
      <c r="G1072">
        <v>1.0788</v>
      </c>
      <c r="H1072">
        <f t="shared" si="97"/>
        <v>1.0769</v>
      </c>
      <c r="I1072">
        <f t="shared" si="97"/>
        <v>1.0781000000000001</v>
      </c>
      <c r="J1072">
        <f t="shared" si="97"/>
        <v>1.0745</v>
      </c>
      <c r="L1072">
        <f t="shared" si="96"/>
        <v>1.9000000000000128E-3</v>
      </c>
      <c r="W1072">
        <f t="shared" si="98"/>
        <v>3.0824556896993948E-3</v>
      </c>
      <c r="X1072">
        <f t="shared" si="99"/>
        <v>1.6724559372185185E-3</v>
      </c>
      <c r="Y1072">
        <f t="shared" si="99"/>
        <v>-1.2863390789800497E-4</v>
      </c>
      <c r="Z1072">
        <f t="shared" si="99"/>
        <v>5.1069881698881121E-3</v>
      </c>
      <c r="AE1072">
        <f>W1072-mu-theta*AE1071</f>
        <v>3.2360528760299696E-3</v>
      </c>
      <c r="AF1072">
        <f t="shared" si="101"/>
        <v>1.6917282189957705E-3</v>
      </c>
      <c r="AG1072">
        <f t="shared" si="101"/>
        <v>1.1353579562453785E-3</v>
      </c>
      <c r="AK1072">
        <f t="shared" si="100"/>
        <v>1.0472038216461838E-5</v>
      </c>
    </row>
    <row r="1073" spans="1:37" x14ac:dyDescent="0.3">
      <c r="A1073" s="1">
        <v>45426</v>
      </c>
      <c r="B1073">
        <v>1.0818000000000001</v>
      </c>
      <c r="C1073">
        <v>1.2587999999999999</v>
      </c>
      <c r="D1073">
        <v>156.41999999999999</v>
      </c>
      <c r="G1073">
        <v>1.0818000000000001</v>
      </c>
      <c r="H1073">
        <f t="shared" si="97"/>
        <v>1.0788</v>
      </c>
      <c r="I1073">
        <f t="shared" si="97"/>
        <v>1.0769</v>
      </c>
      <c r="J1073">
        <f t="shared" si="97"/>
        <v>1.0781000000000001</v>
      </c>
      <c r="L1073">
        <f t="shared" si="96"/>
        <v>3.0000000000001137E-3</v>
      </c>
      <c r="W1073">
        <f t="shared" si="98"/>
        <v>1.408450704225345E-3</v>
      </c>
      <c r="X1073">
        <f t="shared" si="99"/>
        <v>3.0824556896993948E-3</v>
      </c>
      <c r="Y1073">
        <f t="shared" si="99"/>
        <v>1.6724559372185185E-3</v>
      </c>
      <c r="Z1073">
        <f t="shared" si="99"/>
        <v>-1.2863390789800497E-4</v>
      </c>
      <c r="AE1073">
        <f>W1073-mu-theta*AE1072</f>
        <v>1.934895391660643E-3</v>
      </c>
      <c r="AF1073">
        <f t="shared" si="101"/>
        <v>3.2360528760299696E-3</v>
      </c>
      <c r="AG1073">
        <f t="shared" si="101"/>
        <v>1.6917282189957705E-3</v>
      </c>
      <c r="AK1073">
        <f t="shared" si="100"/>
        <v>3.7438201766695931E-6</v>
      </c>
    </row>
    <row r="1074" spans="1:37" x14ac:dyDescent="0.3">
      <c r="A1074" s="1">
        <v>45427</v>
      </c>
      <c r="B1074">
        <v>1.0882000000000001</v>
      </c>
      <c r="C1074">
        <v>1.2685</v>
      </c>
      <c r="D1074">
        <v>154.87</v>
      </c>
      <c r="G1074">
        <v>1.0882000000000001</v>
      </c>
      <c r="H1074">
        <f t="shared" si="97"/>
        <v>1.0818000000000001</v>
      </c>
      <c r="I1074">
        <f t="shared" si="97"/>
        <v>1.0788</v>
      </c>
      <c r="J1074">
        <f t="shared" si="97"/>
        <v>1.0769</v>
      </c>
      <c r="L1074">
        <f t="shared" si="96"/>
        <v>6.3999999999999613E-3</v>
      </c>
      <c r="W1074">
        <f t="shared" si="98"/>
        <v>-9.909218769978155E-3</v>
      </c>
      <c r="X1074">
        <f t="shared" si="99"/>
        <v>1.408450704225345E-3</v>
      </c>
      <c r="Y1074">
        <f t="shared" si="99"/>
        <v>3.0824556896993948E-3</v>
      </c>
      <c r="Z1074">
        <f t="shared" si="99"/>
        <v>1.6724559372185185E-3</v>
      </c>
      <c r="AE1074">
        <f>W1074-mu-theta*AE1073</f>
        <v>-9.6969135443335432E-3</v>
      </c>
      <c r="AF1074">
        <f t="shared" si="101"/>
        <v>1.934895391660643E-3</v>
      </c>
      <c r="AG1074">
        <f t="shared" si="101"/>
        <v>3.2360528760299696E-3</v>
      </c>
      <c r="AK1074">
        <f t="shared" si="100"/>
        <v>9.4030132286279322E-5</v>
      </c>
    </row>
    <row r="1075" spans="1:37" x14ac:dyDescent="0.3">
      <c r="A1075" s="1">
        <v>45428</v>
      </c>
      <c r="B1075">
        <v>1.0865</v>
      </c>
      <c r="C1075">
        <v>1.2665999999999999</v>
      </c>
      <c r="D1075">
        <v>155.38</v>
      </c>
      <c r="G1075">
        <v>1.0865</v>
      </c>
      <c r="H1075">
        <f t="shared" si="97"/>
        <v>1.0882000000000001</v>
      </c>
      <c r="I1075">
        <f t="shared" si="97"/>
        <v>1.0818000000000001</v>
      </c>
      <c r="J1075">
        <f t="shared" si="97"/>
        <v>1.0788</v>
      </c>
      <c r="L1075">
        <f t="shared" si="96"/>
        <v>-1.7000000000000348E-3</v>
      </c>
      <c r="W1075">
        <f t="shared" si="98"/>
        <v>3.2930845225026856E-3</v>
      </c>
      <c r="X1075">
        <f t="shared" si="99"/>
        <v>-9.909218769978155E-3</v>
      </c>
      <c r="Y1075">
        <f t="shared" si="99"/>
        <v>1.408450704225345E-3</v>
      </c>
      <c r="Z1075">
        <f t="shared" si="99"/>
        <v>3.0824556896993948E-3</v>
      </c>
      <c r="AE1075">
        <f>W1075-mu-theta*AE1074</f>
        <v>6.9711308471448593E-4</v>
      </c>
      <c r="AF1075">
        <f t="shared" si="101"/>
        <v>-9.6969135443335432E-3</v>
      </c>
      <c r="AG1075">
        <f t="shared" si="101"/>
        <v>1.934895391660643E-3</v>
      </c>
      <c r="AK1075">
        <f t="shared" si="100"/>
        <v>4.8596665288014604E-7</v>
      </c>
    </row>
    <row r="1076" spans="1:37" x14ac:dyDescent="0.3">
      <c r="A1076" s="1">
        <v>45429</v>
      </c>
      <c r="B1076">
        <v>1.087</v>
      </c>
      <c r="C1076">
        <v>1.2699</v>
      </c>
      <c r="D1076">
        <v>155.65</v>
      </c>
      <c r="G1076">
        <v>1.087</v>
      </c>
      <c r="H1076">
        <f t="shared" si="97"/>
        <v>1.0865</v>
      </c>
      <c r="I1076">
        <f t="shared" si="97"/>
        <v>1.0882000000000001</v>
      </c>
      <c r="J1076">
        <f t="shared" si="97"/>
        <v>1.0818000000000001</v>
      </c>
      <c r="L1076">
        <f t="shared" si="96"/>
        <v>4.9999999999994493E-4</v>
      </c>
      <c r="W1076">
        <f t="shared" si="98"/>
        <v>1.7376753764963976E-3</v>
      </c>
      <c r="X1076">
        <f t="shared" si="99"/>
        <v>3.2930845225026856E-3</v>
      </c>
      <c r="Y1076">
        <f t="shared" si="99"/>
        <v>-9.909218769978155E-3</v>
      </c>
      <c r="Z1076">
        <f t="shared" si="99"/>
        <v>1.408450704225345E-3</v>
      </c>
      <c r="AE1076">
        <f>W1076-mu-theta*AE1075</f>
        <v>1.6511418586459647E-3</v>
      </c>
      <c r="AF1076">
        <f t="shared" si="101"/>
        <v>6.9711308471448593E-4</v>
      </c>
      <c r="AG1076">
        <f t="shared" si="101"/>
        <v>-9.6969135443335432E-3</v>
      </c>
      <c r="AK1076">
        <f t="shared" si="100"/>
        <v>2.7262694373728508E-6</v>
      </c>
    </row>
    <row r="1077" spans="1:37" x14ac:dyDescent="0.3">
      <c r="A1077" s="1">
        <v>45432</v>
      </c>
      <c r="B1077">
        <v>1.0854999999999999</v>
      </c>
      <c r="C1077">
        <v>1.2704</v>
      </c>
      <c r="D1077">
        <v>156.24</v>
      </c>
      <c r="G1077">
        <v>1.0854999999999999</v>
      </c>
      <c r="H1077">
        <f t="shared" si="97"/>
        <v>1.087</v>
      </c>
      <c r="I1077">
        <f t="shared" si="97"/>
        <v>1.0865</v>
      </c>
      <c r="J1077">
        <f t="shared" si="97"/>
        <v>1.0882000000000001</v>
      </c>
      <c r="L1077">
        <f t="shared" si="96"/>
        <v>-1.5000000000000568E-3</v>
      </c>
      <c r="W1077">
        <f t="shared" si="98"/>
        <v>3.7905557340186533E-3</v>
      </c>
      <c r="X1077">
        <f t="shared" si="99"/>
        <v>1.7376753764963976E-3</v>
      </c>
      <c r="Y1077">
        <f t="shared" si="99"/>
        <v>3.2930845225026856E-3</v>
      </c>
      <c r="Z1077">
        <f t="shared" si="99"/>
        <v>-9.909218769978155E-3</v>
      </c>
      <c r="AE1077">
        <f>W1077-mu-theta*AE1076</f>
        <v>3.9343541238549586E-3</v>
      </c>
      <c r="AF1077">
        <f t="shared" si="101"/>
        <v>1.6511418586459647E-3</v>
      </c>
      <c r="AG1077">
        <f t="shared" si="101"/>
        <v>6.9711308471448593E-4</v>
      </c>
      <c r="AK1077">
        <f t="shared" si="100"/>
        <v>1.5479142371894519E-5</v>
      </c>
    </row>
    <row r="1078" spans="1:37" x14ac:dyDescent="0.3">
      <c r="A1078" s="1">
        <v>45433</v>
      </c>
      <c r="B1078">
        <v>1.0853999999999999</v>
      </c>
      <c r="C1078">
        <v>1.2706999999999999</v>
      </c>
      <c r="D1078">
        <v>156.15</v>
      </c>
      <c r="G1078">
        <v>1.0853999999999999</v>
      </c>
      <c r="H1078">
        <f t="shared" si="97"/>
        <v>1.0854999999999999</v>
      </c>
      <c r="I1078">
        <f t="shared" si="97"/>
        <v>1.087</v>
      </c>
      <c r="J1078">
        <f t="shared" si="97"/>
        <v>1.0865</v>
      </c>
      <c r="L1078">
        <f t="shared" si="96"/>
        <v>-9.9999999999988987E-5</v>
      </c>
      <c r="W1078">
        <f t="shared" si="98"/>
        <v>-5.760368663594688E-4</v>
      </c>
      <c r="X1078">
        <f t="shared" si="99"/>
        <v>3.7905557340186533E-3</v>
      </c>
      <c r="Y1078">
        <f t="shared" si="99"/>
        <v>1.7376753764963976E-3</v>
      </c>
      <c r="Z1078">
        <f t="shared" si="99"/>
        <v>3.2930845225026856E-3</v>
      </c>
      <c r="AE1078">
        <f>W1078-mu-theta*AE1077</f>
        <v>1.1899923356409802E-4</v>
      </c>
      <c r="AF1078">
        <f t="shared" si="101"/>
        <v>3.9343541238549586E-3</v>
      </c>
      <c r="AG1078">
        <f t="shared" si="101"/>
        <v>1.6511418586459647E-3</v>
      </c>
      <c r="AK1078">
        <f t="shared" si="100"/>
        <v>1.4160817588842755E-8</v>
      </c>
    </row>
    <row r="1079" spans="1:37" x14ac:dyDescent="0.3">
      <c r="A1079" s="1">
        <v>45434</v>
      </c>
      <c r="B1079">
        <v>1.0821000000000001</v>
      </c>
      <c r="C1079">
        <v>1.2715000000000001</v>
      </c>
      <c r="D1079">
        <v>156.77000000000001</v>
      </c>
      <c r="G1079">
        <v>1.0821000000000001</v>
      </c>
      <c r="H1079">
        <f t="shared" si="97"/>
        <v>1.0853999999999999</v>
      </c>
      <c r="I1079">
        <f t="shared" si="97"/>
        <v>1.0854999999999999</v>
      </c>
      <c r="J1079">
        <f t="shared" si="97"/>
        <v>1.087</v>
      </c>
      <c r="L1079">
        <f t="shared" si="96"/>
        <v>-3.2999999999998586E-3</v>
      </c>
      <c r="W1079">
        <f t="shared" si="98"/>
        <v>3.9705411463336823E-3</v>
      </c>
      <c r="X1079">
        <f t="shared" si="99"/>
        <v>-5.760368663594688E-4</v>
      </c>
      <c r="Y1079">
        <f t="shared" si="99"/>
        <v>3.7905557340186533E-3</v>
      </c>
      <c r="Z1079">
        <f t="shared" si="99"/>
        <v>1.7376753764963976E-3</v>
      </c>
      <c r="AE1079">
        <f>W1079-mu-theta*AE1078</f>
        <v>3.7444331524987759E-3</v>
      </c>
      <c r="AF1079">
        <f t="shared" si="101"/>
        <v>1.1899923356409802E-4</v>
      </c>
      <c r="AG1079">
        <f t="shared" si="101"/>
        <v>3.9343541238549586E-3</v>
      </c>
      <c r="AK1079">
        <f t="shared" si="100"/>
        <v>1.402077963353192E-5</v>
      </c>
    </row>
    <row r="1080" spans="1:37" x14ac:dyDescent="0.3">
      <c r="A1080" s="1">
        <v>45435</v>
      </c>
      <c r="B1080">
        <v>1.0812999999999999</v>
      </c>
      <c r="C1080">
        <v>1.2697000000000001</v>
      </c>
      <c r="D1080">
        <v>156.93</v>
      </c>
      <c r="G1080">
        <v>1.0812999999999999</v>
      </c>
      <c r="H1080">
        <f t="shared" si="97"/>
        <v>1.0821000000000001</v>
      </c>
      <c r="I1080">
        <f t="shared" si="97"/>
        <v>1.0853999999999999</v>
      </c>
      <c r="J1080">
        <f t="shared" si="97"/>
        <v>1.0854999999999999</v>
      </c>
      <c r="L1080">
        <f t="shared" si="96"/>
        <v>-8.0000000000013394E-4</v>
      </c>
      <c r="W1080">
        <f t="shared" si="98"/>
        <v>1.0206034317790176E-3</v>
      </c>
      <c r="X1080">
        <f t="shared" si="99"/>
        <v>3.9705411463336823E-3</v>
      </c>
      <c r="Y1080">
        <f t="shared" si="99"/>
        <v>-5.760368663594688E-4</v>
      </c>
      <c r="Z1080">
        <f t="shared" si="99"/>
        <v>3.7905557340186533E-3</v>
      </c>
      <c r="AE1080">
        <f>W1080-mu-theta*AE1079</f>
        <v>1.669786764115797E-3</v>
      </c>
      <c r="AF1080">
        <f t="shared" si="101"/>
        <v>3.7444331524987759E-3</v>
      </c>
      <c r="AG1080">
        <f t="shared" si="101"/>
        <v>1.1899923356409802E-4</v>
      </c>
      <c r="AK1080">
        <f t="shared" si="100"/>
        <v>2.7881878376163042E-6</v>
      </c>
    </row>
    <row r="1081" spans="1:37" x14ac:dyDescent="0.3">
      <c r="A1081" s="1">
        <v>45436</v>
      </c>
      <c r="B1081">
        <v>1.0845</v>
      </c>
      <c r="C1081">
        <v>1.274</v>
      </c>
      <c r="D1081">
        <v>156.99</v>
      </c>
      <c r="G1081">
        <v>1.0845</v>
      </c>
      <c r="H1081">
        <f t="shared" si="97"/>
        <v>1.0812999999999999</v>
      </c>
      <c r="I1081">
        <f t="shared" si="97"/>
        <v>1.0821000000000001</v>
      </c>
      <c r="J1081">
        <f t="shared" si="97"/>
        <v>1.0853999999999999</v>
      </c>
      <c r="L1081">
        <f t="shared" si="96"/>
        <v>3.2000000000000917E-3</v>
      </c>
      <c r="W1081">
        <f t="shared" si="98"/>
        <v>3.8233607340854058E-4</v>
      </c>
      <c r="X1081">
        <f t="shared" si="99"/>
        <v>1.0206034317790176E-3</v>
      </c>
      <c r="Y1081">
        <f t="shared" si="99"/>
        <v>3.9705411463336823E-3</v>
      </c>
      <c r="Z1081">
        <f t="shared" si="99"/>
        <v>-5.760368663594688E-4</v>
      </c>
      <c r="AE1081">
        <f>W1081-mu-theta*AE1080</f>
        <v>5.3063591725006204E-4</v>
      </c>
      <c r="AF1081">
        <f t="shared" si="101"/>
        <v>1.669786764115797E-3</v>
      </c>
      <c r="AG1081">
        <f t="shared" si="101"/>
        <v>3.7444331524987759E-3</v>
      </c>
      <c r="AK1081">
        <f t="shared" si="100"/>
        <v>2.815744766758147E-7</v>
      </c>
    </row>
    <row r="1082" spans="1:37" x14ac:dyDescent="0.3">
      <c r="A1082" s="1">
        <v>45439</v>
      </c>
      <c r="B1082">
        <v>1.0858000000000001</v>
      </c>
      <c r="C1082">
        <v>1.2766999999999999</v>
      </c>
      <c r="D1082">
        <v>156.86000000000001</v>
      </c>
      <c r="G1082">
        <v>1.0858000000000001</v>
      </c>
      <c r="H1082">
        <f t="shared" si="97"/>
        <v>1.0845</v>
      </c>
      <c r="I1082">
        <f t="shared" si="97"/>
        <v>1.0812999999999999</v>
      </c>
      <c r="J1082">
        <f t="shared" si="97"/>
        <v>1.0821000000000001</v>
      </c>
      <c r="L1082">
        <f t="shared" si="96"/>
        <v>1.3000000000000789E-3</v>
      </c>
      <c r="W1082">
        <f t="shared" si="98"/>
        <v>-8.2807822154274443E-4</v>
      </c>
      <c r="X1082">
        <f t="shared" si="99"/>
        <v>3.8233607340854058E-4</v>
      </c>
      <c r="Y1082">
        <f t="shared" si="99"/>
        <v>1.0206034317790176E-3</v>
      </c>
      <c r="Z1082">
        <f t="shared" si="99"/>
        <v>3.9705411463336823E-3</v>
      </c>
      <c r="AE1082">
        <f>W1082-mu-theta*AE1081</f>
        <v>-9.5480445120243269E-4</v>
      </c>
      <c r="AF1082">
        <f t="shared" si="101"/>
        <v>5.3063591725006204E-4</v>
      </c>
      <c r="AG1082">
        <f t="shared" si="101"/>
        <v>1.669786764115797E-3</v>
      </c>
      <c r="AK1082">
        <f t="shared" si="100"/>
        <v>9.1165154003597864E-7</v>
      </c>
    </row>
    <row r="1083" spans="1:37" x14ac:dyDescent="0.3">
      <c r="A1083" s="1">
        <v>45440</v>
      </c>
      <c r="B1083">
        <v>1.0854999999999999</v>
      </c>
      <c r="C1083">
        <v>1.276</v>
      </c>
      <c r="D1083">
        <v>157.16</v>
      </c>
      <c r="G1083">
        <v>1.0854999999999999</v>
      </c>
      <c r="H1083">
        <f t="shared" si="97"/>
        <v>1.0858000000000001</v>
      </c>
      <c r="I1083">
        <f t="shared" si="97"/>
        <v>1.0845</v>
      </c>
      <c r="J1083">
        <f t="shared" si="97"/>
        <v>1.0812999999999999</v>
      </c>
      <c r="L1083">
        <f t="shared" si="96"/>
        <v>-3.00000000000189E-4</v>
      </c>
      <c r="W1083">
        <f t="shared" si="98"/>
        <v>1.9125334693356046E-3</v>
      </c>
      <c r="X1083">
        <f t="shared" si="99"/>
        <v>-8.2807822154274443E-4</v>
      </c>
      <c r="Y1083">
        <f t="shared" si="99"/>
        <v>3.8233607340854058E-4</v>
      </c>
      <c r="Z1083">
        <f t="shared" si="99"/>
        <v>1.0206034317790176E-3</v>
      </c>
      <c r="AE1083">
        <f>W1083-mu-theta*AE1082</f>
        <v>1.4271762180866994E-3</v>
      </c>
      <c r="AF1083">
        <f t="shared" si="101"/>
        <v>-9.5480445120243269E-4</v>
      </c>
      <c r="AG1083">
        <f t="shared" si="101"/>
        <v>5.3063591725006204E-4</v>
      </c>
      <c r="AK1083">
        <f t="shared" si="100"/>
        <v>2.0368319574722542E-6</v>
      </c>
    </row>
    <row r="1084" spans="1:37" x14ac:dyDescent="0.3">
      <c r="A1084" s="1">
        <v>45441</v>
      </c>
      <c r="B1084">
        <v>1.08</v>
      </c>
      <c r="C1084">
        <v>1.2706999999999999</v>
      </c>
      <c r="D1084">
        <v>157.6</v>
      </c>
      <c r="G1084">
        <v>1.08</v>
      </c>
      <c r="H1084">
        <f t="shared" si="97"/>
        <v>1.0854999999999999</v>
      </c>
      <c r="I1084">
        <f t="shared" si="97"/>
        <v>1.0858000000000001</v>
      </c>
      <c r="J1084">
        <f t="shared" si="97"/>
        <v>1.0845</v>
      </c>
      <c r="L1084">
        <f t="shared" si="96"/>
        <v>-5.4999999999998384E-3</v>
      </c>
      <c r="W1084">
        <f t="shared" si="98"/>
        <v>2.7996945787732105E-3</v>
      </c>
      <c r="X1084">
        <f t="shared" si="99"/>
        <v>1.9125334693356046E-3</v>
      </c>
      <c r="Y1084">
        <f t="shared" si="99"/>
        <v>-8.2807822154274443E-4</v>
      </c>
      <c r="Z1084">
        <f t="shared" si="99"/>
        <v>3.8233607340854058E-4</v>
      </c>
      <c r="AE1084">
        <f>W1084-mu-theta*AE1083</f>
        <v>2.8894207701015877E-3</v>
      </c>
      <c r="AF1084">
        <f t="shared" si="101"/>
        <v>1.4271762180866994E-3</v>
      </c>
      <c r="AG1084">
        <f t="shared" si="101"/>
        <v>-9.5480445120243269E-4</v>
      </c>
      <c r="AK1084">
        <f t="shared" si="100"/>
        <v>8.348752386694453E-6</v>
      </c>
    </row>
    <row r="1085" spans="1:37" x14ac:dyDescent="0.3">
      <c r="A1085" s="1">
        <v>45442</v>
      </c>
      <c r="B1085">
        <v>1.0831999999999999</v>
      </c>
      <c r="C1085">
        <v>1.2729999999999999</v>
      </c>
      <c r="D1085">
        <v>156.81</v>
      </c>
      <c r="G1085">
        <v>1.0831999999999999</v>
      </c>
      <c r="H1085">
        <f t="shared" si="97"/>
        <v>1.08</v>
      </c>
      <c r="I1085">
        <f t="shared" si="97"/>
        <v>1.0854999999999999</v>
      </c>
      <c r="J1085">
        <f t="shared" si="97"/>
        <v>1.0858000000000001</v>
      </c>
      <c r="L1085">
        <f t="shared" si="96"/>
        <v>3.1999999999998696E-3</v>
      </c>
      <c r="W1085">
        <f t="shared" si="98"/>
        <v>-5.0126903553298985E-3</v>
      </c>
      <c r="X1085">
        <f t="shared" si="99"/>
        <v>2.7996945787732105E-3</v>
      </c>
      <c r="Y1085">
        <f t="shared" si="99"/>
        <v>1.9125334693356046E-3</v>
      </c>
      <c r="Z1085">
        <f t="shared" si="99"/>
        <v>-8.2807822154274443E-4</v>
      </c>
      <c r="AE1085">
        <f>W1085-mu-theta*AE1084</f>
        <v>-4.5699333263862201E-3</v>
      </c>
      <c r="AF1085">
        <f t="shared" si="101"/>
        <v>2.8894207701015877E-3</v>
      </c>
      <c r="AG1085">
        <f t="shared" si="101"/>
        <v>1.4271762180866994E-3</v>
      </c>
      <c r="AK1085">
        <f t="shared" si="100"/>
        <v>2.0884290607615424E-5</v>
      </c>
    </row>
    <row r="1086" spans="1:37" x14ac:dyDescent="0.3">
      <c r="A1086" s="1">
        <v>45443</v>
      </c>
      <c r="B1086">
        <v>1.0841000000000001</v>
      </c>
      <c r="C1086">
        <v>1.2739</v>
      </c>
      <c r="D1086">
        <v>157.31</v>
      </c>
      <c r="G1086">
        <v>1.0841000000000001</v>
      </c>
      <c r="H1086">
        <f t="shared" si="97"/>
        <v>1.0831999999999999</v>
      </c>
      <c r="I1086">
        <f t="shared" si="97"/>
        <v>1.08</v>
      </c>
      <c r="J1086">
        <f t="shared" si="97"/>
        <v>1.0854999999999999</v>
      </c>
      <c r="L1086">
        <f t="shared" si="96"/>
        <v>9.0000000000012292E-4</v>
      </c>
      <c r="W1086">
        <f t="shared" si="98"/>
        <v>3.1885721573879215E-3</v>
      </c>
      <c r="X1086">
        <f t="shared" si="99"/>
        <v>-5.0126903553298985E-3</v>
      </c>
      <c r="Y1086">
        <f t="shared" si="99"/>
        <v>2.7996945787732105E-3</v>
      </c>
      <c r="Z1086">
        <f t="shared" si="99"/>
        <v>1.9125334693356046E-3</v>
      </c>
      <c r="AE1086">
        <f>W1086-mu-theta*AE1085</f>
        <v>1.8304115346819002E-3</v>
      </c>
      <c r="AF1086">
        <f t="shared" si="101"/>
        <v>-4.5699333263862201E-3</v>
      </c>
      <c r="AG1086">
        <f t="shared" si="101"/>
        <v>2.8894207701015877E-3</v>
      </c>
      <c r="AK1086">
        <f t="shared" si="100"/>
        <v>3.350406386296549E-6</v>
      </c>
    </row>
    <row r="1087" spans="1:37" x14ac:dyDescent="0.3">
      <c r="A1087" s="1">
        <v>45446</v>
      </c>
      <c r="B1087">
        <v>1.0902000000000001</v>
      </c>
      <c r="C1087">
        <v>1.2804</v>
      </c>
      <c r="D1087">
        <v>156.1</v>
      </c>
      <c r="G1087">
        <v>1.0902000000000001</v>
      </c>
      <c r="H1087">
        <f t="shared" si="97"/>
        <v>1.0841000000000001</v>
      </c>
      <c r="I1087">
        <f t="shared" si="97"/>
        <v>1.0831999999999999</v>
      </c>
      <c r="J1087">
        <f t="shared" si="97"/>
        <v>1.08</v>
      </c>
      <c r="L1087">
        <f t="shared" si="96"/>
        <v>6.0999999999999943E-3</v>
      </c>
      <c r="W1087">
        <f t="shared" si="98"/>
        <v>-7.6918187019261834E-3</v>
      </c>
      <c r="X1087">
        <f t="shared" si="99"/>
        <v>3.1885721573879215E-3</v>
      </c>
      <c r="Y1087">
        <f t="shared" si="99"/>
        <v>-5.0126903553298985E-3</v>
      </c>
      <c r="Z1087">
        <f t="shared" si="99"/>
        <v>2.7996945787732105E-3</v>
      </c>
      <c r="AE1087">
        <f>W1087-mu-theta*AE1086</f>
        <v>-7.5047390950029108E-3</v>
      </c>
      <c r="AF1087">
        <f t="shared" si="101"/>
        <v>1.8304115346819002E-3</v>
      </c>
      <c r="AG1087">
        <f t="shared" si="101"/>
        <v>-4.5699333263862201E-3</v>
      </c>
      <c r="AK1087">
        <f t="shared" si="100"/>
        <v>5.6321108884065106E-5</v>
      </c>
    </row>
    <row r="1088" spans="1:37" x14ac:dyDescent="0.3">
      <c r="A1088" s="1">
        <v>45447</v>
      </c>
      <c r="B1088">
        <v>1.0878000000000001</v>
      </c>
      <c r="C1088">
        <v>1.2763</v>
      </c>
      <c r="D1088">
        <v>154.87</v>
      </c>
      <c r="G1088">
        <v>1.0878000000000001</v>
      </c>
      <c r="H1088">
        <f t="shared" si="97"/>
        <v>1.0902000000000001</v>
      </c>
      <c r="I1088">
        <f t="shared" si="97"/>
        <v>1.0841000000000001</v>
      </c>
      <c r="J1088">
        <f t="shared" si="97"/>
        <v>1.0831999999999999</v>
      </c>
      <c r="L1088">
        <f t="shared" si="96"/>
        <v>-2.3999999999999577E-3</v>
      </c>
      <c r="W1088">
        <f t="shared" si="98"/>
        <v>-7.8795643818064687E-3</v>
      </c>
      <c r="X1088">
        <f t="shared" si="99"/>
        <v>-7.6918187019261834E-3</v>
      </c>
      <c r="Y1088">
        <f t="shared" si="99"/>
        <v>3.1885721573879215E-3</v>
      </c>
      <c r="Z1088">
        <f t="shared" si="99"/>
        <v>-5.0126903553298985E-3</v>
      </c>
      <c r="AE1088">
        <f>W1088-mu-theta*AE1087</f>
        <v>-9.9462774400851262E-3</v>
      </c>
      <c r="AF1088">
        <f t="shared" si="101"/>
        <v>-7.5047390950029108E-3</v>
      </c>
      <c r="AG1088">
        <f t="shared" si="101"/>
        <v>1.8304115346819002E-3</v>
      </c>
      <c r="AK1088">
        <f t="shared" si="100"/>
        <v>9.8928434915146335E-5</v>
      </c>
    </row>
    <row r="1089" spans="1:37" x14ac:dyDescent="0.3">
      <c r="A1089" s="1">
        <v>45448</v>
      </c>
      <c r="B1089">
        <v>1.0868</v>
      </c>
      <c r="C1089">
        <v>1.2785</v>
      </c>
      <c r="D1089">
        <v>156.1</v>
      </c>
      <c r="G1089">
        <v>1.0868</v>
      </c>
      <c r="H1089">
        <f t="shared" si="97"/>
        <v>1.0878000000000001</v>
      </c>
      <c r="I1089">
        <f t="shared" si="97"/>
        <v>1.0902000000000001</v>
      </c>
      <c r="J1089">
        <f t="shared" si="97"/>
        <v>1.0841000000000001</v>
      </c>
      <c r="L1089">
        <f t="shared" si="96"/>
        <v>-1.0000000000001119E-3</v>
      </c>
      <c r="W1089">
        <f t="shared" si="98"/>
        <v>7.9421450248594941E-3</v>
      </c>
      <c r="X1089">
        <f t="shared" si="99"/>
        <v>-7.8795643818064687E-3</v>
      </c>
      <c r="Y1089">
        <f t="shared" si="99"/>
        <v>-7.6918187019261834E-3</v>
      </c>
      <c r="Z1089">
        <f t="shared" si="99"/>
        <v>3.1885721573879215E-3</v>
      </c>
      <c r="AE1089">
        <f>W1089-mu-theta*AE1088</f>
        <v>5.2859694680907239E-3</v>
      </c>
      <c r="AF1089">
        <f t="shared" si="101"/>
        <v>-9.9462774400851262E-3</v>
      </c>
      <c r="AG1089">
        <f t="shared" si="101"/>
        <v>-7.5047390950029108E-3</v>
      </c>
      <c r="AK1089">
        <f t="shared" si="100"/>
        <v>2.7941473217587331E-5</v>
      </c>
    </row>
    <row r="1090" spans="1:37" x14ac:dyDescent="0.3">
      <c r="A1090" s="1">
        <v>45449</v>
      </c>
      <c r="B1090">
        <v>1.0888</v>
      </c>
      <c r="C1090">
        <v>1.2787999999999999</v>
      </c>
      <c r="D1090">
        <v>155.6</v>
      </c>
      <c r="G1090">
        <v>1.0888</v>
      </c>
      <c r="H1090">
        <f t="shared" si="97"/>
        <v>1.0868</v>
      </c>
      <c r="I1090">
        <f t="shared" si="97"/>
        <v>1.0878000000000001</v>
      </c>
      <c r="J1090">
        <f t="shared" si="97"/>
        <v>1.0902000000000001</v>
      </c>
      <c r="L1090">
        <f t="shared" si="96"/>
        <v>2.0000000000000018E-3</v>
      </c>
      <c r="W1090">
        <f t="shared" si="98"/>
        <v>-3.2030749519538757E-3</v>
      </c>
      <c r="X1090">
        <f t="shared" si="99"/>
        <v>7.9421450248594941E-3</v>
      </c>
      <c r="Y1090">
        <f t="shared" si="99"/>
        <v>-7.8795643818064687E-3</v>
      </c>
      <c r="Z1090">
        <f t="shared" si="99"/>
        <v>-7.6918187019261834E-3</v>
      </c>
      <c r="AE1090">
        <f>W1090-mu-theta*AE1089</f>
        <v>-2.1817173099519032E-3</v>
      </c>
      <c r="AF1090">
        <f t="shared" si="101"/>
        <v>5.2859694680907239E-3</v>
      </c>
      <c r="AG1090">
        <f t="shared" si="101"/>
        <v>-9.9462774400851262E-3</v>
      </c>
      <c r="AK1090">
        <f t="shared" si="100"/>
        <v>4.7598904205437692E-6</v>
      </c>
    </row>
    <row r="1091" spans="1:37" x14ac:dyDescent="0.3">
      <c r="A1091" s="1">
        <v>45450</v>
      </c>
      <c r="B1091">
        <v>1.08</v>
      </c>
      <c r="C1091">
        <v>1.2721</v>
      </c>
      <c r="D1091">
        <v>156.69999999999999</v>
      </c>
      <c r="G1091">
        <v>1.08</v>
      </c>
      <c r="H1091">
        <f t="shared" si="97"/>
        <v>1.0888</v>
      </c>
      <c r="I1091">
        <f t="shared" si="97"/>
        <v>1.0868</v>
      </c>
      <c r="J1091">
        <f t="shared" si="97"/>
        <v>1.0878000000000001</v>
      </c>
      <c r="L1091">
        <f t="shared" si="96"/>
        <v>-8.799999999999919E-3</v>
      </c>
      <c r="W1091">
        <f t="shared" si="98"/>
        <v>7.0694087403598612E-3</v>
      </c>
      <c r="X1091">
        <f t="shared" si="99"/>
        <v>-3.2030749519538757E-3</v>
      </c>
      <c r="Y1091">
        <f t="shared" si="99"/>
        <v>7.9421450248594941E-3</v>
      </c>
      <c r="Z1091">
        <f t="shared" si="99"/>
        <v>-7.8795643818064687E-3</v>
      </c>
      <c r="AE1091">
        <f>W1091-mu-theta*AE1090</f>
        <v>6.2878369649340864E-3</v>
      </c>
      <c r="AF1091">
        <f t="shared" si="101"/>
        <v>-2.1817173099519032E-3</v>
      </c>
      <c r="AG1091">
        <f t="shared" si="101"/>
        <v>5.2859694680907239E-3</v>
      </c>
      <c r="AK1091">
        <f t="shared" si="100"/>
        <v>3.9536893697591505E-5</v>
      </c>
    </row>
    <row r="1092" spans="1:37" x14ac:dyDescent="0.3">
      <c r="A1092" s="1">
        <v>45453</v>
      </c>
      <c r="B1092">
        <v>1.0763</v>
      </c>
      <c r="C1092">
        <v>1.2729999999999999</v>
      </c>
      <c r="D1092">
        <v>157.02000000000001</v>
      </c>
      <c r="G1092">
        <v>1.0763</v>
      </c>
      <c r="H1092">
        <f t="shared" si="97"/>
        <v>1.08</v>
      </c>
      <c r="I1092">
        <f t="shared" si="97"/>
        <v>1.0888</v>
      </c>
      <c r="J1092">
        <f t="shared" si="97"/>
        <v>1.0868</v>
      </c>
      <c r="L1092">
        <f t="shared" si="96"/>
        <v>-3.7000000000000366E-3</v>
      </c>
      <c r="W1092">
        <f t="shared" si="98"/>
        <v>2.0421186981494678E-3</v>
      </c>
      <c r="X1092">
        <f t="shared" si="99"/>
        <v>7.0694087403598612E-3</v>
      </c>
      <c r="Y1092">
        <f t="shared" si="99"/>
        <v>-3.2030749519538757E-3</v>
      </c>
      <c r="Z1092">
        <f t="shared" si="99"/>
        <v>7.9421450248594941E-3</v>
      </c>
      <c r="AE1092">
        <f>W1092-mu-theta*AE1091</f>
        <v>3.305357987857218E-3</v>
      </c>
      <c r="AF1092">
        <f t="shared" si="101"/>
        <v>6.2878369649340864E-3</v>
      </c>
      <c r="AG1092">
        <f t="shared" si="101"/>
        <v>-2.1817173099519032E-3</v>
      </c>
      <c r="AK1092">
        <f t="shared" si="100"/>
        <v>1.0925391427891517E-5</v>
      </c>
    </row>
    <row r="1093" spans="1:37" x14ac:dyDescent="0.3">
      <c r="A1093" s="1">
        <v>45454</v>
      </c>
      <c r="B1093">
        <v>1.0739000000000001</v>
      </c>
      <c r="C1093">
        <v>1.274</v>
      </c>
      <c r="D1093">
        <v>157.07</v>
      </c>
      <c r="G1093">
        <v>1.0739000000000001</v>
      </c>
      <c r="H1093">
        <f t="shared" si="97"/>
        <v>1.0763</v>
      </c>
      <c r="I1093">
        <f t="shared" si="97"/>
        <v>1.08</v>
      </c>
      <c r="J1093">
        <f t="shared" si="97"/>
        <v>1.0888</v>
      </c>
      <c r="L1093">
        <f t="shared" si="96"/>
        <v>-2.3999999999999577E-3</v>
      </c>
      <c r="W1093">
        <f t="shared" si="98"/>
        <v>3.1843077314980858E-4</v>
      </c>
      <c r="X1093">
        <f t="shared" si="99"/>
        <v>2.0421186981494678E-3</v>
      </c>
      <c r="Y1093">
        <f t="shared" si="99"/>
        <v>7.0694087403598612E-3</v>
      </c>
      <c r="Z1093">
        <f t="shared" si="99"/>
        <v>-3.2030749519538757E-3</v>
      </c>
      <c r="AE1093">
        <f>W1093-mu-theta*AE1092</f>
        <v>8.6160784754847858E-4</v>
      </c>
      <c r="AF1093">
        <f t="shared" si="101"/>
        <v>3.305357987857218E-3</v>
      </c>
      <c r="AG1093">
        <f t="shared" si="101"/>
        <v>6.2878369649340864E-3</v>
      </c>
      <c r="AK1093">
        <f t="shared" si="100"/>
        <v>7.4236808295712227E-7</v>
      </c>
    </row>
    <row r="1094" spans="1:37" x14ac:dyDescent="0.3">
      <c r="A1094" s="1">
        <v>45455</v>
      </c>
      <c r="B1094">
        <v>1.0807</v>
      </c>
      <c r="C1094">
        <v>1.2796000000000001</v>
      </c>
      <c r="D1094">
        <v>156.71</v>
      </c>
      <c r="G1094">
        <v>1.0807</v>
      </c>
      <c r="H1094">
        <f t="shared" si="97"/>
        <v>1.0739000000000001</v>
      </c>
      <c r="I1094">
        <f t="shared" si="97"/>
        <v>1.0763</v>
      </c>
      <c r="J1094">
        <f t="shared" si="97"/>
        <v>1.08</v>
      </c>
      <c r="L1094">
        <f t="shared" ref="L1094:L1157" si="102">G1094-H1094</f>
        <v>6.7999999999999172E-3</v>
      </c>
      <c r="W1094">
        <f t="shared" si="98"/>
        <v>-2.2919717323485402E-3</v>
      </c>
      <c r="X1094">
        <f t="shared" si="99"/>
        <v>3.1843077314980858E-4</v>
      </c>
      <c r="Y1094">
        <f t="shared" si="99"/>
        <v>2.0421186981494678E-3</v>
      </c>
      <c r="Z1094">
        <f t="shared" si="99"/>
        <v>7.0694087403598612E-3</v>
      </c>
      <c r="AE1094">
        <f>W1094-mu-theta*AE1093</f>
        <v>-2.3387911518789654E-3</v>
      </c>
      <c r="AF1094">
        <f t="shared" si="101"/>
        <v>8.6160784754847858E-4</v>
      </c>
      <c r="AG1094">
        <f t="shared" si="101"/>
        <v>3.305357987857218E-3</v>
      </c>
      <c r="AK1094">
        <f t="shared" si="100"/>
        <v>5.4699440521073378E-6</v>
      </c>
    </row>
    <row r="1095" spans="1:37" x14ac:dyDescent="0.3">
      <c r="A1095" s="1">
        <v>45456</v>
      </c>
      <c r="B1095">
        <v>1.0734999999999999</v>
      </c>
      <c r="C1095">
        <v>1.2759</v>
      </c>
      <c r="D1095">
        <v>157.02000000000001</v>
      </c>
      <c r="G1095">
        <v>1.0734999999999999</v>
      </c>
      <c r="H1095">
        <f t="shared" ref="H1095:J1158" si="103">G1094</f>
        <v>1.0807</v>
      </c>
      <c r="I1095">
        <f t="shared" si="103"/>
        <v>1.0739000000000001</v>
      </c>
      <c r="J1095">
        <f t="shared" si="103"/>
        <v>1.0763</v>
      </c>
      <c r="L1095">
        <f t="shared" si="102"/>
        <v>-7.2000000000000952E-3</v>
      </c>
      <c r="W1095">
        <f t="shared" ref="W1095:W1158" si="104">(D1095-D1094)/D1094</f>
        <v>1.9781762491225974E-3</v>
      </c>
      <c r="X1095">
        <f t="shared" si="99"/>
        <v>-2.2919717323485402E-3</v>
      </c>
      <c r="Y1095">
        <f t="shared" si="99"/>
        <v>3.1843077314980858E-4</v>
      </c>
      <c r="Z1095">
        <f t="shared" si="99"/>
        <v>2.0421186981494678E-3</v>
      </c>
      <c r="AE1095">
        <f>W1095-mu-theta*AE1094</f>
        <v>1.158682014073667E-3</v>
      </c>
      <c r="AF1095">
        <f t="shared" si="101"/>
        <v>-2.3387911518789654E-3</v>
      </c>
      <c r="AG1095">
        <f t="shared" si="101"/>
        <v>8.6160784754847858E-4</v>
      </c>
      <c r="AK1095">
        <f t="shared" si="100"/>
        <v>1.3425440097378095E-6</v>
      </c>
    </row>
    <row r="1096" spans="1:37" x14ac:dyDescent="0.3">
      <c r="A1096" s="1">
        <v>45457</v>
      </c>
      <c r="B1096">
        <v>1.07</v>
      </c>
      <c r="C1096">
        <v>1.2682</v>
      </c>
      <c r="D1096">
        <v>157.37</v>
      </c>
      <c r="G1096">
        <v>1.07</v>
      </c>
      <c r="H1096">
        <f t="shared" si="103"/>
        <v>1.0734999999999999</v>
      </c>
      <c r="I1096">
        <f t="shared" si="103"/>
        <v>1.0807</v>
      </c>
      <c r="J1096">
        <f t="shared" si="103"/>
        <v>1.0739000000000001</v>
      </c>
      <c r="L1096">
        <f t="shared" si="102"/>
        <v>-3.4999999999998366E-3</v>
      </c>
      <c r="W1096">
        <f t="shared" si="104"/>
        <v>2.2290154120493842E-3</v>
      </c>
      <c r="X1096">
        <f t="shared" ref="X1096:Z1159" si="105">W1095</f>
        <v>1.9781762491225974E-3</v>
      </c>
      <c r="Y1096">
        <f t="shared" si="105"/>
        <v>-2.2919717323485402E-3</v>
      </c>
      <c r="Z1096">
        <f t="shared" si="105"/>
        <v>3.1843077314980858E-4</v>
      </c>
      <c r="AE1096">
        <f>W1096-mu-theta*AE1095</f>
        <v>2.2539188392190824E-3</v>
      </c>
      <c r="AF1096">
        <f t="shared" si="101"/>
        <v>1.158682014073667E-3</v>
      </c>
      <c r="AG1096">
        <f t="shared" si="101"/>
        <v>-2.3387911518789654E-3</v>
      </c>
      <c r="AK1096">
        <f t="shared" ref="AK1096:AK1159" si="106">POWER(AE1096,2)</f>
        <v>5.0801501337866958E-6</v>
      </c>
    </row>
    <row r="1097" spans="1:37" x14ac:dyDescent="0.3">
      <c r="A1097" s="1">
        <v>45460</v>
      </c>
      <c r="B1097">
        <v>1.0733999999999999</v>
      </c>
      <c r="C1097">
        <v>1.2703</v>
      </c>
      <c r="D1097">
        <v>157.71</v>
      </c>
      <c r="G1097">
        <v>1.0733999999999999</v>
      </c>
      <c r="H1097">
        <f t="shared" si="103"/>
        <v>1.07</v>
      </c>
      <c r="I1097">
        <f t="shared" si="103"/>
        <v>1.0734999999999999</v>
      </c>
      <c r="J1097">
        <f t="shared" si="103"/>
        <v>1.0807</v>
      </c>
      <c r="L1097">
        <f t="shared" si="102"/>
        <v>3.3999999999998476E-3</v>
      </c>
      <c r="W1097">
        <f t="shared" si="104"/>
        <v>2.1605134396645064E-3</v>
      </c>
      <c r="X1097">
        <f t="shared" si="105"/>
        <v>2.2290154120493842E-3</v>
      </c>
      <c r="Y1097">
        <f t="shared" si="105"/>
        <v>1.9781762491225974E-3</v>
      </c>
      <c r="Z1097">
        <f t="shared" si="105"/>
        <v>-2.2919717323485402E-3</v>
      </c>
      <c r="AE1097">
        <f>W1097-mu-theta*AE1096</f>
        <v>2.4498407439725567E-3</v>
      </c>
      <c r="AF1097">
        <f t="shared" ref="AF1097:AG1160" si="107">AE1096</f>
        <v>2.2539188392190824E-3</v>
      </c>
      <c r="AG1097">
        <f t="shared" si="107"/>
        <v>1.158682014073667E-3</v>
      </c>
      <c r="AK1097">
        <f t="shared" si="106"/>
        <v>6.0017196708280103E-6</v>
      </c>
    </row>
    <row r="1098" spans="1:37" x14ac:dyDescent="0.3">
      <c r="A1098" s="1">
        <v>45461</v>
      </c>
      <c r="B1098">
        <v>1.0738000000000001</v>
      </c>
      <c r="C1098">
        <v>1.2706999999999999</v>
      </c>
      <c r="D1098">
        <v>157.85</v>
      </c>
      <c r="G1098">
        <v>1.0738000000000001</v>
      </c>
      <c r="H1098">
        <f t="shared" si="103"/>
        <v>1.0733999999999999</v>
      </c>
      <c r="I1098">
        <f t="shared" si="103"/>
        <v>1.07</v>
      </c>
      <c r="J1098">
        <f t="shared" si="103"/>
        <v>1.0734999999999999</v>
      </c>
      <c r="L1098">
        <f t="shared" si="102"/>
        <v>4.0000000000017799E-4</v>
      </c>
      <c r="W1098">
        <f t="shared" si="104"/>
        <v>8.8770528184634045E-4</v>
      </c>
      <c r="X1098">
        <f t="shared" si="105"/>
        <v>2.1605134396645064E-3</v>
      </c>
      <c r="Y1098">
        <f t="shared" si="105"/>
        <v>2.2290154120493842E-3</v>
      </c>
      <c r="Z1098">
        <f t="shared" si="105"/>
        <v>1.9781762491225974E-3</v>
      </c>
      <c r="AE1098">
        <f>W1098-mu-theta*AE1097</f>
        <v>1.2243341637509677E-3</v>
      </c>
      <c r="AF1098">
        <f t="shared" si="107"/>
        <v>2.4498407439725567E-3</v>
      </c>
      <c r="AG1098">
        <f t="shared" si="107"/>
        <v>2.2539188392190824E-3</v>
      </c>
      <c r="AK1098">
        <f t="shared" si="106"/>
        <v>1.4989941445277815E-6</v>
      </c>
    </row>
    <row r="1099" spans="1:37" x14ac:dyDescent="0.3">
      <c r="A1099" s="1">
        <v>45462</v>
      </c>
      <c r="B1099">
        <v>1.0742</v>
      </c>
      <c r="C1099">
        <v>1.2717000000000001</v>
      </c>
      <c r="D1099">
        <v>158.08000000000001</v>
      </c>
      <c r="G1099">
        <v>1.0742</v>
      </c>
      <c r="H1099">
        <f t="shared" si="103"/>
        <v>1.0738000000000001</v>
      </c>
      <c r="I1099">
        <f t="shared" si="103"/>
        <v>1.0733999999999999</v>
      </c>
      <c r="J1099">
        <f t="shared" si="103"/>
        <v>1.07</v>
      </c>
      <c r="L1099">
        <f t="shared" si="102"/>
        <v>3.9999999999995595E-4</v>
      </c>
      <c r="W1099">
        <f t="shared" si="104"/>
        <v>1.457079505860109E-3</v>
      </c>
      <c r="X1099">
        <f t="shared" si="105"/>
        <v>8.8770528184634045E-4</v>
      </c>
      <c r="Y1099">
        <f t="shared" si="105"/>
        <v>2.1605134396645064E-3</v>
      </c>
      <c r="Z1099">
        <f t="shared" si="105"/>
        <v>2.2290154120493842E-3</v>
      </c>
      <c r="AE1099">
        <f>W1099-mu-theta*AE1098</f>
        <v>1.4978333825048187E-3</v>
      </c>
      <c r="AF1099">
        <f t="shared" si="107"/>
        <v>1.2243341637509677E-3</v>
      </c>
      <c r="AG1099">
        <f t="shared" si="107"/>
        <v>2.4498407439725567E-3</v>
      </c>
      <c r="AK1099">
        <f t="shared" si="106"/>
        <v>2.2435048417458264E-6</v>
      </c>
    </row>
    <row r="1100" spans="1:37" x14ac:dyDescent="0.3">
      <c r="A1100" s="1">
        <v>45463</v>
      </c>
      <c r="B1100">
        <v>1.07</v>
      </c>
      <c r="C1100">
        <v>1.2655000000000001</v>
      </c>
      <c r="D1100">
        <v>158.9</v>
      </c>
      <c r="G1100">
        <v>1.07</v>
      </c>
      <c r="H1100">
        <f t="shared" si="103"/>
        <v>1.0742</v>
      </c>
      <c r="I1100">
        <f t="shared" si="103"/>
        <v>1.0738000000000001</v>
      </c>
      <c r="J1100">
        <f t="shared" si="103"/>
        <v>1.0733999999999999</v>
      </c>
      <c r="L1100">
        <f t="shared" si="102"/>
        <v>-4.1999999999999815E-3</v>
      </c>
      <c r="W1100">
        <f t="shared" si="104"/>
        <v>5.1872469635627092E-3</v>
      </c>
      <c r="X1100">
        <f t="shared" si="105"/>
        <v>1.457079505860109E-3</v>
      </c>
      <c r="Y1100">
        <f t="shared" si="105"/>
        <v>8.8770528184634045E-4</v>
      </c>
      <c r="Z1100">
        <f t="shared" si="105"/>
        <v>2.1605134396645064E-3</v>
      </c>
      <c r="AE1100">
        <f>W1100-mu-theta*AE1099</f>
        <v>5.2940319689613316E-3</v>
      </c>
      <c r="AF1100">
        <f t="shared" si="107"/>
        <v>1.4978333825048187E-3</v>
      </c>
      <c r="AG1100">
        <f t="shared" si="107"/>
        <v>1.2243341637509677E-3</v>
      </c>
      <c r="AK1100">
        <f t="shared" si="106"/>
        <v>2.8026774488384594E-5</v>
      </c>
    </row>
    <row r="1101" spans="1:37" x14ac:dyDescent="0.3">
      <c r="A1101" s="1">
        <v>45464</v>
      </c>
      <c r="B1101">
        <v>1.0690999999999999</v>
      </c>
      <c r="C1101">
        <v>1.2645</v>
      </c>
      <c r="D1101">
        <v>159.79</v>
      </c>
      <c r="G1101">
        <v>1.0690999999999999</v>
      </c>
      <c r="H1101">
        <f t="shared" si="103"/>
        <v>1.07</v>
      </c>
      <c r="I1101">
        <f t="shared" si="103"/>
        <v>1.0742</v>
      </c>
      <c r="J1101">
        <f t="shared" si="103"/>
        <v>1.0738000000000001</v>
      </c>
      <c r="L1101">
        <f t="shared" si="102"/>
        <v>-9.0000000000012292E-4</v>
      </c>
      <c r="W1101">
        <f t="shared" si="104"/>
        <v>5.6010069225927396E-3</v>
      </c>
      <c r="X1101">
        <f t="shared" si="105"/>
        <v>5.1872469635627092E-3</v>
      </c>
      <c r="Y1101">
        <f t="shared" si="105"/>
        <v>1.457079505860109E-3</v>
      </c>
      <c r="Z1101">
        <f t="shared" si="105"/>
        <v>8.8770528184634045E-4</v>
      </c>
      <c r="AE1101">
        <f>W1101-mu-theta*AE1100</f>
        <v>6.6243111004403773E-3</v>
      </c>
      <c r="AF1101">
        <f t="shared" si="107"/>
        <v>5.2940319689613316E-3</v>
      </c>
      <c r="AG1101">
        <f t="shared" si="107"/>
        <v>1.4978333825048187E-3</v>
      </c>
      <c r="AK1101">
        <f t="shared" si="106"/>
        <v>4.3881497555417605E-5</v>
      </c>
    </row>
    <row r="1102" spans="1:37" x14ac:dyDescent="0.3">
      <c r="A1102" s="1">
        <v>45467</v>
      </c>
      <c r="B1102">
        <v>1.0731999999999999</v>
      </c>
      <c r="C1102">
        <v>1.2679</v>
      </c>
      <c r="D1102">
        <v>159.59</v>
      </c>
      <c r="G1102">
        <v>1.0731999999999999</v>
      </c>
      <c r="H1102">
        <f t="shared" si="103"/>
        <v>1.0690999999999999</v>
      </c>
      <c r="I1102">
        <f t="shared" si="103"/>
        <v>1.07</v>
      </c>
      <c r="J1102">
        <f t="shared" si="103"/>
        <v>1.0742</v>
      </c>
      <c r="L1102">
        <f t="shared" si="102"/>
        <v>4.0999999999999925E-3</v>
      </c>
      <c r="W1102">
        <f t="shared" si="104"/>
        <v>-1.2516427811501887E-3</v>
      </c>
      <c r="X1102">
        <f t="shared" si="105"/>
        <v>5.6010069225927396E-3</v>
      </c>
      <c r="Y1102">
        <f t="shared" si="105"/>
        <v>5.1872469635627092E-3</v>
      </c>
      <c r="Z1102">
        <f t="shared" si="105"/>
        <v>1.457079505860109E-3</v>
      </c>
      <c r="AE1102">
        <f>W1102-mu-theta*AE1101</f>
        <v>9.2831720362584287E-5</v>
      </c>
      <c r="AF1102">
        <f t="shared" si="107"/>
        <v>6.6243111004403773E-3</v>
      </c>
      <c r="AG1102">
        <f t="shared" si="107"/>
        <v>5.2940319689613316E-3</v>
      </c>
      <c r="AK1102">
        <f t="shared" si="106"/>
        <v>8.6177283054770466E-9</v>
      </c>
    </row>
    <row r="1103" spans="1:37" x14ac:dyDescent="0.3">
      <c r="A1103" s="1">
        <v>45468</v>
      </c>
      <c r="B1103">
        <v>1.0712999999999999</v>
      </c>
      <c r="C1103">
        <v>1.2683</v>
      </c>
      <c r="D1103">
        <v>159.69</v>
      </c>
      <c r="G1103">
        <v>1.0712999999999999</v>
      </c>
      <c r="H1103">
        <f t="shared" si="103"/>
        <v>1.0731999999999999</v>
      </c>
      <c r="I1103">
        <f t="shared" si="103"/>
        <v>1.0690999999999999</v>
      </c>
      <c r="J1103">
        <f t="shared" si="103"/>
        <v>1.07</v>
      </c>
      <c r="L1103">
        <f t="shared" si="102"/>
        <v>-1.9000000000000128E-3</v>
      </c>
      <c r="W1103">
        <f t="shared" si="104"/>
        <v>6.2660567704739842E-4</v>
      </c>
      <c r="X1103">
        <f t="shared" si="105"/>
        <v>-1.2516427811501887E-3</v>
      </c>
      <c r="Y1103">
        <f t="shared" si="105"/>
        <v>5.6010069225927396E-3</v>
      </c>
      <c r="Z1103">
        <f t="shared" si="105"/>
        <v>5.1872469635627092E-3</v>
      </c>
      <c r="AE1103">
        <f>W1103-mu-theta*AE1102</f>
        <v>3.9418004018136545E-4</v>
      </c>
      <c r="AF1103">
        <f t="shared" si="107"/>
        <v>9.2831720362584287E-5</v>
      </c>
      <c r="AG1103">
        <f t="shared" si="107"/>
        <v>6.6243111004403773E-3</v>
      </c>
      <c r="AK1103">
        <f t="shared" si="106"/>
        <v>1.5537790407738289E-7</v>
      </c>
    </row>
    <row r="1104" spans="1:37" x14ac:dyDescent="0.3">
      <c r="A1104" s="1">
        <v>45469</v>
      </c>
      <c r="B1104">
        <v>1.0679000000000001</v>
      </c>
      <c r="C1104">
        <v>1.262</v>
      </c>
      <c r="D1104">
        <v>160.79</v>
      </c>
      <c r="G1104">
        <v>1.0679000000000001</v>
      </c>
      <c r="H1104">
        <f t="shared" si="103"/>
        <v>1.0712999999999999</v>
      </c>
      <c r="I1104">
        <f t="shared" si="103"/>
        <v>1.0731999999999999</v>
      </c>
      <c r="J1104">
        <f t="shared" si="103"/>
        <v>1.0690999999999999</v>
      </c>
      <c r="L1104">
        <f t="shared" si="102"/>
        <v>-3.3999999999998476E-3</v>
      </c>
      <c r="W1104">
        <f t="shared" si="104"/>
        <v>6.8883461707057066E-3</v>
      </c>
      <c r="X1104">
        <f t="shared" si="105"/>
        <v>6.2660567704739842E-4</v>
      </c>
      <c r="Y1104">
        <f t="shared" si="105"/>
        <v>-1.2516427811501887E-3</v>
      </c>
      <c r="Z1104">
        <f t="shared" si="105"/>
        <v>5.6010069225927396E-3</v>
      </c>
      <c r="AE1104">
        <f>W1104-mu-theta*AE1103</f>
        <v>6.7286752926883188E-3</v>
      </c>
      <c r="AF1104">
        <f t="shared" si="107"/>
        <v>3.9418004018136545E-4</v>
      </c>
      <c r="AG1104">
        <f t="shared" si="107"/>
        <v>9.2831720362584287E-5</v>
      </c>
      <c r="AK1104">
        <f t="shared" si="106"/>
        <v>4.5275071194434235E-5</v>
      </c>
    </row>
    <row r="1105" spans="1:37" x14ac:dyDescent="0.3">
      <c r="A1105" s="1">
        <v>45470</v>
      </c>
      <c r="B1105">
        <v>1.0702</v>
      </c>
      <c r="C1105">
        <v>1.2638</v>
      </c>
      <c r="D1105">
        <v>160.74</v>
      </c>
      <c r="G1105">
        <v>1.0702</v>
      </c>
      <c r="H1105">
        <f t="shared" si="103"/>
        <v>1.0679000000000001</v>
      </c>
      <c r="I1105">
        <f t="shared" si="103"/>
        <v>1.0712999999999999</v>
      </c>
      <c r="J1105">
        <f t="shared" si="103"/>
        <v>1.0731999999999999</v>
      </c>
      <c r="L1105">
        <f t="shared" si="102"/>
        <v>2.2999999999999687E-3</v>
      </c>
      <c r="W1105">
        <f t="shared" si="104"/>
        <v>-3.109646122270225E-4</v>
      </c>
      <c r="X1105">
        <f t="shared" si="105"/>
        <v>6.8883461707057066E-3</v>
      </c>
      <c r="Y1105">
        <f t="shared" si="105"/>
        <v>6.2660567704739842E-4</v>
      </c>
      <c r="Z1105">
        <f t="shared" si="105"/>
        <v>-1.2516427811501887E-3</v>
      </c>
      <c r="AE1105">
        <f>W1105-mu-theta*AE1104</f>
        <v>1.0587066172582135E-3</v>
      </c>
      <c r="AF1105">
        <f t="shared" si="107"/>
        <v>6.7286752926883188E-3</v>
      </c>
      <c r="AG1105">
        <f t="shared" si="107"/>
        <v>3.9418004018136545E-4</v>
      </c>
      <c r="AK1105">
        <f t="shared" si="106"/>
        <v>1.1208597014263292E-6</v>
      </c>
    </row>
    <row r="1106" spans="1:37" x14ac:dyDescent="0.3">
      <c r="A1106" s="1">
        <v>45471</v>
      </c>
      <c r="B1106">
        <v>1.0712999999999999</v>
      </c>
      <c r="C1106">
        <v>1.2642</v>
      </c>
      <c r="D1106">
        <v>160.83000000000001</v>
      </c>
      <c r="G1106">
        <v>1.0712999999999999</v>
      </c>
      <c r="H1106">
        <f t="shared" si="103"/>
        <v>1.0702</v>
      </c>
      <c r="I1106">
        <f t="shared" si="103"/>
        <v>1.0679000000000001</v>
      </c>
      <c r="J1106">
        <f t="shared" si="103"/>
        <v>1.0712999999999999</v>
      </c>
      <c r="L1106">
        <f t="shared" si="102"/>
        <v>1.0999999999998789E-3</v>
      </c>
      <c r="W1106">
        <f t="shared" si="104"/>
        <v>5.5991041433372775E-4</v>
      </c>
      <c r="X1106">
        <f t="shared" si="105"/>
        <v>-3.109646122270225E-4</v>
      </c>
      <c r="Y1106">
        <f t="shared" si="105"/>
        <v>6.8883461707057066E-3</v>
      </c>
      <c r="Z1106">
        <f t="shared" si="105"/>
        <v>6.2660567704739842E-4</v>
      </c>
      <c r="AE1106">
        <f>W1106-mu-theta*AE1105</f>
        <v>5.6067670382009679E-4</v>
      </c>
      <c r="AF1106">
        <f t="shared" si="107"/>
        <v>1.0587066172582135E-3</v>
      </c>
      <c r="AG1106">
        <f t="shared" si="107"/>
        <v>6.7286752926883188E-3</v>
      </c>
      <c r="AK1106">
        <f t="shared" si="106"/>
        <v>3.1435836620656854E-7</v>
      </c>
    </row>
    <row r="1107" spans="1:37" x14ac:dyDescent="0.3">
      <c r="A1107" s="1">
        <v>45474</v>
      </c>
      <c r="B1107">
        <v>1.0738000000000001</v>
      </c>
      <c r="C1107">
        <v>1.2646999999999999</v>
      </c>
      <c r="D1107">
        <v>161.44999999999999</v>
      </c>
      <c r="G1107">
        <v>1.0738000000000001</v>
      </c>
      <c r="H1107">
        <f t="shared" si="103"/>
        <v>1.0712999999999999</v>
      </c>
      <c r="I1107">
        <f t="shared" si="103"/>
        <v>1.0702</v>
      </c>
      <c r="J1107">
        <f t="shared" si="103"/>
        <v>1.0679000000000001</v>
      </c>
      <c r="L1107">
        <f t="shared" si="102"/>
        <v>2.5000000000001688E-3</v>
      </c>
      <c r="W1107">
        <f t="shared" si="104"/>
        <v>3.8550021762107571E-3</v>
      </c>
      <c r="X1107">
        <f t="shared" si="105"/>
        <v>5.5991041433372775E-4</v>
      </c>
      <c r="Y1107">
        <f t="shared" si="105"/>
        <v>-3.109646122270225E-4</v>
      </c>
      <c r="Z1107">
        <f t="shared" si="105"/>
        <v>6.8883461707057066E-3</v>
      </c>
      <c r="AE1107">
        <f>W1107-mu-theta*AE1106</f>
        <v>3.7355287169791264E-3</v>
      </c>
      <c r="AF1107">
        <f t="shared" si="107"/>
        <v>5.6067670382009679E-4</v>
      </c>
      <c r="AG1107">
        <f t="shared" si="107"/>
        <v>1.0587066172582135E-3</v>
      </c>
      <c r="AK1107">
        <f t="shared" si="106"/>
        <v>1.3954174795375718E-5</v>
      </c>
    </row>
    <row r="1108" spans="1:37" x14ac:dyDescent="0.3">
      <c r="A1108" s="1">
        <v>45475</v>
      </c>
      <c r="B1108">
        <v>1.0744</v>
      </c>
      <c r="C1108">
        <v>1.2684</v>
      </c>
      <c r="D1108">
        <v>161.44</v>
      </c>
      <c r="G1108">
        <v>1.0744</v>
      </c>
      <c r="H1108">
        <f t="shared" si="103"/>
        <v>1.0738000000000001</v>
      </c>
      <c r="I1108">
        <f t="shared" si="103"/>
        <v>1.0712999999999999</v>
      </c>
      <c r="J1108">
        <f t="shared" si="103"/>
        <v>1.0702</v>
      </c>
      <c r="L1108">
        <f t="shared" si="102"/>
        <v>5.9999999999993392E-4</v>
      </c>
      <c r="W1108">
        <f t="shared" si="104"/>
        <v>-6.1938680706044634E-5</v>
      </c>
      <c r="X1108">
        <f t="shared" si="105"/>
        <v>3.8550021762107571E-3</v>
      </c>
      <c r="Y1108">
        <f t="shared" si="105"/>
        <v>5.5991041433372775E-4</v>
      </c>
      <c r="Z1108">
        <f t="shared" si="105"/>
        <v>-3.109646122270225E-4</v>
      </c>
      <c r="AE1108">
        <f>W1108-mu-theta*AE1107</f>
        <v>5.8509484684899585E-4</v>
      </c>
      <c r="AF1108">
        <f t="shared" si="107"/>
        <v>3.7355287169791264E-3</v>
      </c>
      <c r="AG1108">
        <f t="shared" si="107"/>
        <v>5.6067670382009679E-4</v>
      </c>
      <c r="AK1108">
        <f t="shared" si="106"/>
        <v>3.4233597980924994E-7</v>
      </c>
    </row>
    <row r="1109" spans="1:37" x14ac:dyDescent="0.3">
      <c r="A1109" s="1">
        <v>45476</v>
      </c>
      <c r="B1109">
        <v>1.0786</v>
      </c>
      <c r="C1109">
        <v>1.274</v>
      </c>
      <c r="D1109">
        <v>161.68</v>
      </c>
      <c r="G1109">
        <v>1.0786</v>
      </c>
      <c r="H1109">
        <f t="shared" si="103"/>
        <v>1.0744</v>
      </c>
      <c r="I1109">
        <f t="shared" si="103"/>
        <v>1.0738000000000001</v>
      </c>
      <c r="J1109">
        <f t="shared" si="103"/>
        <v>1.0712999999999999</v>
      </c>
      <c r="L1109">
        <f t="shared" si="102"/>
        <v>4.1999999999999815E-3</v>
      </c>
      <c r="W1109">
        <f t="shared" si="104"/>
        <v>1.4866204162537729E-3</v>
      </c>
      <c r="X1109">
        <f t="shared" si="105"/>
        <v>-6.1938680706044634E-5</v>
      </c>
      <c r="Y1109">
        <f t="shared" si="105"/>
        <v>3.8550021762107571E-3</v>
      </c>
      <c r="Z1109">
        <f t="shared" si="105"/>
        <v>5.5991041433372775E-4</v>
      </c>
      <c r="AE1109">
        <f>W1109-mu-theta*AE1108</f>
        <v>1.3730422482541211E-3</v>
      </c>
      <c r="AF1109">
        <f t="shared" si="107"/>
        <v>5.8509484684899585E-4</v>
      </c>
      <c r="AG1109">
        <f t="shared" si="107"/>
        <v>3.7355287169791264E-3</v>
      </c>
      <c r="AK1109">
        <f t="shared" si="106"/>
        <v>1.8852450154907316E-6</v>
      </c>
    </row>
    <row r="1110" spans="1:37" x14ac:dyDescent="0.3">
      <c r="A1110" s="1">
        <v>45477</v>
      </c>
      <c r="B1110">
        <v>1.081</v>
      </c>
      <c r="C1110">
        <v>1.2757000000000001</v>
      </c>
      <c r="D1110">
        <v>161.25</v>
      </c>
      <c r="G1110">
        <v>1.081</v>
      </c>
      <c r="H1110">
        <f t="shared" si="103"/>
        <v>1.0786</v>
      </c>
      <c r="I1110">
        <f t="shared" si="103"/>
        <v>1.0744</v>
      </c>
      <c r="J1110">
        <f t="shared" si="103"/>
        <v>1.0738000000000001</v>
      </c>
      <c r="L1110">
        <f t="shared" si="102"/>
        <v>2.3999999999999577E-3</v>
      </c>
      <c r="W1110">
        <f t="shared" si="104"/>
        <v>-2.6595744680851484E-3</v>
      </c>
      <c r="X1110">
        <f t="shared" si="105"/>
        <v>1.4866204162537729E-3</v>
      </c>
      <c r="Y1110">
        <f t="shared" si="105"/>
        <v>-6.1938680706044634E-5</v>
      </c>
      <c r="Z1110">
        <f t="shared" si="105"/>
        <v>3.8550021762107571E-3</v>
      </c>
      <c r="AE1110">
        <f>W1110-mu-theta*AE1109</f>
        <v>-2.5829178831280873E-3</v>
      </c>
      <c r="AF1110">
        <f t="shared" si="107"/>
        <v>1.3730422482541211E-3</v>
      </c>
      <c r="AG1110">
        <f t="shared" si="107"/>
        <v>5.8509484684899585E-4</v>
      </c>
      <c r="AK1110">
        <f t="shared" si="106"/>
        <v>6.6714647909828792E-6</v>
      </c>
    </row>
    <row r="1111" spans="1:37" x14ac:dyDescent="0.3">
      <c r="A1111" s="1">
        <v>45478</v>
      </c>
      <c r="B1111">
        <v>1.0835999999999999</v>
      </c>
      <c r="C1111">
        <v>1.2807999999999999</v>
      </c>
      <c r="D1111">
        <v>160.72</v>
      </c>
      <c r="G1111">
        <v>1.0835999999999999</v>
      </c>
      <c r="H1111">
        <f t="shared" si="103"/>
        <v>1.081</v>
      </c>
      <c r="I1111">
        <f t="shared" si="103"/>
        <v>1.0786</v>
      </c>
      <c r="J1111">
        <f t="shared" si="103"/>
        <v>1.0744</v>
      </c>
      <c r="L1111">
        <f t="shared" si="102"/>
        <v>2.5999999999999357E-3</v>
      </c>
      <c r="W1111">
        <f t="shared" si="104"/>
        <v>-3.2868217054263637E-3</v>
      </c>
      <c r="X1111">
        <f t="shared" si="105"/>
        <v>-2.6595744680851484E-3</v>
      </c>
      <c r="Y1111">
        <f t="shared" si="105"/>
        <v>1.4866204162537729E-3</v>
      </c>
      <c r="Z1111">
        <f t="shared" si="105"/>
        <v>-6.1938680706044634E-5</v>
      </c>
      <c r="AE1111">
        <f>W1111-mu-theta*AE1110</f>
        <v>-4.165255646763415E-3</v>
      </c>
      <c r="AF1111">
        <f t="shared" si="107"/>
        <v>-2.5829178831280873E-3</v>
      </c>
      <c r="AG1111">
        <f t="shared" si="107"/>
        <v>1.3730422482541211E-3</v>
      </c>
      <c r="AK1111">
        <f t="shared" si="106"/>
        <v>1.7349354602894516E-5</v>
      </c>
    </row>
    <row r="1112" spans="1:37" x14ac:dyDescent="0.3">
      <c r="A1112" s="1">
        <v>45481</v>
      </c>
      <c r="B1112">
        <v>1.0822000000000001</v>
      </c>
      <c r="C1112">
        <v>1.2804</v>
      </c>
      <c r="D1112">
        <v>160.81</v>
      </c>
      <c r="G1112">
        <v>1.0822000000000001</v>
      </c>
      <c r="H1112">
        <f t="shared" si="103"/>
        <v>1.0835999999999999</v>
      </c>
      <c r="I1112">
        <f t="shared" si="103"/>
        <v>1.081</v>
      </c>
      <c r="J1112">
        <f t="shared" si="103"/>
        <v>1.0786</v>
      </c>
      <c r="L1112">
        <f t="shared" si="102"/>
        <v>-1.3999999999998458E-3</v>
      </c>
      <c r="W1112">
        <f t="shared" si="104"/>
        <v>5.5998008959683555E-4</v>
      </c>
      <c r="X1112">
        <f t="shared" si="105"/>
        <v>-3.2868217054263637E-3</v>
      </c>
      <c r="Y1112">
        <f t="shared" si="105"/>
        <v>-2.6595744680851484E-3</v>
      </c>
      <c r="Z1112">
        <f t="shared" si="105"/>
        <v>1.4866204162537729E-3</v>
      </c>
      <c r="AE1112">
        <f>W1112-mu-theta*AE1111</f>
        <v>-7.004788866885527E-4</v>
      </c>
      <c r="AF1112">
        <f t="shared" si="107"/>
        <v>-4.165255646763415E-3</v>
      </c>
      <c r="AG1112">
        <f t="shared" si="107"/>
        <v>-2.5829178831280873E-3</v>
      </c>
      <c r="AK1112">
        <f t="shared" si="106"/>
        <v>4.9067067069643423E-7</v>
      </c>
    </row>
    <row r="1113" spans="1:37" x14ac:dyDescent="0.3">
      <c r="A1113" s="1">
        <v>45482</v>
      </c>
      <c r="B1113">
        <v>1.0811999999999999</v>
      </c>
      <c r="C1113">
        <v>1.2783</v>
      </c>
      <c r="D1113">
        <v>161.31</v>
      </c>
      <c r="G1113">
        <v>1.0811999999999999</v>
      </c>
      <c r="H1113">
        <f t="shared" si="103"/>
        <v>1.0822000000000001</v>
      </c>
      <c r="I1113">
        <f t="shared" si="103"/>
        <v>1.0835999999999999</v>
      </c>
      <c r="J1113">
        <f t="shared" si="103"/>
        <v>1.081</v>
      </c>
      <c r="L1113">
        <f t="shared" si="102"/>
        <v>-1.0000000000001119E-3</v>
      </c>
      <c r="W1113">
        <f t="shared" si="104"/>
        <v>3.109259374417014E-3</v>
      </c>
      <c r="X1113">
        <f t="shared" si="105"/>
        <v>5.5998008959683555E-4</v>
      </c>
      <c r="Y1113">
        <f t="shared" si="105"/>
        <v>-3.2868217054263637E-3</v>
      </c>
      <c r="Z1113">
        <f t="shared" si="105"/>
        <v>-2.6595744680851484E-3</v>
      </c>
      <c r="AE1113">
        <f>W1113-mu-theta*AE1112</f>
        <v>2.6853041416906608E-3</v>
      </c>
      <c r="AF1113">
        <f t="shared" si="107"/>
        <v>-7.004788866885527E-4</v>
      </c>
      <c r="AG1113">
        <f t="shared" si="107"/>
        <v>-4.165255646763415E-3</v>
      </c>
      <c r="AK1113">
        <f t="shared" si="106"/>
        <v>7.2108583333810168E-6</v>
      </c>
    </row>
    <row r="1114" spans="1:37" x14ac:dyDescent="0.3">
      <c r="A1114" s="1">
        <v>45483</v>
      </c>
      <c r="B1114">
        <v>1.083</v>
      </c>
      <c r="C1114">
        <v>1.2845</v>
      </c>
      <c r="D1114">
        <v>161.66999999999999</v>
      </c>
      <c r="G1114">
        <v>1.083</v>
      </c>
      <c r="H1114">
        <f t="shared" si="103"/>
        <v>1.0811999999999999</v>
      </c>
      <c r="I1114">
        <f t="shared" si="103"/>
        <v>1.0822000000000001</v>
      </c>
      <c r="J1114">
        <f t="shared" si="103"/>
        <v>1.0835999999999999</v>
      </c>
      <c r="L1114">
        <f t="shared" si="102"/>
        <v>1.8000000000000238E-3</v>
      </c>
      <c r="W1114">
        <f t="shared" si="104"/>
        <v>2.231727729216944E-3</v>
      </c>
      <c r="X1114">
        <f t="shared" si="105"/>
        <v>3.109259374417014E-3</v>
      </c>
      <c r="Y1114">
        <f t="shared" si="105"/>
        <v>5.5998008959683555E-4</v>
      </c>
      <c r="Z1114">
        <f t="shared" si="105"/>
        <v>-3.2868217054263637E-3</v>
      </c>
      <c r="AE1114">
        <f>W1114-mu-theta*AE1113</f>
        <v>2.6252047220682831E-3</v>
      </c>
      <c r="AF1114">
        <f t="shared" si="107"/>
        <v>2.6853041416906608E-3</v>
      </c>
      <c r="AG1114">
        <f t="shared" si="107"/>
        <v>-7.004788866885527E-4</v>
      </c>
      <c r="AK1114">
        <f t="shared" si="106"/>
        <v>6.8916998327696114E-6</v>
      </c>
    </row>
    <row r="1115" spans="1:37" x14ac:dyDescent="0.3">
      <c r="A1115" s="1">
        <v>45484</v>
      </c>
      <c r="B1115">
        <v>1.0865</v>
      </c>
      <c r="C1115">
        <v>1.2908999999999999</v>
      </c>
      <c r="D1115">
        <v>158.80000000000001</v>
      </c>
      <c r="G1115">
        <v>1.0865</v>
      </c>
      <c r="H1115">
        <f t="shared" si="103"/>
        <v>1.083</v>
      </c>
      <c r="I1115">
        <f t="shared" si="103"/>
        <v>1.0811999999999999</v>
      </c>
      <c r="J1115">
        <f t="shared" si="103"/>
        <v>1.0822000000000001</v>
      </c>
      <c r="L1115">
        <f t="shared" si="102"/>
        <v>3.5000000000000586E-3</v>
      </c>
      <c r="W1115">
        <f t="shared" si="104"/>
        <v>-1.7752211294612335E-2</v>
      </c>
      <c r="X1115">
        <f t="shared" si="105"/>
        <v>2.231727729216944E-3</v>
      </c>
      <c r="Y1115">
        <f t="shared" si="105"/>
        <v>3.109259374417014E-3</v>
      </c>
      <c r="Z1115">
        <f t="shared" si="105"/>
        <v>5.5998008959683555E-4</v>
      </c>
      <c r="AE1115">
        <f>W1115-mu-theta*AE1114</f>
        <v>-1.7373244151307192E-2</v>
      </c>
      <c r="AF1115">
        <f t="shared" si="107"/>
        <v>2.6252047220682831E-3</v>
      </c>
      <c r="AG1115">
        <f t="shared" si="107"/>
        <v>2.6853041416906608E-3</v>
      </c>
      <c r="AK1115">
        <f t="shared" si="106"/>
        <v>3.0182961234092958E-4</v>
      </c>
    </row>
    <row r="1116" spans="1:37" x14ac:dyDescent="0.3">
      <c r="A1116" s="1">
        <v>45485</v>
      </c>
      <c r="B1116">
        <v>1.0906</v>
      </c>
      <c r="C1116">
        <v>1.2991999999999999</v>
      </c>
      <c r="D1116">
        <v>157.88999999999999</v>
      </c>
      <c r="G1116">
        <v>1.0906</v>
      </c>
      <c r="H1116">
        <f t="shared" si="103"/>
        <v>1.0865</v>
      </c>
      <c r="I1116">
        <f t="shared" si="103"/>
        <v>1.083</v>
      </c>
      <c r="J1116">
        <f t="shared" si="103"/>
        <v>1.0811999999999999</v>
      </c>
      <c r="L1116">
        <f t="shared" si="102"/>
        <v>4.0999999999999925E-3</v>
      </c>
      <c r="W1116">
        <f t="shared" si="104"/>
        <v>-5.7304785894208123E-3</v>
      </c>
      <c r="X1116">
        <f t="shared" si="105"/>
        <v>-1.7752211294612335E-2</v>
      </c>
      <c r="Y1116">
        <f t="shared" si="105"/>
        <v>2.231727729216944E-3</v>
      </c>
      <c r="Z1116">
        <f t="shared" si="105"/>
        <v>3.109259374417014E-3</v>
      </c>
      <c r="AE1116">
        <f>W1116-mu-theta*AE1115</f>
        <v>-1.0179752486266003E-2</v>
      </c>
      <c r="AF1116">
        <f t="shared" si="107"/>
        <v>-1.7373244151307192E-2</v>
      </c>
      <c r="AG1116">
        <f t="shared" si="107"/>
        <v>2.6252047220682831E-3</v>
      </c>
      <c r="AK1116">
        <f t="shared" si="106"/>
        <v>1.0362736068163888E-4</v>
      </c>
    </row>
    <row r="1117" spans="1:37" x14ac:dyDescent="0.3">
      <c r="A1117" s="1">
        <v>45488</v>
      </c>
      <c r="B1117">
        <v>1.0893999999999999</v>
      </c>
      <c r="C1117">
        <v>1.2966</v>
      </c>
      <c r="D1117">
        <v>158.01</v>
      </c>
      <c r="G1117">
        <v>1.0893999999999999</v>
      </c>
      <c r="H1117">
        <f t="shared" si="103"/>
        <v>1.0906</v>
      </c>
      <c r="I1117">
        <f t="shared" si="103"/>
        <v>1.0865</v>
      </c>
      <c r="J1117">
        <f t="shared" si="103"/>
        <v>1.083</v>
      </c>
      <c r="L1117">
        <f t="shared" si="102"/>
        <v>-1.2000000000000899E-3</v>
      </c>
      <c r="W1117">
        <f t="shared" si="104"/>
        <v>7.600228006840494E-4</v>
      </c>
      <c r="X1117">
        <f t="shared" si="105"/>
        <v>-5.7304785894208123E-3</v>
      </c>
      <c r="Y1117">
        <f t="shared" si="105"/>
        <v>-1.7752211294612335E-2</v>
      </c>
      <c r="Z1117">
        <f t="shared" si="105"/>
        <v>2.231727729216944E-3</v>
      </c>
      <c r="AE1117">
        <f>W1117-mu-theta*AE1116</f>
        <v>-1.9525208177758597E-3</v>
      </c>
      <c r="AF1117">
        <f t="shared" si="107"/>
        <v>-1.0179752486266003E-2</v>
      </c>
      <c r="AG1117">
        <f t="shared" si="107"/>
        <v>-1.7373244151307192E-2</v>
      </c>
      <c r="AK1117">
        <f t="shared" si="106"/>
        <v>3.8123375438481119E-6</v>
      </c>
    </row>
    <row r="1118" spans="1:37" x14ac:dyDescent="0.3">
      <c r="A1118" s="1">
        <v>45489</v>
      </c>
      <c r="B1118">
        <v>1.0896999999999999</v>
      </c>
      <c r="C1118">
        <v>1.2965</v>
      </c>
      <c r="D1118">
        <v>158.34</v>
      </c>
      <c r="G1118">
        <v>1.0896999999999999</v>
      </c>
      <c r="H1118">
        <f t="shared" si="103"/>
        <v>1.0893999999999999</v>
      </c>
      <c r="I1118">
        <f t="shared" si="103"/>
        <v>1.0906</v>
      </c>
      <c r="J1118">
        <f t="shared" si="103"/>
        <v>1.0865</v>
      </c>
      <c r="L1118">
        <f t="shared" si="102"/>
        <v>2.9999999999996696E-4</v>
      </c>
      <c r="W1118">
        <f t="shared" si="104"/>
        <v>2.0884754129486269E-3</v>
      </c>
      <c r="X1118">
        <f t="shared" si="105"/>
        <v>7.600228006840494E-4</v>
      </c>
      <c r="Y1118">
        <f t="shared" si="105"/>
        <v>-5.7304785894208123E-3</v>
      </c>
      <c r="Z1118">
        <f t="shared" si="105"/>
        <v>-1.7752211294612335E-2</v>
      </c>
      <c r="AE1118">
        <f>W1118-mu-theta*AE1117</f>
        <v>1.3622387245983375E-3</v>
      </c>
      <c r="AF1118">
        <f t="shared" si="107"/>
        <v>-1.9525208177758597E-3</v>
      </c>
      <c r="AG1118">
        <f t="shared" si="107"/>
        <v>-1.0179752486266003E-2</v>
      </c>
      <c r="AK1118">
        <f t="shared" si="106"/>
        <v>1.8556943427953052E-6</v>
      </c>
    </row>
    <row r="1119" spans="1:37" x14ac:dyDescent="0.3">
      <c r="A1119" s="1">
        <v>45490</v>
      </c>
      <c r="B1119">
        <v>1.0936999999999999</v>
      </c>
      <c r="C1119">
        <v>1.3008</v>
      </c>
      <c r="D1119">
        <v>156.16</v>
      </c>
      <c r="G1119">
        <v>1.0936999999999999</v>
      </c>
      <c r="H1119">
        <f t="shared" si="103"/>
        <v>1.0896999999999999</v>
      </c>
      <c r="I1119">
        <f t="shared" si="103"/>
        <v>1.0893999999999999</v>
      </c>
      <c r="J1119">
        <f t="shared" si="103"/>
        <v>1.0906</v>
      </c>
      <c r="L1119">
        <f t="shared" si="102"/>
        <v>4.0000000000000036E-3</v>
      </c>
      <c r="W1119">
        <f t="shared" si="104"/>
        <v>-1.3767841354048294E-2</v>
      </c>
      <c r="X1119">
        <f t="shared" si="105"/>
        <v>2.0884754129486269E-3</v>
      </c>
      <c r="Y1119">
        <f t="shared" si="105"/>
        <v>7.600228006840494E-4</v>
      </c>
      <c r="Z1119">
        <f t="shared" si="105"/>
        <v>-5.7304785894208123E-3</v>
      </c>
      <c r="AE1119">
        <f>W1119-mu-theta*AE1118</f>
        <v>-1.3693793072196305E-2</v>
      </c>
      <c r="AF1119">
        <f t="shared" si="107"/>
        <v>1.3622387245983375E-3</v>
      </c>
      <c r="AG1119">
        <f t="shared" si="107"/>
        <v>-1.9525208177758597E-3</v>
      </c>
      <c r="AK1119">
        <f t="shared" si="106"/>
        <v>1.8751996870413154E-4</v>
      </c>
    </row>
    <row r="1120" spans="1:37" x14ac:dyDescent="0.3">
      <c r="A1120" s="1">
        <v>45491</v>
      </c>
      <c r="B1120">
        <v>1.0895999999999999</v>
      </c>
      <c r="C1120">
        <v>1.2941</v>
      </c>
      <c r="D1120">
        <v>157.37</v>
      </c>
      <c r="G1120">
        <v>1.0895999999999999</v>
      </c>
      <c r="H1120">
        <f t="shared" si="103"/>
        <v>1.0936999999999999</v>
      </c>
      <c r="I1120">
        <f t="shared" si="103"/>
        <v>1.0896999999999999</v>
      </c>
      <c r="J1120">
        <f t="shared" si="103"/>
        <v>1.0893999999999999</v>
      </c>
      <c r="L1120">
        <f t="shared" si="102"/>
        <v>-4.0999999999999925E-3</v>
      </c>
      <c r="W1120">
        <f t="shared" si="104"/>
        <v>7.7484631147541495E-3</v>
      </c>
      <c r="X1120">
        <f t="shared" si="105"/>
        <v>-1.3767841354048294E-2</v>
      </c>
      <c r="Y1120">
        <f t="shared" si="105"/>
        <v>2.0884754129486269E-3</v>
      </c>
      <c r="Z1120">
        <f t="shared" si="105"/>
        <v>7.600228006840494E-4</v>
      </c>
      <c r="AE1120">
        <f>W1120-mu-theta*AE1119</f>
        <v>4.1875219490059203E-3</v>
      </c>
      <c r="AF1120">
        <f t="shared" si="107"/>
        <v>-1.3693793072196305E-2</v>
      </c>
      <c r="AG1120">
        <f t="shared" si="107"/>
        <v>1.3622387245983375E-3</v>
      </c>
      <c r="AK1120">
        <f t="shared" si="106"/>
        <v>1.7535340073406343E-5</v>
      </c>
    </row>
    <row r="1121" spans="1:37" x14ac:dyDescent="0.3">
      <c r="A1121" s="1">
        <v>45492</v>
      </c>
      <c r="B1121">
        <v>1.0876999999999999</v>
      </c>
      <c r="C1121">
        <v>1.2919</v>
      </c>
      <c r="D1121">
        <v>157.49</v>
      </c>
      <c r="G1121">
        <v>1.0876999999999999</v>
      </c>
      <c r="H1121">
        <f t="shared" si="103"/>
        <v>1.0895999999999999</v>
      </c>
      <c r="I1121">
        <f t="shared" si="103"/>
        <v>1.0936999999999999</v>
      </c>
      <c r="J1121">
        <f t="shared" si="103"/>
        <v>1.0896999999999999</v>
      </c>
      <c r="L1121">
        <f t="shared" si="102"/>
        <v>-1.9000000000000128E-3</v>
      </c>
      <c r="W1121">
        <f t="shared" si="104"/>
        <v>7.625341551757294E-4</v>
      </c>
      <c r="X1121">
        <f t="shared" si="105"/>
        <v>7.7484631147541495E-3</v>
      </c>
      <c r="Y1121">
        <f t="shared" si="105"/>
        <v>-1.3767841354048294E-2</v>
      </c>
      <c r="Z1121">
        <f t="shared" si="105"/>
        <v>2.0884754129486269E-3</v>
      </c>
      <c r="AE1121">
        <f>W1121-mu-theta*AE1120</f>
        <v>1.5186927597084831E-3</v>
      </c>
      <c r="AF1121">
        <f t="shared" si="107"/>
        <v>4.1875219490059203E-3</v>
      </c>
      <c r="AG1121">
        <f t="shared" si="107"/>
        <v>-1.3693793072196305E-2</v>
      </c>
      <c r="AK1121">
        <f t="shared" si="106"/>
        <v>2.3064276983909683E-6</v>
      </c>
    </row>
    <row r="1122" spans="1:37" x14ac:dyDescent="0.3">
      <c r="A1122" s="1">
        <v>45495</v>
      </c>
      <c r="B1122">
        <v>1.0889</v>
      </c>
      <c r="C1122">
        <v>1.2931999999999999</v>
      </c>
      <c r="D1122">
        <v>157</v>
      </c>
      <c r="G1122">
        <v>1.0889</v>
      </c>
      <c r="H1122">
        <f t="shared" si="103"/>
        <v>1.0876999999999999</v>
      </c>
      <c r="I1122">
        <f t="shared" si="103"/>
        <v>1.0895999999999999</v>
      </c>
      <c r="J1122">
        <f t="shared" si="103"/>
        <v>1.0936999999999999</v>
      </c>
      <c r="L1122">
        <f t="shared" si="102"/>
        <v>1.2000000000000899E-3</v>
      </c>
      <c r="W1122">
        <f t="shared" si="104"/>
        <v>-3.1113086545178047E-3</v>
      </c>
      <c r="X1122">
        <f t="shared" si="105"/>
        <v>7.625341551757294E-4</v>
      </c>
      <c r="Y1122">
        <f t="shared" si="105"/>
        <v>7.7484631147541495E-3</v>
      </c>
      <c r="Z1122">
        <f t="shared" si="105"/>
        <v>-1.3767841354048294E-2</v>
      </c>
      <c r="AE1122">
        <f>W1122-mu-theta*AE1121</f>
        <v>-2.9994875534837457E-3</v>
      </c>
      <c r="AF1122">
        <f t="shared" si="107"/>
        <v>1.5186927597084831E-3</v>
      </c>
      <c r="AG1122">
        <f t="shared" si="107"/>
        <v>4.1875219490059203E-3</v>
      </c>
      <c r="AK1122">
        <f t="shared" si="106"/>
        <v>8.9969255835039062E-6</v>
      </c>
    </row>
    <row r="1123" spans="1:37" x14ac:dyDescent="0.3">
      <c r="A1123" s="1">
        <v>45496</v>
      </c>
      <c r="B1123">
        <v>1.0851</v>
      </c>
      <c r="C1123">
        <v>1.2905</v>
      </c>
      <c r="D1123">
        <v>155.58000000000001</v>
      </c>
      <c r="G1123">
        <v>1.0851</v>
      </c>
      <c r="H1123">
        <f t="shared" si="103"/>
        <v>1.0889</v>
      </c>
      <c r="I1123">
        <f t="shared" si="103"/>
        <v>1.0876999999999999</v>
      </c>
      <c r="J1123">
        <f t="shared" si="103"/>
        <v>1.0895999999999999</v>
      </c>
      <c r="L1123">
        <f t="shared" si="102"/>
        <v>-3.8000000000000256E-3</v>
      </c>
      <c r="W1123">
        <f t="shared" si="104"/>
        <v>-9.0445859872610671E-3</v>
      </c>
      <c r="X1123">
        <f t="shared" si="105"/>
        <v>-3.1113086545178047E-3</v>
      </c>
      <c r="Y1123">
        <f t="shared" si="105"/>
        <v>7.625341551757294E-4</v>
      </c>
      <c r="Z1123">
        <f t="shared" si="105"/>
        <v>7.7484631147541495E-3</v>
      </c>
      <c r="AE1123">
        <f>W1123-mu-theta*AE1122</f>
        <v>-1.0023592667575429E-2</v>
      </c>
      <c r="AF1123">
        <f t="shared" si="107"/>
        <v>-2.9994875534837457E-3</v>
      </c>
      <c r="AG1123">
        <f t="shared" si="107"/>
        <v>1.5186927597084831E-3</v>
      </c>
      <c r="AK1123">
        <f t="shared" si="106"/>
        <v>1.004724099654719E-4</v>
      </c>
    </row>
    <row r="1124" spans="1:37" x14ac:dyDescent="0.3">
      <c r="A1124" s="1">
        <v>45497</v>
      </c>
      <c r="B1124">
        <v>1.0839000000000001</v>
      </c>
      <c r="C1124">
        <v>1.2906</v>
      </c>
      <c r="D1124">
        <v>153.87</v>
      </c>
      <c r="G1124">
        <v>1.0839000000000001</v>
      </c>
      <c r="H1124">
        <f t="shared" si="103"/>
        <v>1.0851</v>
      </c>
      <c r="I1124">
        <f t="shared" si="103"/>
        <v>1.0889</v>
      </c>
      <c r="J1124">
        <f t="shared" si="103"/>
        <v>1.0876999999999999</v>
      </c>
      <c r="L1124">
        <f t="shared" si="102"/>
        <v>-1.1999999999998678E-3</v>
      </c>
      <c r="W1124">
        <f t="shared" si="104"/>
        <v>-1.0991129965291219E-2</v>
      </c>
      <c r="X1124">
        <f t="shared" si="105"/>
        <v>-9.0445859872610671E-3</v>
      </c>
      <c r="Y1124">
        <f t="shared" si="105"/>
        <v>-3.1113086545178047E-3</v>
      </c>
      <c r="Z1124">
        <f t="shared" si="105"/>
        <v>7.625341551757294E-4</v>
      </c>
      <c r="AE1124">
        <f>W1124-mu-theta*AE1123</f>
        <v>-1.3665971797467688E-2</v>
      </c>
      <c r="AF1124">
        <f t="shared" si="107"/>
        <v>-1.0023592667575429E-2</v>
      </c>
      <c r="AG1124">
        <f t="shared" si="107"/>
        <v>-2.9994875534837457E-3</v>
      </c>
      <c r="AK1124">
        <f t="shared" si="106"/>
        <v>1.8675878516918222E-4</v>
      </c>
    </row>
    <row r="1125" spans="1:37" x14ac:dyDescent="0.3">
      <c r="A1125" s="1">
        <v>45498</v>
      </c>
      <c r="B1125">
        <v>1.0844</v>
      </c>
      <c r="C1125">
        <v>1.2850999999999999</v>
      </c>
      <c r="D1125">
        <v>153.93</v>
      </c>
      <c r="G1125">
        <v>1.0844</v>
      </c>
      <c r="H1125">
        <f t="shared" si="103"/>
        <v>1.0839000000000001</v>
      </c>
      <c r="I1125">
        <f t="shared" si="103"/>
        <v>1.0851</v>
      </c>
      <c r="J1125">
        <f t="shared" si="103"/>
        <v>1.0889</v>
      </c>
      <c r="L1125">
        <f t="shared" si="102"/>
        <v>4.9999999999994493E-4</v>
      </c>
      <c r="W1125">
        <f t="shared" si="104"/>
        <v>3.8993955936831269E-4</v>
      </c>
      <c r="X1125">
        <f t="shared" si="105"/>
        <v>-1.0991129965291219E-2</v>
      </c>
      <c r="Y1125">
        <f t="shared" si="105"/>
        <v>-9.0445859872610671E-3</v>
      </c>
      <c r="Z1125">
        <f t="shared" si="105"/>
        <v>-3.1113086545178047E-3</v>
      </c>
      <c r="AE1125">
        <f>W1125-mu-theta*AE1124</f>
        <v>-3.164284694419167E-3</v>
      </c>
      <c r="AF1125">
        <f t="shared" si="107"/>
        <v>-1.3665971797467688E-2</v>
      </c>
      <c r="AG1125">
        <f t="shared" si="107"/>
        <v>-1.0023592667575429E-2</v>
      </c>
      <c r="AK1125">
        <f t="shared" si="106"/>
        <v>1.0012697627335401E-5</v>
      </c>
    </row>
    <row r="1126" spans="1:37" x14ac:dyDescent="0.3">
      <c r="A1126" s="1">
        <v>45499</v>
      </c>
      <c r="B1126">
        <v>1.0857000000000001</v>
      </c>
      <c r="C1126">
        <v>1.2871999999999999</v>
      </c>
      <c r="D1126">
        <v>153.72</v>
      </c>
      <c r="G1126">
        <v>1.0857000000000001</v>
      </c>
      <c r="H1126">
        <f t="shared" si="103"/>
        <v>1.0844</v>
      </c>
      <c r="I1126">
        <f t="shared" si="103"/>
        <v>1.0839000000000001</v>
      </c>
      <c r="J1126">
        <f t="shared" si="103"/>
        <v>1.0851</v>
      </c>
      <c r="L1126">
        <f t="shared" si="102"/>
        <v>1.3000000000000789E-3</v>
      </c>
      <c r="W1126">
        <f t="shared" si="104"/>
        <v>-1.3642564802183327E-3</v>
      </c>
      <c r="X1126">
        <f t="shared" si="105"/>
        <v>3.8993955936831269E-4</v>
      </c>
      <c r="Y1126">
        <f t="shared" si="105"/>
        <v>-1.0991129965291219E-2</v>
      </c>
      <c r="Z1126">
        <f t="shared" si="105"/>
        <v>-9.0445859872610671E-3</v>
      </c>
      <c r="AE1126">
        <f>W1126-mu-theta*AE1125</f>
        <v>-2.383050262232525E-3</v>
      </c>
      <c r="AF1126">
        <f t="shared" si="107"/>
        <v>-3.164284694419167E-3</v>
      </c>
      <c r="AG1126">
        <f t="shared" si="107"/>
        <v>-1.3665971797467688E-2</v>
      </c>
      <c r="AK1126">
        <f t="shared" si="106"/>
        <v>5.678928552326506E-6</v>
      </c>
    </row>
    <row r="1127" spans="1:37" x14ac:dyDescent="0.3">
      <c r="A1127" s="1">
        <v>45502</v>
      </c>
      <c r="B1127">
        <v>1.0819000000000001</v>
      </c>
      <c r="C1127">
        <v>1.2859</v>
      </c>
      <c r="D1127">
        <v>154.01</v>
      </c>
      <c r="G1127">
        <v>1.0819000000000001</v>
      </c>
      <c r="H1127">
        <f t="shared" si="103"/>
        <v>1.0857000000000001</v>
      </c>
      <c r="I1127">
        <f t="shared" si="103"/>
        <v>1.0844</v>
      </c>
      <c r="J1127">
        <f t="shared" si="103"/>
        <v>1.0839000000000001</v>
      </c>
      <c r="L1127">
        <f t="shared" si="102"/>
        <v>-3.8000000000000256E-3</v>
      </c>
      <c r="W1127">
        <f t="shared" si="104"/>
        <v>1.8865469685141298E-3</v>
      </c>
      <c r="X1127">
        <f t="shared" si="105"/>
        <v>-1.3642564802183327E-3</v>
      </c>
      <c r="Y1127">
        <f t="shared" si="105"/>
        <v>3.8993955936831269E-4</v>
      </c>
      <c r="Z1127">
        <f t="shared" si="105"/>
        <v>-1.0991129965291219E-2</v>
      </c>
      <c r="AE1127">
        <f>W1127-mu-theta*AE1126</f>
        <v>1.0563672220856597E-3</v>
      </c>
      <c r="AF1127">
        <f t="shared" si="107"/>
        <v>-2.383050262232525E-3</v>
      </c>
      <c r="AG1127">
        <f t="shared" si="107"/>
        <v>-3.164284694419167E-3</v>
      </c>
      <c r="AK1127">
        <f t="shared" si="106"/>
        <v>1.1159117078969734E-6</v>
      </c>
    </row>
    <row r="1128" spans="1:37" x14ac:dyDescent="0.3">
      <c r="A1128" s="1">
        <v>45503</v>
      </c>
      <c r="B1128">
        <v>1.0814999999999999</v>
      </c>
      <c r="C1128">
        <v>1.2834000000000001</v>
      </c>
      <c r="D1128">
        <v>152.76</v>
      </c>
      <c r="G1128">
        <v>1.0814999999999999</v>
      </c>
      <c r="H1128">
        <f t="shared" si="103"/>
        <v>1.0819000000000001</v>
      </c>
      <c r="I1128">
        <f t="shared" si="103"/>
        <v>1.0857000000000001</v>
      </c>
      <c r="J1128">
        <f t="shared" si="103"/>
        <v>1.0844</v>
      </c>
      <c r="L1128">
        <f t="shared" si="102"/>
        <v>-4.0000000000017799E-4</v>
      </c>
      <c r="W1128">
        <f t="shared" si="104"/>
        <v>-8.116356080773976E-3</v>
      </c>
      <c r="X1128">
        <f t="shared" si="105"/>
        <v>1.8865469685141298E-3</v>
      </c>
      <c r="Y1128">
        <f t="shared" si="105"/>
        <v>-1.3642564802183327E-3</v>
      </c>
      <c r="Z1128">
        <f t="shared" si="105"/>
        <v>3.8993955936831269E-4</v>
      </c>
      <c r="AE1128">
        <f>W1128-mu-theta*AE1127</f>
        <v>-8.1161545932806386E-3</v>
      </c>
      <c r="AF1128">
        <f t="shared" si="107"/>
        <v>1.0563672220856597E-3</v>
      </c>
      <c r="AG1128">
        <f t="shared" si="107"/>
        <v>-2.383050262232525E-3</v>
      </c>
      <c r="AK1128">
        <f t="shared" si="106"/>
        <v>6.5871965382030412E-5</v>
      </c>
    </row>
    <row r="1129" spans="1:37" x14ac:dyDescent="0.3">
      <c r="A1129" s="1">
        <v>45504</v>
      </c>
      <c r="B1129">
        <v>1.0825</v>
      </c>
      <c r="C1129">
        <v>1.2856000000000001</v>
      </c>
      <c r="D1129">
        <v>149.97999999999999</v>
      </c>
      <c r="G1129">
        <v>1.0825</v>
      </c>
      <c r="H1129">
        <f t="shared" si="103"/>
        <v>1.0814999999999999</v>
      </c>
      <c r="I1129">
        <f t="shared" si="103"/>
        <v>1.0819000000000001</v>
      </c>
      <c r="J1129">
        <f t="shared" si="103"/>
        <v>1.0857000000000001</v>
      </c>
      <c r="L1129">
        <f t="shared" si="102"/>
        <v>1.0000000000001119E-3</v>
      </c>
      <c r="W1129">
        <f t="shared" si="104"/>
        <v>-1.8198481277821428E-2</v>
      </c>
      <c r="X1129">
        <f t="shared" si="105"/>
        <v>-8.116356080773976E-3</v>
      </c>
      <c r="Y1129">
        <f t="shared" si="105"/>
        <v>1.8865469685141298E-3</v>
      </c>
      <c r="Z1129">
        <f t="shared" si="105"/>
        <v>-1.3642564802183327E-3</v>
      </c>
      <c r="AE1129">
        <f>W1129-mu-theta*AE1128</f>
        <v>-2.0412808854609003E-2</v>
      </c>
      <c r="AF1129">
        <f t="shared" si="107"/>
        <v>-8.1161545932806386E-3</v>
      </c>
      <c r="AG1129">
        <f t="shared" si="107"/>
        <v>1.0563672220856597E-3</v>
      </c>
      <c r="AK1129">
        <f t="shared" si="106"/>
        <v>4.166827653348037E-4</v>
      </c>
    </row>
    <row r="1130" spans="1:37" x14ac:dyDescent="0.3">
      <c r="A1130" s="1">
        <v>45505</v>
      </c>
      <c r="B1130">
        <v>1.0790999999999999</v>
      </c>
      <c r="C1130">
        <v>1.2739</v>
      </c>
      <c r="D1130">
        <v>149.36000000000001</v>
      </c>
      <c r="G1130">
        <v>1.0790999999999999</v>
      </c>
      <c r="H1130">
        <f t="shared" si="103"/>
        <v>1.0825</v>
      </c>
      <c r="I1130">
        <f t="shared" si="103"/>
        <v>1.0814999999999999</v>
      </c>
      <c r="J1130">
        <f t="shared" si="103"/>
        <v>1.0819000000000001</v>
      </c>
      <c r="L1130">
        <f t="shared" si="102"/>
        <v>-3.4000000000000696E-3</v>
      </c>
      <c r="W1130">
        <f t="shared" si="104"/>
        <v>-4.133884517935566E-3</v>
      </c>
      <c r="X1130">
        <f t="shared" si="105"/>
        <v>-1.8198481277821428E-2</v>
      </c>
      <c r="Y1130">
        <f t="shared" si="105"/>
        <v>-8.116356080773976E-3</v>
      </c>
      <c r="Z1130">
        <f t="shared" si="105"/>
        <v>1.8865469685141298E-3</v>
      </c>
      <c r="AE1130">
        <f>W1130-mu-theta*AE1129</f>
        <v>-9.3170028812989795E-3</v>
      </c>
      <c r="AF1130">
        <f t="shared" si="107"/>
        <v>-2.0412808854609003E-2</v>
      </c>
      <c r="AG1130">
        <f t="shared" si="107"/>
        <v>-8.1161545932806386E-3</v>
      </c>
      <c r="AK1130">
        <f t="shared" si="106"/>
        <v>8.6806542690133482E-5</v>
      </c>
    </row>
    <row r="1131" spans="1:37" x14ac:dyDescent="0.3">
      <c r="A1131" s="1">
        <v>45506</v>
      </c>
      <c r="B1131">
        <v>1.0908</v>
      </c>
      <c r="C1131">
        <v>1.2798</v>
      </c>
      <c r="D1131">
        <v>146.54</v>
      </c>
      <c r="G1131">
        <v>1.0908</v>
      </c>
      <c r="H1131">
        <f t="shared" si="103"/>
        <v>1.0790999999999999</v>
      </c>
      <c r="I1131">
        <f t="shared" si="103"/>
        <v>1.0825</v>
      </c>
      <c r="J1131">
        <f t="shared" si="103"/>
        <v>1.0814999999999999</v>
      </c>
      <c r="L1131">
        <f t="shared" si="102"/>
        <v>1.1700000000000044E-2</v>
      </c>
      <c r="W1131">
        <f t="shared" si="104"/>
        <v>-1.8880557043385253E-2</v>
      </c>
      <c r="X1131">
        <f t="shared" si="105"/>
        <v>-4.133884517935566E-3</v>
      </c>
      <c r="Y1131">
        <f t="shared" si="105"/>
        <v>-1.8198481277821428E-2</v>
      </c>
      <c r="Z1131">
        <f t="shared" si="105"/>
        <v>-8.116356080773976E-3</v>
      </c>
      <c r="AE1131">
        <f>W1131-mu-theta*AE1130</f>
        <v>-2.138480635479913E-2</v>
      </c>
      <c r="AF1131">
        <f t="shared" si="107"/>
        <v>-9.3170028812989795E-3</v>
      </c>
      <c r="AG1131">
        <f t="shared" si="107"/>
        <v>-2.0412808854609003E-2</v>
      </c>
      <c r="AK1131">
        <f t="shared" si="106"/>
        <v>4.5730994283225729E-4</v>
      </c>
    </row>
    <row r="1132" spans="1:37" x14ac:dyDescent="0.3">
      <c r="A1132" s="1">
        <v>45509</v>
      </c>
      <c r="B1132">
        <v>1.0952</v>
      </c>
      <c r="C1132">
        <v>1.2773000000000001</v>
      </c>
      <c r="D1132">
        <v>144.16999999999999</v>
      </c>
      <c r="G1132">
        <v>1.0952</v>
      </c>
      <c r="H1132">
        <f t="shared" si="103"/>
        <v>1.0908</v>
      </c>
      <c r="I1132">
        <f t="shared" si="103"/>
        <v>1.0790999999999999</v>
      </c>
      <c r="J1132">
        <f t="shared" si="103"/>
        <v>1.0825</v>
      </c>
      <c r="L1132">
        <f t="shared" si="102"/>
        <v>4.3999999999999595E-3</v>
      </c>
      <c r="W1132">
        <f t="shared" si="104"/>
        <v>-1.617305855056643E-2</v>
      </c>
      <c r="X1132">
        <f t="shared" si="105"/>
        <v>-1.8880557043385253E-2</v>
      </c>
      <c r="Y1132">
        <f t="shared" si="105"/>
        <v>-4.133884517935566E-3</v>
      </c>
      <c r="Z1132">
        <f t="shared" si="105"/>
        <v>-1.8198481277821428E-2</v>
      </c>
      <c r="AE1132">
        <f>W1132-mu-theta*AE1131</f>
        <v>-2.1590847025149795E-2</v>
      </c>
      <c r="AF1132">
        <f t="shared" si="107"/>
        <v>-2.138480635479913E-2</v>
      </c>
      <c r="AG1132">
        <f t="shared" si="107"/>
        <v>-9.3170028812989795E-3</v>
      </c>
      <c r="AK1132">
        <f t="shared" si="106"/>
        <v>4.6616467526341976E-4</v>
      </c>
    </row>
    <row r="1133" spans="1:37" x14ac:dyDescent="0.3">
      <c r="A1133" s="1">
        <v>45510</v>
      </c>
      <c r="B1133">
        <v>1.093</v>
      </c>
      <c r="C1133">
        <v>1.2688999999999999</v>
      </c>
      <c r="D1133">
        <v>144.30000000000001</v>
      </c>
      <c r="G1133">
        <v>1.093</v>
      </c>
      <c r="H1133">
        <f t="shared" si="103"/>
        <v>1.0952</v>
      </c>
      <c r="I1133">
        <f t="shared" si="103"/>
        <v>1.0908</v>
      </c>
      <c r="J1133">
        <f t="shared" si="103"/>
        <v>1.0790999999999999</v>
      </c>
      <c r="L1133">
        <f t="shared" si="102"/>
        <v>-2.1999999999999797E-3</v>
      </c>
      <c r="W1133">
        <f t="shared" si="104"/>
        <v>9.0171325518501684E-4</v>
      </c>
      <c r="X1133">
        <f t="shared" si="105"/>
        <v>-1.617305855056643E-2</v>
      </c>
      <c r="Y1133">
        <f t="shared" si="105"/>
        <v>-1.8880557043385253E-2</v>
      </c>
      <c r="Z1133">
        <f t="shared" si="105"/>
        <v>-4.133884517935566E-3</v>
      </c>
      <c r="AE1133">
        <f>W1133-mu-theta*AE1132</f>
        <v>-4.5658197784302027E-3</v>
      </c>
      <c r="AF1133">
        <f t="shared" si="107"/>
        <v>-2.1590847025149795E-2</v>
      </c>
      <c r="AG1133">
        <f t="shared" si="107"/>
        <v>-2.138480635479913E-2</v>
      </c>
      <c r="AK1133">
        <f t="shared" si="106"/>
        <v>2.0846710249104426E-5</v>
      </c>
    </row>
    <row r="1134" spans="1:37" x14ac:dyDescent="0.3">
      <c r="A1134" s="1">
        <v>45511</v>
      </c>
      <c r="B1134">
        <v>1.0921000000000001</v>
      </c>
      <c r="C1134">
        <v>1.2690999999999999</v>
      </c>
      <c r="D1134">
        <v>146.69</v>
      </c>
      <c r="G1134">
        <v>1.0921000000000001</v>
      </c>
      <c r="H1134">
        <f t="shared" si="103"/>
        <v>1.093</v>
      </c>
      <c r="I1134">
        <f t="shared" si="103"/>
        <v>1.0952</v>
      </c>
      <c r="J1134">
        <f t="shared" si="103"/>
        <v>1.0908</v>
      </c>
      <c r="L1134">
        <f t="shared" si="102"/>
        <v>-8.9999999999990088E-4</v>
      </c>
      <c r="W1134">
        <f t="shared" si="104"/>
        <v>1.6562716562716465E-2</v>
      </c>
      <c r="X1134">
        <f t="shared" si="105"/>
        <v>9.0171325518501684E-4</v>
      </c>
      <c r="Y1134">
        <f t="shared" si="105"/>
        <v>-1.617305855056643E-2</v>
      </c>
      <c r="Z1134">
        <f t="shared" si="105"/>
        <v>-1.8880557043385253E-2</v>
      </c>
      <c r="AE1134">
        <f>W1134-mu-theta*AE1133</f>
        <v>1.5205549077087604E-2</v>
      </c>
      <c r="AF1134">
        <f t="shared" si="107"/>
        <v>-4.5658197784302027E-3</v>
      </c>
      <c r="AG1134">
        <f t="shared" si="107"/>
        <v>-2.1590847025149795E-2</v>
      </c>
      <c r="AK1134">
        <f t="shared" si="106"/>
        <v>2.3120872273571969E-4</v>
      </c>
    </row>
    <row r="1135" spans="1:37" x14ac:dyDescent="0.3">
      <c r="A1135" s="1">
        <v>45512</v>
      </c>
      <c r="B1135">
        <v>1.0918000000000001</v>
      </c>
      <c r="C1135">
        <v>1.2746999999999999</v>
      </c>
      <c r="D1135">
        <v>147.28</v>
      </c>
      <c r="G1135">
        <v>1.0918000000000001</v>
      </c>
      <c r="H1135">
        <f t="shared" si="103"/>
        <v>1.0921000000000001</v>
      </c>
      <c r="I1135">
        <f t="shared" si="103"/>
        <v>1.093</v>
      </c>
      <c r="J1135">
        <f t="shared" si="103"/>
        <v>1.0952</v>
      </c>
      <c r="L1135">
        <f t="shared" si="102"/>
        <v>-2.9999999999996696E-4</v>
      </c>
      <c r="W1135">
        <f t="shared" si="104"/>
        <v>4.0220873951871527E-3</v>
      </c>
      <c r="X1135">
        <f t="shared" si="105"/>
        <v>1.6562716562716465E-2</v>
      </c>
      <c r="Y1135">
        <f t="shared" si="105"/>
        <v>9.0171325518501684E-4</v>
      </c>
      <c r="Z1135">
        <f t="shared" si="105"/>
        <v>-1.617305855056643E-2</v>
      </c>
      <c r="AE1135">
        <f>W1135-mu-theta*AE1134</f>
        <v>7.4383368446712551E-3</v>
      </c>
      <c r="AF1135">
        <f t="shared" si="107"/>
        <v>1.5205549077087604E-2</v>
      </c>
      <c r="AG1135">
        <f t="shared" si="107"/>
        <v>-4.5658197784302027E-3</v>
      </c>
      <c r="AK1135">
        <f t="shared" si="106"/>
        <v>5.532885501479392E-5</v>
      </c>
    </row>
    <row r="1136" spans="1:37" x14ac:dyDescent="0.3">
      <c r="A1136" s="1">
        <v>45513</v>
      </c>
      <c r="B1136">
        <v>1.0915999999999999</v>
      </c>
      <c r="C1136">
        <v>1.2759</v>
      </c>
      <c r="D1136">
        <v>146.61000000000001</v>
      </c>
      <c r="G1136">
        <v>1.0915999999999999</v>
      </c>
      <c r="H1136">
        <f t="shared" si="103"/>
        <v>1.0918000000000001</v>
      </c>
      <c r="I1136">
        <f t="shared" si="103"/>
        <v>1.0921000000000001</v>
      </c>
      <c r="J1136">
        <f t="shared" si="103"/>
        <v>1.093</v>
      </c>
      <c r="L1136">
        <f t="shared" si="102"/>
        <v>-2.0000000000020002E-4</v>
      </c>
      <c r="W1136">
        <f t="shared" si="104"/>
        <v>-4.5491580662682472E-3</v>
      </c>
      <c r="X1136">
        <f t="shared" si="105"/>
        <v>4.0220873951871527E-3</v>
      </c>
      <c r="Y1136">
        <f t="shared" si="105"/>
        <v>1.6562716562716465E-2</v>
      </c>
      <c r="Z1136">
        <f t="shared" si="105"/>
        <v>9.0171325518501684E-4</v>
      </c>
      <c r="AE1136">
        <f>W1136-mu-theta*AE1135</f>
        <v>-3.0081526972406949E-3</v>
      </c>
      <c r="AF1136">
        <f t="shared" si="107"/>
        <v>7.4383368446712551E-3</v>
      </c>
      <c r="AG1136">
        <f t="shared" si="107"/>
        <v>1.5205549077087604E-2</v>
      </c>
      <c r="AK1136">
        <f t="shared" si="106"/>
        <v>9.0489826499164678E-6</v>
      </c>
    </row>
    <row r="1137" spans="1:37" x14ac:dyDescent="0.3">
      <c r="A1137" s="1">
        <v>45516</v>
      </c>
      <c r="B1137">
        <v>1.0931</v>
      </c>
      <c r="C1137">
        <v>1.2764</v>
      </c>
      <c r="D1137">
        <v>147.19</v>
      </c>
      <c r="G1137">
        <v>1.0931</v>
      </c>
      <c r="H1137">
        <f t="shared" si="103"/>
        <v>1.0915999999999999</v>
      </c>
      <c r="I1137">
        <f t="shared" si="103"/>
        <v>1.0918000000000001</v>
      </c>
      <c r="J1137">
        <f t="shared" si="103"/>
        <v>1.0921000000000001</v>
      </c>
      <c r="L1137">
        <f t="shared" si="102"/>
        <v>1.5000000000000568E-3</v>
      </c>
      <c r="W1137">
        <f t="shared" si="104"/>
        <v>3.9560739376576226E-3</v>
      </c>
      <c r="X1137">
        <f t="shared" si="105"/>
        <v>-4.5491580662682472E-3</v>
      </c>
      <c r="Y1137">
        <f t="shared" si="105"/>
        <v>4.0220873951871527E-3</v>
      </c>
      <c r="Z1137">
        <f t="shared" si="105"/>
        <v>1.6562716562716465E-2</v>
      </c>
      <c r="AE1137">
        <f>W1137-mu-theta*AE1136</f>
        <v>2.9749752249575981E-3</v>
      </c>
      <c r="AF1137">
        <f t="shared" si="107"/>
        <v>-3.0081526972406949E-3</v>
      </c>
      <c r="AG1137">
        <f t="shared" si="107"/>
        <v>7.4383368446712551E-3</v>
      </c>
      <c r="AK1137">
        <f t="shared" si="106"/>
        <v>8.8504775891115112E-6</v>
      </c>
    </row>
    <row r="1138" spans="1:37" x14ac:dyDescent="0.3">
      <c r="A1138" s="1">
        <v>45517</v>
      </c>
      <c r="B1138">
        <v>1.0992</v>
      </c>
      <c r="C1138">
        <v>1.2857000000000001</v>
      </c>
      <c r="D1138">
        <v>146.82</v>
      </c>
      <c r="G1138">
        <v>1.0992</v>
      </c>
      <c r="H1138">
        <f t="shared" si="103"/>
        <v>1.0931</v>
      </c>
      <c r="I1138">
        <f t="shared" si="103"/>
        <v>1.0915999999999999</v>
      </c>
      <c r="J1138">
        <f t="shared" si="103"/>
        <v>1.0918000000000001</v>
      </c>
      <c r="L1138">
        <f t="shared" si="102"/>
        <v>6.0999999999999943E-3</v>
      </c>
      <c r="W1138">
        <f t="shared" si="104"/>
        <v>-2.51375772810656E-3</v>
      </c>
      <c r="X1138">
        <f t="shared" si="105"/>
        <v>3.9560739376576226E-3</v>
      </c>
      <c r="Y1138">
        <f t="shared" si="105"/>
        <v>-4.5491580662682472E-3</v>
      </c>
      <c r="Z1138">
        <f t="shared" si="105"/>
        <v>4.0220873951871527E-3</v>
      </c>
      <c r="AE1138">
        <f>W1138-mu-theta*AE1137</f>
        <v>-2.0503452206945775E-3</v>
      </c>
      <c r="AF1138">
        <f t="shared" si="107"/>
        <v>2.9749752249575981E-3</v>
      </c>
      <c r="AG1138">
        <f t="shared" si="107"/>
        <v>-3.0081526972406949E-3</v>
      </c>
      <c r="AK1138">
        <f t="shared" si="106"/>
        <v>4.2039155240250956E-6</v>
      </c>
    </row>
    <row r="1139" spans="1:37" x14ac:dyDescent="0.3">
      <c r="A1139" s="1">
        <v>45518</v>
      </c>
      <c r="B1139">
        <v>1.1012</v>
      </c>
      <c r="C1139">
        <v>1.2825</v>
      </c>
      <c r="D1139">
        <v>147.31</v>
      </c>
      <c r="G1139">
        <v>1.1012</v>
      </c>
      <c r="H1139">
        <f t="shared" si="103"/>
        <v>1.0992</v>
      </c>
      <c r="I1139">
        <f t="shared" si="103"/>
        <v>1.0931</v>
      </c>
      <c r="J1139">
        <f t="shared" si="103"/>
        <v>1.0915999999999999</v>
      </c>
      <c r="L1139">
        <f t="shared" si="102"/>
        <v>2.0000000000000018E-3</v>
      </c>
      <c r="W1139">
        <f t="shared" si="104"/>
        <v>3.3374199700313928E-3</v>
      </c>
      <c r="X1139">
        <f t="shared" si="105"/>
        <v>-2.51375772810656E-3</v>
      </c>
      <c r="Y1139">
        <f t="shared" si="105"/>
        <v>3.9560739376576226E-3</v>
      </c>
      <c r="Z1139">
        <f t="shared" si="105"/>
        <v>-4.5491580662682472E-3</v>
      </c>
      <c r="AE1139">
        <f>W1139-mu-theta*AE1138</f>
        <v>2.5875654601244941E-3</v>
      </c>
      <c r="AF1139">
        <f t="shared" si="107"/>
        <v>-2.0503452206945775E-3</v>
      </c>
      <c r="AG1139">
        <f t="shared" si="107"/>
        <v>2.9749752249575981E-3</v>
      </c>
      <c r="AK1139">
        <f t="shared" si="106"/>
        <v>6.6954950104292848E-6</v>
      </c>
    </row>
    <row r="1140" spans="1:37" x14ac:dyDescent="0.3">
      <c r="A1140" s="1">
        <v>45519</v>
      </c>
      <c r="B1140">
        <v>1.0971</v>
      </c>
      <c r="C1140">
        <v>1.2850999999999999</v>
      </c>
      <c r="D1140">
        <v>149.27000000000001</v>
      </c>
      <c r="G1140">
        <v>1.0971</v>
      </c>
      <c r="H1140">
        <f t="shared" si="103"/>
        <v>1.1012</v>
      </c>
      <c r="I1140">
        <f t="shared" si="103"/>
        <v>1.0992</v>
      </c>
      <c r="J1140">
        <f t="shared" si="103"/>
        <v>1.0931</v>
      </c>
      <c r="L1140">
        <f t="shared" si="102"/>
        <v>-4.0999999999999925E-3</v>
      </c>
      <c r="W1140">
        <f t="shared" si="104"/>
        <v>1.3305274590998627E-2</v>
      </c>
      <c r="X1140">
        <f t="shared" si="105"/>
        <v>3.3374199700313928E-3</v>
      </c>
      <c r="Y1140">
        <f t="shared" si="105"/>
        <v>-2.51375772810656E-3</v>
      </c>
      <c r="Z1140">
        <f t="shared" si="105"/>
        <v>3.9560739376576226E-3</v>
      </c>
      <c r="AE1140">
        <f>W1140-mu-theta*AE1139</f>
        <v>1.3675154458066066E-2</v>
      </c>
      <c r="AF1140">
        <f t="shared" si="107"/>
        <v>2.5875654601244941E-3</v>
      </c>
      <c r="AG1140">
        <f t="shared" si="107"/>
        <v>-2.0503452206945775E-3</v>
      </c>
      <c r="AK1140">
        <f t="shared" si="106"/>
        <v>1.870098494519642E-4</v>
      </c>
    </row>
    <row r="1141" spans="1:37" x14ac:dyDescent="0.3">
      <c r="A1141" s="1">
        <v>45520</v>
      </c>
      <c r="B1141">
        <v>1.1028</v>
      </c>
      <c r="C1141">
        <v>1.2944</v>
      </c>
      <c r="D1141">
        <v>147.58000000000001</v>
      </c>
      <c r="G1141">
        <v>1.1028</v>
      </c>
      <c r="H1141">
        <f t="shared" si="103"/>
        <v>1.0971</v>
      </c>
      <c r="I1141">
        <f t="shared" si="103"/>
        <v>1.1012</v>
      </c>
      <c r="J1141">
        <f t="shared" si="103"/>
        <v>1.0992</v>
      </c>
      <c r="L1141">
        <f t="shared" si="102"/>
        <v>5.7000000000000384E-3</v>
      </c>
      <c r="W1141">
        <f t="shared" si="104"/>
        <v>-1.1321765927513884E-2</v>
      </c>
      <c r="X1141">
        <f t="shared" si="105"/>
        <v>1.3305274590998627E-2</v>
      </c>
      <c r="Y1141">
        <f t="shared" si="105"/>
        <v>3.3374199700313928E-3</v>
      </c>
      <c r="Z1141">
        <f t="shared" si="105"/>
        <v>-2.51375772810656E-3</v>
      </c>
      <c r="AE1141">
        <f>W1141-mu-theta*AE1140</f>
        <v>-8.2750008392405341E-3</v>
      </c>
      <c r="AF1141">
        <f t="shared" si="107"/>
        <v>1.3675154458066066E-2</v>
      </c>
      <c r="AG1141">
        <f t="shared" si="107"/>
        <v>2.5875654601244941E-3</v>
      </c>
      <c r="AK1141">
        <f t="shared" si="106"/>
        <v>6.8475638889431537E-5</v>
      </c>
    </row>
    <row r="1142" spans="1:37" x14ac:dyDescent="0.3">
      <c r="A1142" s="1">
        <v>45523</v>
      </c>
      <c r="B1142">
        <v>1.1085</v>
      </c>
      <c r="C1142">
        <v>1.2988</v>
      </c>
      <c r="D1142">
        <v>146.57</v>
      </c>
      <c r="G1142">
        <v>1.1085</v>
      </c>
      <c r="H1142">
        <f t="shared" si="103"/>
        <v>1.1028</v>
      </c>
      <c r="I1142">
        <f t="shared" si="103"/>
        <v>1.0971</v>
      </c>
      <c r="J1142">
        <f t="shared" si="103"/>
        <v>1.1012</v>
      </c>
      <c r="L1142">
        <f t="shared" si="102"/>
        <v>5.7000000000000384E-3</v>
      </c>
      <c r="W1142">
        <f t="shared" si="104"/>
        <v>-6.843745765008939E-3</v>
      </c>
      <c r="X1142">
        <f t="shared" si="105"/>
        <v>-1.1321765927513884E-2</v>
      </c>
      <c r="Y1142">
        <f t="shared" si="105"/>
        <v>1.3305274590998627E-2</v>
      </c>
      <c r="Z1142">
        <f t="shared" si="105"/>
        <v>3.3374199700313928E-3</v>
      </c>
      <c r="AE1142">
        <f>W1142-mu-theta*AE1141</f>
        <v>-9.0964237143015755E-3</v>
      </c>
      <c r="AF1142">
        <f t="shared" si="107"/>
        <v>-8.2750008392405341E-3</v>
      </c>
      <c r="AG1142">
        <f t="shared" si="107"/>
        <v>1.3675154458066066E-2</v>
      </c>
      <c r="AK1142">
        <f t="shared" si="106"/>
        <v>8.2744924390108071E-5</v>
      </c>
    </row>
    <row r="1143" spans="1:37" x14ac:dyDescent="0.3">
      <c r="A1143" s="1">
        <v>45524</v>
      </c>
      <c r="B1143">
        <v>1.113</v>
      </c>
      <c r="C1143">
        <v>1.3028999999999999</v>
      </c>
      <c r="D1143">
        <v>145.25</v>
      </c>
      <c r="G1143">
        <v>1.113</v>
      </c>
      <c r="H1143">
        <f t="shared" si="103"/>
        <v>1.1085</v>
      </c>
      <c r="I1143">
        <f t="shared" si="103"/>
        <v>1.1028</v>
      </c>
      <c r="J1143">
        <f t="shared" si="103"/>
        <v>1.0971</v>
      </c>
      <c r="L1143">
        <f t="shared" si="102"/>
        <v>4.4999999999999485E-3</v>
      </c>
      <c r="W1143">
        <f t="shared" si="104"/>
        <v>-9.0059357303676965E-3</v>
      </c>
      <c r="X1143">
        <f t="shared" si="105"/>
        <v>-6.843745765008939E-3</v>
      </c>
      <c r="Y1143">
        <f t="shared" si="105"/>
        <v>-1.1321765927513884E-2</v>
      </c>
      <c r="Z1143">
        <f t="shared" si="105"/>
        <v>1.3305274590998627E-2</v>
      </c>
      <c r="AE1143">
        <f>W1143-mu-theta*AE1142</f>
        <v>-1.1456930442215256E-2</v>
      </c>
      <c r="AF1143">
        <f t="shared" si="107"/>
        <v>-9.0964237143015755E-3</v>
      </c>
      <c r="AG1143">
        <f t="shared" si="107"/>
        <v>-8.2750008392405341E-3</v>
      </c>
      <c r="AK1143">
        <f t="shared" si="106"/>
        <v>1.3126125515775867E-4</v>
      </c>
    </row>
    <row r="1144" spans="1:37" x14ac:dyDescent="0.3">
      <c r="A1144" s="1">
        <v>45525</v>
      </c>
      <c r="B1144">
        <v>1.115</v>
      </c>
      <c r="C1144">
        <v>1.3091999999999999</v>
      </c>
      <c r="D1144">
        <v>145.26</v>
      </c>
      <c r="G1144">
        <v>1.115</v>
      </c>
      <c r="H1144">
        <f t="shared" si="103"/>
        <v>1.113</v>
      </c>
      <c r="I1144">
        <f t="shared" si="103"/>
        <v>1.1085</v>
      </c>
      <c r="J1144">
        <f t="shared" si="103"/>
        <v>1.1028</v>
      </c>
      <c r="L1144">
        <f t="shared" si="102"/>
        <v>2.0000000000000018E-3</v>
      </c>
      <c r="W1144">
        <f t="shared" si="104"/>
        <v>6.884681583470502E-5</v>
      </c>
      <c r="X1144">
        <f t="shared" si="105"/>
        <v>-9.0059357303676965E-3</v>
      </c>
      <c r="Y1144">
        <f t="shared" si="105"/>
        <v>-6.843745765008939E-3</v>
      </c>
      <c r="Z1144">
        <f t="shared" si="105"/>
        <v>-1.1321765927513884E-2</v>
      </c>
      <c r="AE1144">
        <f>W1144-mu-theta*AE1143</f>
        <v>-2.9520468682495025E-3</v>
      </c>
      <c r="AF1144">
        <f t="shared" si="107"/>
        <v>-1.1456930442215256E-2</v>
      </c>
      <c r="AG1144">
        <f t="shared" si="107"/>
        <v>-9.0964237143015755E-3</v>
      </c>
      <c r="AK1144">
        <f t="shared" si="106"/>
        <v>8.7145807123416964E-6</v>
      </c>
    </row>
    <row r="1145" spans="1:37" x14ac:dyDescent="0.3">
      <c r="A1145" s="1">
        <v>45526</v>
      </c>
      <c r="B1145">
        <v>1.1112</v>
      </c>
      <c r="C1145">
        <v>1.3088</v>
      </c>
      <c r="D1145">
        <v>146.26</v>
      </c>
      <c r="G1145">
        <v>1.1112</v>
      </c>
      <c r="H1145">
        <f t="shared" si="103"/>
        <v>1.115</v>
      </c>
      <c r="I1145">
        <f t="shared" si="103"/>
        <v>1.113</v>
      </c>
      <c r="J1145">
        <f t="shared" si="103"/>
        <v>1.1085</v>
      </c>
      <c r="L1145">
        <f t="shared" si="102"/>
        <v>-3.8000000000000256E-3</v>
      </c>
      <c r="W1145">
        <f t="shared" si="104"/>
        <v>6.8842076277020516E-3</v>
      </c>
      <c r="X1145">
        <f t="shared" si="105"/>
        <v>6.884681583470502E-5</v>
      </c>
      <c r="Y1145">
        <f t="shared" si="105"/>
        <v>-9.0059357303676965E-3</v>
      </c>
      <c r="Z1145">
        <f t="shared" si="105"/>
        <v>-6.843745765008939E-3</v>
      </c>
      <c r="AE1145">
        <f>W1145-mu-theta*AE1144</f>
        <v>5.9166545888611425E-3</v>
      </c>
      <c r="AF1145">
        <f t="shared" si="107"/>
        <v>-2.9520468682495025E-3</v>
      </c>
      <c r="AG1145">
        <f t="shared" si="107"/>
        <v>-1.1456930442215256E-2</v>
      </c>
      <c r="AK1145">
        <f t="shared" si="106"/>
        <v>3.5006801523891614E-5</v>
      </c>
    </row>
    <row r="1146" spans="1:37" x14ac:dyDescent="0.3">
      <c r="A1146" s="1">
        <v>45527</v>
      </c>
      <c r="B1146">
        <v>1.119</v>
      </c>
      <c r="C1146">
        <v>1.3209</v>
      </c>
      <c r="D1146">
        <v>144.37</v>
      </c>
      <c r="G1146">
        <v>1.119</v>
      </c>
      <c r="H1146">
        <f t="shared" si="103"/>
        <v>1.1112</v>
      </c>
      <c r="I1146">
        <f t="shared" si="103"/>
        <v>1.115</v>
      </c>
      <c r="J1146">
        <f t="shared" si="103"/>
        <v>1.113</v>
      </c>
      <c r="L1146">
        <f t="shared" si="102"/>
        <v>7.8000000000000291E-3</v>
      </c>
      <c r="W1146">
        <f t="shared" si="104"/>
        <v>-1.2922193354300468E-2</v>
      </c>
      <c r="X1146">
        <f t="shared" si="105"/>
        <v>6.8842076277020516E-3</v>
      </c>
      <c r="Y1146">
        <f t="shared" si="105"/>
        <v>6.884681583470502E-5</v>
      </c>
      <c r="Z1146">
        <f t="shared" si="105"/>
        <v>-9.0059357303676965E-3</v>
      </c>
      <c r="AE1146">
        <f>W1146-mu-theta*AE1145</f>
        <v>-1.1748568913868445E-2</v>
      </c>
      <c r="AF1146">
        <f t="shared" si="107"/>
        <v>5.9166545888611425E-3</v>
      </c>
      <c r="AG1146">
        <f t="shared" si="107"/>
        <v>-2.9520468682495025E-3</v>
      </c>
      <c r="AK1146">
        <f t="shared" si="106"/>
        <v>1.3802887152391597E-4</v>
      </c>
    </row>
    <row r="1147" spans="1:37" x14ac:dyDescent="0.3">
      <c r="A1147" s="1">
        <v>45530</v>
      </c>
      <c r="B1147">
        <v>1.1161000000000001</v>
      </c>
      <c r="C1147">
        <v>1.319</v>
      </c>
      <c r="D1147">
        <v>144.52000000000001</v>
      </c>
      <c r="G1147">
        <v>1.1161000000000001</v>
      </c>
      <c r="H1147">
        <f t="shared" si="103"/>
        <v>1.119</v>
      </c>
      <c r="I1147">
        <f t="shared" si="103"/>
        <v>1.1112</v>
      </c>
      <c r="J1147">
        <f t="shared" si="103"/>
        <v>1.115</v>
      </c>
      <c r="L1147">
        <f t="shared" si="102"/>
        <v>-2.8999999999999027E-3</v>
      </c>
      <c r="W1147">
        <f t="shared" si="104"/>
        <v>1.0389970215419109E-3</v>
      </c>
      <c r="X1147">
        <f t="shared" si="105"/>
        <v>-1.2922193354300468E-2</v>
      </c>
      <c r="Y1147">
        <f t="shared" si="105"/>
        <v>6.8842076277020516E-3</v>
      </c>
      <c r="Z1147">
        <f t="shared" si="105"/>
        <v>6.884681583470502E-5</v>
      </c>
      <c r="AE1147">
        <f>W1147-mu-theta*AE1146</f>
        <v>-2.0523071652086954E-3</v>
      </c>
      <c r="AF1147">
        <f t="shared" si="107"/>
        <v>-1.1748568913868445E-2</v>
      </c>
      <c r="AG1147">
        <f t="shared" si="107"/>
        <v>5.9166545888611425E-3</v>
      </c>
      <c r="AK1147">
        <f t="shared" si="106"/>
        <v>4.2119647003669515E-6</v>
      </c>
    </row>
    <row r="1148" spans="1:37" x14ac:dyDescent="0.3">
      <c r="A1148" s="1">
        <v>45531</v>
      </c>
      <c r="B1148">
        <v>1.1184000000000001</v>
      </c>
      <c r="C1148">
        <v>1.3254999999999999</v>
      </c>
      <c r="D1148">
        <v>143.94999999999999</v>
      </c>
      <c r="G1148">
        <v>1.1184000000000001</v>
      </c>
      <c r="H1148">
        <f t="shared" si="103"/>
        <v>1.1161000000000001</v>
      </c>
      <c r="I1148">
        <f t="shared" si="103"/>
        <v>1.119</v>
      </c>
      <c r="J1148">
        <f t="shared" si="103"/>
        <v>1.1112</v>
      </c>
      <c r="L1148">
        <f t="shared" si="102"/>
        <v>2.2999999999999687E-3</v>
      </c>
      <c r="W1148">
        <f t="shared" si="104"/>
        <v>-3.9440907832827398E-3</v>
      </c>
      <c r="X1148">
        <f t="shared" si="105"/>
        <v>1.0389970215419109E-3</v>
      </c>
      <c r="Y1148">
        <f t="shared" si="105"/>
        <v>-1.2922193354300468E-2</v>
      </c>
      <c r="Z1148">
        <f t="shared" si="105"/>
        <v>6.8842076277020516E-3</v>
      </c>
      <c r="AE1148">
        <f>W1148-mu-theta*AE1147</f>
        <v>-4.6944189669771179E-3</v>
      </c>
      <c r="AF1148">
        <f t="shared" si="107"/>
        <v>-2.0523071652086954E-3</v>
      </c>
      <c r="AG1148">
        <f t="shared" si="107"/>
        <v>-1.1748568913868445E-2</v>
      </c>
      <c r="AK1148">
        <f t="shared" si="106"/>
        <v>2.2037569437514509E-5</v>
      </c>
    </row>
    <row r="1149" spans="1:37" x14ac:dyDescent="0.3">
      <c r="A1149" s="1">
        <v>45532</v>
      </c>
      <c r="B1149">
        <v>1.1120000000000001</v>
      </c>
      <c r="C1149">
        <v>1.319</v>
      </c>
      <c r="D1149">
        <v>144.57</v>
      </c>
      <c r="G1149">
        <v>1.1120000000000001</v>
      </c>
      <c r="H1149">
        <f t="shared" si="103"/>
        <v>1.1184000000000001</v>
      </c>
      <c r="I1149">
        <f t="shared" si="103"/>
        <v>1.1161000000000001</v>
      </c>
      <c r="J1149">
        <f t="shared" si="103"/>
        <v>1.119</v>
      </c>
      <c r="L1149">
        <f t="shared" si="102"/>
        <v>-6.3999999999999613E-3</v>
      </c>
      <c r="W1149">
        <f t="shared" si="104"/>
        <v>4.3070510593956552E-3</v>
      </c>
      <c r="X1149">
        <f t="shared" si="105"/>
        <v>-3.9440907832827398E-3</v>
      </c>
      <c r="Y1149">
        <f t="shared" si="105"/>
        <v>1.0389970215419109E-3</v>
      </c>
      <c r="Z1149">
        <f t="shared" si="105"/>
        <v>-1.2922193354300468E-2</v>
      </c>
      <c r="AE1149">
        <f>W1149-mu-theta*AE1148</f>
        <v>2.9188357718195716E-3</v>
      </c>
      <c r="AF1149">
        <f t="shared" si="107"/>
        <v>-4.6944189669771179E-3</v>
      </c>
      <c r="AG1149">
        <f t="shared" si="107"/>
        <v>-2.0523071652086954E-3</v>
      </c>
      <c r="AK1149">
        <f t="shared" si="106"/>
        <v>8.5196022628535539E-6</v>
      </c>
    </row>
    <row r="1150" spans="1:37" x14ac:dyDescent="0.3">
      <c r="A1150" s="1">
        <v>45533</v>
      </c>
      <c r="B1150">
        <v>1.1076999999999999</v>
      </c>
      <c r="C1150">
        <v>1.3168</v>
      </c>
      <c r="D1150">
        <v>144.97999999999999</v>
      </c>
      <c r="G1150">
        <v>1.1076999999999999</v>
      </c>
      <c r="H1150">
        <f t="shared" si="103"/>
        <v>1.1120000000000001</v>
      </c>
      <c r="I1150">
        <f t="shared" si="103"/>
        <v>1.1184000000000001</v>
      </c>
      <c r="J1150">
        <f t="shared" si="103"/>
        <v>1.1161000000000001</v>
      </c>
      <c r="L1150">
        <f t="shared" si="102"/>
        <v>-4.3000000000001926E-3</v>
      </c>
      <c r="W1150">
        <f t="shared" si="104"/>
        <v>2.8359964031264896E-3</v>
      </c>
      <c r="X1150">
        <f t="shared" si="105"/>
        <v>4.3070510593956552E-3</v>
      </c>
      <c r="Y1150">
        <f t="shared" si="105"/>
        <v>-3.9440907832827398E-3</v>
      </c>
      <c r="Z1150">
        <f t="shared" si="105"/>
        <v>1.0389970215419109E-3</v>
      </c>
      <c r="AE1150">
        <f>W1150-mu-theta*AE1149</f>
        <v>3.285855118775478E-3</v>
      </c>
      <c r="AF1150">
        <f t="shared" si="107"/>
        <v>2.9188357718195716E-3</v>
      </c>
      <c r="AG1150">
        <f t="shared" si="107"/>
        <v>-4.6944189669771179E-3</v>
      </c>
      <c r="AK1150">
        <f t="shared" si="106"/>
        <v>1.0796843861583011E-5</v>
      </c>
    </row>
    <row r="1151" spans="1:37" x14ac:dyDescent="0.3">
      <c r="A1151" s="1">
        <v>45534</v>
      </c>
      <c r="B1151">
        <v>1.1047</v>
      </c>
      <c r="C1151">
        <v>1.3126</v>
      </c>
      <c r="D1151">
        <v>146.16</v>
      </c>
      <c r="G1151">
        <v>1.1047</v>
      </c>
      <c r="H1151">
        <f t="shared" si="103"/>
        <v>1.1076999999999999</v>
      </c>
      <c r="I1151">
        <f t="shared" si="103"/>
        <v>1.1120000000000001</v>
      </c>
      <c r="J1151">
        <f t="shared" si="103"/>
        <v>1.1184000000000001</v>
      </c>
      <c r="L1151">
        <f t="shared" si="102"/>
        <v>-2.9999999999998916E-3</v>
      </c>
      <c r="W1151">
        <f t="shared" si="104"/>
        <v>8.1390536625741954E-3</v>
      </c>
      <c r="X1151">
        <f t="shared" si="105"/>
        <v>2.8359964031264896E-3</v>
      </c>
      <c r="Y1151">
        <f t="shared" si="105"/>
        <v>4.3070510593956552E-3</v>
      </c>
      <c r="Z1151">
        <f t="shared" si="105"/>
        <v>-3.9440907832827398E-3</v>
      </c>
      <c r="AE1151">
        <f>W1151-mu-theta*AE1150</f>
        <v>8.6775221441466252E-3</v>
      </c>
      <c r="AF1151">
        <f t="shared" si="107"/>
        <v>3.285855118775478E-3</v>
      </c>
      <c r="AG1151">
        <f t="shared" si="107"/>
        <v>2.9188357718195716E-3</v>
      </c>
      <c r="AK1151">
        <f t="shared" si="106"/>
        <v>7.5299390562155044E-5</v>
      </c>
    </row>
    <row r="1152" spans="1:37" x14ac:dyDescent="0.3">
      <c r="A1152" s="1">
        <v>45537</v>
      </c>
      <c r="B1152">
        <v>1.1071</v>
      </c>
      <c r="C1152">
        <v>1.3149</v>
      </c>
      <c r="D1152">
        <v>146.9</v>
      </c>
      <c r="G1152">
        <v>1.1071</v>
      </c>
      <c r="H1152">
        <f t="shared" si="103"/>
        <v>1.1047</v>
      </c>
      <c r="I1152">
        <f t="shared" si="103"/>
        <v>1.1076999999999999</v>
      </c>
      <c r="J1152">
        <f t="shared" si="103"/>
        <v>1.1120000000000001</v>
      </c>
      <c r="L1152">
        <f t="shared" si="102"/>
        <v>2.3999999999999577E-3</v>
      </c>
      <c r="W1152">
        <f t="shared" si="104"/>
        <v>5.062944718117194E-3</v>
      </c>
      <c r="X1152">
        <f t="shared" si="105"/>
        <v>8.1390536625741954E-3</v>
      </c>
      <c r="Y1152">
        <f t="shared" si="105"/>
        <v>2.8359964031264896E-3</v>
      </c>
      <c r="Z1152">
        <f t="shared" si="105"/>
        <v>4.3070510593956552E-3</v>
      </c>
      <c r="AE1152">
        <f>W1152-mu-theta*AE1151</f>
        <v>6.9031275562155313E-3</v>
      </c>
      <c r="AF1152">
        <f t="shared" si="107"/>
        <v>8.6775221441466252E-3</v>
      </c>
      <c r="AG1152">
        <f t="shared" si="107"/>
        <v>3.285855118775478E-3</v>
      </c>
      <c r="AK1152">
        <f t="shared" si="106"/>
        <v>4.7653170057382211E-5</v>
      </c>
    </row>
    <row r="1153" spans="1:37" x14ac:dyDescent="0.3">
      <c r="A1153" s="1">
        <v>45538</v>
      </c>
      <c r="B1153">
        <v>1.1043000000000001</v>
      </c>
      <c r="C1153">
        <v>1.3110999999999999</v>
      </c>
      <c r="D1153">
        <v>145.47</v>
      </c>
      <c r="G1153">
        <v>1.1043000000000001</v>
      </c>
      <c r="H1153">
        <f t="shared" si="103"/>
        <v>1.1071</v>
      </c>
      <c r="I1153">
        <f t="shared" si="103"/>
        <v>1.1047</v>
      </c>
      <c r="J1153">
        <f t="shared" si="103"/>
        <v>1.1076999999999999</v>
      </c>
      <c r="L1153">
        <f t="shared" si="102"/>
        <v>-2.7999999999999137E-3</v>
      </c>
      <c r="W1153">
        <f t="shared" si="104"/>
        <v>-9.7345132743363299E-3</v>
      </c>
      <c r="X1153">
        <f t="shared" si="105"/>
        <v>5.062944718117194E-3</v>
      </c>
      <c r="Y1153">
        <f t="shared" si="105"/>
        <v>8.1390536625741954E-3</v>
      </c>
      <c r="Z1153">
        <f t="shared" si="105"/>
        <v>2.8359964031264896E-3</v>
      </c>
      <c r="AE1153">
        <f>W1153-mu-theta*AE1152</f>
        <v>-8.3227238994067945E-3</v>
      </c>
      <c r="AF1153">
        <f t="shared" si="107"/>
        <v>6.9031275562155313E-3</v>
      </c>
      <c r="AG1153">
        <f t="shared" si="107"/>
        <v>8.6775221441466252E-3</v>
      </c>
      <c r="AK1153">
        <f t="shared" si="106"/>
        <v>6.9267733105757035E-5</v>
      </c>
    </row>
    <row r="1154" spans="1:37" x14ac:dyDescent="0.3">
      <c r="A1154" s="1">
        <v>45539</v>
      </c>
      <c r="B1154">
        <v>1.1082000000000001</v>
      </c>
      <c r="C1154">
        <v>1.3142</v>
      </c>
      <c r="D1154">
        <v>143.72999999999999</v>
      </c>
      <c r="G1154">
        <v>1.1082000000000001</v>
      </c>
      <c r="H1154">
        <f t="shared" si="103"/>
        <v>1.1043000000000001</v>
      </c>
      <c r="I1154">
        <f t="shared" si="103"/>
        <v>1.1071</v>
      </c>
      <c r="J1154">
        <f t="shared" si="103"/>
        <v>1.1047</v>
      </c>
      <c r="L1154">
        <f t="shared" si="102"/>
        <v>3.9000000000000146E-3</v>
      </c>
      <c r="W1154">
        <f t="shared" si="104"/>
        <v>-1.1961229119406126E-2</v>
      </c>
      <c r="X1154">
        <f t="shared" si="105"/>
        <v>-9.7345132743363299E-3</v>
      </c>
      <c r="Y1154">
        <f t="shared" si="105"/>
        <v>5.062944718117194E-3</v>
      </c>
      <c r="Z1154">
        <f t="shared" si="105"/>
        <v>8.1390536625741954E-3</v>
      </c>
      <c r="AE1154">
        <f>W1154-mu-theta*AE1153</f>
        <v>-1.4225428884171313E-2</v>
      </c>
      <c r="AF1154">
        <f t="shared" si="107"/>
        <v>-8.3227238994067945E-3</v>
      </c>
      <c r="AG1154">
        <f t="shared" si="107"/>
        <v>6.9031275562155313E-3</v>
      </c>
      <c r="AK1154">
        <f t="shared" si="106"/>
        <v>2.0236282693861547E-4</v>
      </c>
    </row>
    <row r="1155" spans="1:37" x14ac:dyDescent="0.3">
      <c r="A1155" s="1">
        <v>45540</v>
      </c>
      <c r="B1155">
        <v>1.111</v>
      </c>
      <c r="C1155">
        <v>1.3174999999999999</v>
      </c>
      <c r="D1155">
        <v>143.44</v>
      </c>
      <c r="G1155">
        <v>1.111</v>
      </c>
      <c r="H1155">
        <f t="shared" si="103"/>
        <v>1.1082000000000001</v>
      </c>
      <c r="I1155">
        <f t="shared" si="103"/>
        <v>1.1043000000000001</v>
      </c>
      <c r="J1155">
        <f t="shared" si="103"/>
        <v>1.1071</v>
      </c>
      <c r="L1155">
        <f t="shared" si="102"/>
        <v>2.7999999999999137E-3</v>
      </c>
      <c r="W1155">
        <f t="shared" si="104"/>
        <v>-2.0176720239337095E-3</v>
      </c>
      <c r="X1155">
        <f t="shared" si="105"/>
        <v>-1.1961229119406126E-2</v>
      </c>
      <c r="Y1155">
        <f t="shared" si="105"/>
        <v>-9.7345132743363299E-3</v>
      </c>
      <c r="Z1155">
        <f t="shared" si="105"/>
        <v>5.062944718117194E-3</v>
      </c>
      <c r="AE1155">
        <f>W1155-mu-theta*AE1154</f>
        <v>-5.7069664365784374E-3</v>
      </c>
      <c r="AF1155">
        <f t="shared" si="107"/>
        <v>-1.4225428884171313E-2</v>
      </c>
      <c r="AG1155">
        <f t="shared" si="107"/>
        <v>-8.3227238994067945E-3</v>
      </c>
      <c r="AK1155">
        <f t="shared" si="106"/>
        <v>3.256946590823279E-5</v>
      </c>
    </row>
    <row r="1156" spans="1:37" x14ac:dyDescent="0.3">
      <c r="A1156" s="1">
        <v>45541</v>
      </c>
      <c r="B1156">
        <v>1.1083000000000001</v>
      </c>
      <c r="C1156">
        <v>1.3123</v>
      </c>
      <c r="D1156">
        <v>142.27000000000001</v>
      </c>
      <c r="G1156">
        <v>1.1083000000000001</v>
      </c>
      <c r="H1156">
        <f t="shared" si="103"/>
        <v>1.111</v>
      </c>
      <c r="I1156">
        <f t="shared" si="103"/>
        <v>1.1082000000000001</v>
      </c>
      <c r="J1156">
        <f t="shared" si="103"/>
        <v>1.1043000000000001</v>
      </c>
      <c r="L1156">
        <f t="shared" si="102"/>
        <v>-2.6999999999999247E-3</v>
      </c>
      <c r="W1156">
        <f t="shared" si="104"/>
        <v>-8.1567205800333765E-3</v>
      </c>
      <c r="X1156">
        <f t="shared" si="105"/>
        <v>-2.0176720239337095E-3</v>
      </c>
      <c r="Y1156">
        <f t="shared" si="105"/>
        <v>-1.1961229119406126E-2</v>
      </c>
      <c r="Z1156">
        <f t="shared" si="105"/>
        <v>-9.7345132743363299E-3</v>
      </c>
      <c r="AE1156">
        <f>W1156-mu-theta*AE1155</f>
        <v>-9.7893959894311128E-3</v>
      </c>
      <c r="AF1156">
        <f t="shared" si="107"/>
        <v>-5.7069664365784374E-3</v>
      </c>
      <c r="AG1156">
        <f t="shared" si="107"/>
        <v>-1.4225428884171313E-2</v>
      </c>
      <c r="AK1156">
        <f t="shared" si="106"/>
        <v>9.5832273837889959E-5</v>
      </c>
    </row>
    <row r="1157" spans="1:37" x14ac:dyDescent="0.3">
      <c r="A1157" s="1">
        <v>45544</v>
      </c>
      <c r="B1157">
        <v>1.1033999999999999</v>
      </c>
      <c r="C1157">
        <v>1.3071999999999999</v>
      </c>
      <c r="D1157">
        <v>143.16999999999999</v>
      </c>
      <c r="G1157">
        <v>1.1033999999999999</v>
      </c>
      <c r="H1157">
        <f t="shared" si="103"/>
        <v>1.1083000000000001</v>
      </c>
      <c r="I1157">
        <f t="shared" si="103"/>
        <v>1.111</v>
      </c>
      <c r="J1157">
        <f t="shared" si="103"/>
        <v>1.1082000000000001</v>
      </c>
      <c r="L1157">
        <f t="shared" si="102"/>
        <v>-4.9000000000001265E-3</v>
      </c>
      <c r="W1157">
        <f t="shared" si="104"/>
        <v>6.3259998594220653E-3</v>
      </c>
      <c r="X1157">
        <f t="shared" si="105"/>
        <v>-8.1567205800333765E-3</v>
      </c>
      <c r="Y1157">
        <f t="shared" si="105"/>
        <v>-2.0176720239337095E-3</v>
      </c>
      <c r="Z1157">
        <f t="shared" si="105"/>
        <v>-1.1961229119406126E-2</v>
      </c>
      <c r="AE1157">
        <f>W1157-mu-theta*AE1156</f>
        <v>3.7077003131020078E-3</v>
      </c>
      <c r="AF1157">
        <f t="shared" si="107"/>
        <v>-9.7893959894311128E-3</v>
      </c>
      <c r="AG1157">
        <f t="shared" si="107"/>
        <v>-5.7069664365784374E-3</v>
      </c>
      <c r="AK1157">
        <f t="shared" si="106"/>
        <v>1.3747041611776727E-5</v>
      </c>
    </row>
    <row r="1158" spans="1:37" x14ac:dyDescent="0.3">
      <c r="A1158" s="1">
        <v>45545</v>
      </c>
      <c r="B1158">
        <v>1.1019000000000001</v>
      </c>
      <c r="C1158">
        <v>1.3079000000000001</v>
      </c>
      <c r="D1158">
        <v>142.43</v>
      </c>
      <c r="G1158">
        <v>1.1019000000000001</v>
      </c>
      <c r="H1158">
        <f t="shared" si="103"/>
        <v>1.1033999999999999</v>
      </c>
      <c r="I1158">
        <f t="shared" si="103"/>
        <v>1.1083000000000001</v>
      </c>
      <c r="J1158">
        <f t="shared" si="103"/>
        <v>1.111</v>
      </c>
      <c r="L1158">
        <f t="shared" ref="L1158:L1221" si="108">G1158-H1158</f>
        <v>-1.4999999999998348E-3</v>
      </c>
      <c r="W1158">
        <f t="shared" si="104"/>
        <v>-5.1686805895088412E-3</v>
      </c>
      <c r="X1158">
        <f t="shared" si="105"/>
        <v>6.3259998594220653E-3</v>
      </c>
      <c r="Y1158">
        <f t="shared" si="105"/>
        <v>-8.1567205800333765E-3</v>
      </c>
      <c r="Z1158">
        <f t="shared" si="105"/>
        <v>-2.0176720239337095E-3</v>
      </c>
      <c r="AE1158">
        <f>W1158-mu-theta*AE1157</f>
        <v>-4.5283656951104079E-3</v>
      </c>
      <c r="AF1158">
        <f t="shared" si="107"/>
        <v>3.7077003131020078E-3</v>
      </c>
      <c r="AG1158">
        <f t="shared" si="107"/>
        <v>-9.7893959894311128E-3</v>
      </c>
      <c r="AK1158">
        <f t="shared" si="106"/>
        <v>2.0506095868652768E-5</v>
      </c>
    </row>
    <row r="1159" spans="1:37" x14ac:dyDescent="0.3">
      <c r="A1159" s="1">
        <v>45546</v>
      </c>
      <c r="B1159">
        <v>1.1011</v>
      </c>
      <c r="C1159">
        <v>1.3043</v>
      </c>
      <c r="D1159">
        <v>142.35</v>
      </c>
      <c r="G1159">
        <v>1.1011</v>
      </c>
      <c r="H1159">
        <f t="shared" ref="H1159:J1222" si="109">G1158</f>
        <v>1.1019000000000001</v>
      </c>
      <c r="I1159">
        <f t="shared" si="109"/>
        <v>1.1033999999999999</v>
      </c>
      <c r="J1159">
        <f t="shared" si="109"/>
        <v>1.1083000000000001</v>
      </c>
      <c r="L1159">
        <f t="shared" si="108"/>
        <v>-8.0000000000013394E-4</v>
      </c>
      <c r="W1159">
        <f t="shared" ref="W1159:W1222" si="110">(D1159-D1158)/D1158</f>
        <v>-5.6167942147028363E-4</v>
      </c>
      <c r="X1159">
        <f t="shared" si="105"/>
        <v>-5.1686805895088412E-3</v>
      </c>
      <c r="Y1159">
        <f t="shared" si="105"/>
        <v>6.3259998594220653E-3</v>
      </c>
      <c r="Z1159">
        <f t="shared" si="105"/>
        <v>-8.1567205800333765E-3</v>
      </c>
      <c r="AE1159">
        <f>W1159-mu-theta*AE1158</f>
        <v>-1.9098043386804198E-3</v>
      </c>
      <c r="AF1159">
        <f t="shared" si="107"/>
        <v>-4.5283656951104079E-3</v>
      </c>
      <c r="AG1159">
        <f t="shared" si="107"/>
        <v>3.7077003131020078E-3</v>
      </c>
      <c r="AK1159">
        <f t="shared" si="106"/>
        <v>3.6473526120425558E-6</v>
      </c>
    </row>
    <row r="1160" spans="1:37" x14ac:dyDescent="0.3">
      <c r="A1160" s="1">
        <v>45547</v>
      </c>
      <c r="B1160">
        <v>1.1073999999999999</v>
      </c>
      <c r="C1160">
        <v>1.3123</v>
      </c>
      <c r="D1160">
        <v>141.79</v>
      </c>
      <c r="G1160">
        <v>1.1073999999999999</v>
      </c>
      <c r="H1160">
        <f t="shared" si="109"/>
        <v>1.1011</v>
      </c>
      <c r="I1160">
        <f t="shared" si="109"/>
        <v>1.1019000000000001</v>
      </c>
      <c r="J1160">
        <f t="shared" si="109"/>
        <v>1.1033999999999999</v>
      </c>
      <c r="L1160">
        <f t="shared" si="108"/>
        <v>6.2999999999999723E-3</v>
      </c>
      <c r="W1160">
        <f t="shared" si="110"/>
        <v>-3.9339655778012107E-3</v>
      </c>
      <c r="X1160">
        <f t="shared" ref="X1160:Z1223" si="111">W1159</f>
        <v>-5.6167942147028363E-4</v>
      </c>
      <c r="Y1160">
        <f t="shared" si="111"/>
        <v>-5.1686805895088412E-3</v>
      </c>
      <c r="Z1160">
        <f t="shared" si="111"/>
        <v>6.3259998594220653E-3</v>
      </c>
      <c r="AE1160">
        <f>W1160-mu-theta*AE1159</f>
        <v>-4.6498891934344498E-3</v>
      </c>
      <c r="AF1160">
        <f t="shared" si="107"/>
        <v>-1.9098043386804198E-3</v>
      </c>
      <c r="AG1160">
        <f t="shared" si="107"/>
        <v>-4.5283656951104079E-3</v>
      </c>
      <c r="AK1160">
        <f t="shared" ref="AK1160:AK1223" si="112">POWER(AE1160,2)</f>
        <v>2.162146951121848E-5</v>
      </c>
    </row>
    <row r="1161" spans="1:37" x14ac:dyDescent="0.3">
      <c r="A1161" s="1">
        <v>45548</v>
      </c>
      <c r="B1161">
        <v>1.1075999999999999</v>
      </c>
      <c r="C1161">
        <v>1.3122</v>
      </c>
      <c r="D1161">
        <v>140.82</v>
      </c>
      <c r="G1161">
        <v>1.1075999999999999</v>
      </c>
      <c r="H1161">
        <f t="shared" si="109"/>
        <v>1.1073999999999999</v>
      </c>
      <c r="I1161">
        <f t="shared" si="109"/>
        <v>1.1011</v>
      </c>
      <c r="J1161">
        <f t="shared" si="109"/>
        <v>1.1019000000000001</v>
      </c>
      <c r="L1161">
        <f t="shared" si="108"/>
        <v>1.9999999999997797E-4</v>
      </c>
      <c r="W1161">
        <f t="shared" si="110"/>
        <v>-6.8411030397066011E-3</v>
      </c>
      <c r="X1161">
        <f t="shared" si="111"/>
        <v>-3.9339655778012107E-3</v>
      </c>
      <c r="Y1161">
        <f t="shared" si="111"/>
        <v>-5.6167942147028363E-4</v>
      </c>
      <c r="Z1161">
        <f t="shared" si="111"/>
        <v>-5.1686805895088412E-3</v>
      </c>
      <c r="AE1161">
        <f>W1161-mu-theta*AE1160</f>
        <v>-8.2185674694792311E-3</v>
      </c>
      <c r="AF1161">
        <f t="shared" ref="AF1161:AG1224" si="113">AE1160</f>
        <v>-4.6498891934344498E-3</v>
      </c>
      <c r="AG1161">
        <f t="shared" si="113"/>
        <v>-1.9098043386804198E-3</v>
      </c>
      <c r="AK1161">
        <f t="shared" si="112"/>
        <v>6.7544851250382252E-5</v>
      </c>
    </row>
    <row r="1162" spans="1:37" x14ac:dyDescent="0.3">
      <c r="A1162" s="1">
        <v>45551</v>
      </c>
      <c r="B1162">
        <v>1.1132</v>
      </c>
      <c r="C1162">
        <v>1.3216000000000001</v>
      </c>
      <c r="D1162">
        <v>140.6</v>
      </c>
      <c r="G1162">
        <v>1.1132</v>
      </c>
      <c r="H1162">
        <f t="shared" si="109"/>
        <v>1.1075999999999999</v>
      </c>
      <c r="I1162">
        <f t="shared" si="109"/>
        <v>1.1073999999999999</v>
      </c>
      <c r="J1162">
        <f t="shared" si="109"/>
        <v>1.1011</v>
      </c>
      <c r="L1162">
        <f t="shared" si="108"/>
        <v>5.6000000000000494E-3</v>
      </c>
      <c r="W1162">
        <f t="shared" si="110"/>
        <v>-1.5622780854992109E-3</v>
      </c>
      <c r="X1162">
        <f t="shared" si="111"/>
        <v>-6.8411030397066011E-3</v>
      </c>
      <c r="Y1162">
        <f t="shared" si="111"/>
        <v>-3.9339655778012107E-3</v>
      </c>
      <c r="Z1162">
        <f t="shared" si="111"/>
        <v>-5.6167942147028363E-4</v>
      </c>
      <c r="AE1162">
        <f>W1162-mu-theta*AE1161</f>
        <v>-3.8013312825102706E-3</v>
      </c>
      <c r="AF1162">
        <f t="shared" si="113"/>
        <v>-8.2185674694792311E-3</v>
      </c>
      <c r="AG1162">
        <f t="shared" si="113"/>
        <v>-4.6498891934344498E-3</v>
      </c>
      <c r="AK1162">
        <f t="shared" si="112"/>
        <v>1.4450119519391179E-5</v>
      </c>
    </row>
    <row r="1163" spans="1:37" x14ac:dyDescent="0.3">
      <c r="A1163" s="1">
        <v>45552</v>
      </c>
      <c r="B1163">
        <v>1.1113</v>
      </c>
      <c r="C1163">
        <v>1.3160000000000001</v>
      </c>
      <c r="D1163">
        <v>142.4</v>
      </c>
      <c r="G1163">
        <v>1.1113</v>
      </c>
      <c r="H1163">
        <f t="shared" si="109"/>
        <v>1.1132</v>
      </c>
      <c r="I1163">
        <f t="shared" si="109"/>
        <v>1.1075999999999999</v>
      </c>
      <c r="J1163">
        <f t="shared" si="109"/>
        <v>1.1073999999999999</v>
      </c>
      <c r="L1163">
        <f t="shared" si="108"/>
        <v>-1.9000000000000128E-3</v>
      </c>
      <c r="W1163">
        <f t="shared" si="110"/>
        <v>1.2802275960170778E-2</v>
      </c>
      <c r="X1163">
        <f t="shared" si="111"/>
        <v>-1.5622780854992109E-3</v>
      </c>
      <c r="Y1163">
        <f t="shared" si="111"/>
        <v>-6.8411030397066011E-3</v>
      </c>
      <c r="Z1163">
        <f t="shared" si="111"/>
        <v>-3.9339655778012107E-3</v>
      </c>
      <c r="AE1163">
        <f>W1163-mu-theta*AE1162</f>
        <v>1.162967952573167E-2</v>
      </c>
      <c r="AF1163">
        <f t="shared" si="113"/>
        <v>-3.8013312825102706E-3</v>
      </c>
      <c r="AG1163">
        <f t="shared" si="113"/>
        <v>-8.2185674694792311E-3</v>
      </c>
      <c r="AK1163">
        <f t="shared" si="112"/>
        <v>1.3524944587122242E-4</v>
      </c>
    </row>
    <row r="1164" spans="1:37" x14ac:dyDescent="0.3">
      <c r="A1164" s="1">
        <v>45553</v>
      </c>
      <c r="B1164">
        <v>1.1117999999999999</v>
      </c>
      <c r="C1164">
        <v>1.3211999999999999</v>
      </c>
      <c r="D1164">
        <v>142.27000000000001</v>
      </c>
      <c r="G1164">
        <v>1.1117999999999999</v>
      </c>
      <c r="H1164">
        <f t="shared" si="109"/>
        <v>1.1113</v>
      </c>
      <c r="I1164">
        <f t="shared" si="109"/>
        <v>1.1132</v>
      </c>
      <c r="J1164">
        <f t="shared" si="109"/>
        <v>1.1075999999999999</v>
      </c>
      <c r="L1164">
        <f t="shared" si="108"/>
        <v>4.9999999999994493E-4</v>
      </c>
      <c r="W1164">
        <f t="shared" si="110"/>
        <v>-9.129213483145748E-4</v>
      </c>
      <c r="X1164">
        <f t="shared" si="111"/>
        <v>1.2802275960170778E-2</v>
      </c>
      <c r="Y1164">
        <f t="shared" si="111"/>
        <v>-1.5622780854992109E-3</v>
      </c>
      <c r="Z1164">
        <f t="shared" si="111"/>
        <v>-6.8411030397066011E-3</v>
      </c>
      <c r="AE1164">
        <f>W1164-mu-theta*AE1163</f>
        <v>1.6400031387487518E-3</v>
      </c>
      <c r="AF1164">
        <f t="shared" si="113"/>
        <v>1.162967952573167E-2</v>
      </c>
      <c r="AG1164">
        <f t="shared" si="113"/>
        <v>-3.8013312825102706E-3</v>
      </c>
      <c r="AK1164">
        <f t="shared" si="112"/>
        <v>2.6896102951057574E-6</v>
      </c>
    </row>
    <row r="1165" spans="1:37" x14ac:dyDescent="0.3">
      <c r="A1165" s="1">
        <v>45554</v>
      </c>
      <c r="B1165">
        <v>1.1161000000000001</v>
      </c>
      <c r="C1165">
        <v>1.3284</v>
      </c>
      <c r="D1165">
        <v>142.62</v>
      </c>
      <c r="G1165">
        <v>1.1161000000000001</v>
      </c>
      <c r="H1165">
        <f t="shared" si="109"/>
        <v>1.1117999999999999</v>
      </c>
      <c r="I1165">
        <f t="shared" si="109"/>
        <v>1.1113</v>
      </c>
      <c r="J1165">
        <f t="shared" si="109"/>
        <v>1.1132</v>
      </c>
      <c r="L1165">
        <f t="shared" si="108"/>
        <v>4.3000000000001926E-3</v>
      </c>
      <c r="W1165">
        <f t="shared" si="110"/>
        <v>2.4601110564419363E-3</v>
      </c>
      <c r="X1165">
        <f t="shared" si="111"/>
        <v>-9.129213483145748E-4</v>
      </c>
      <c r="Y1165">
        <f t="shared" si="111"/>
        <v>1.2802275960170778E-2</v>
      </c>
      <c r="Z1165">
        <f t="shared" si="111"/>
        <v>-1.5622780854992109E-3</v>
      </c>
      <c r="AE1165">
        <f>W1165-mu-theta*AE1164</f>
        <v>2.6012202164843218E-3</v>
      </c>
      <c r="AF1165">
        <f t="shared" si="113"/>
        <v>1.6400031387487518E-3</v>
      </c>
      <c r="AG1165">
        <f t="shared" si="113"/>
        <v>1.162967952573167E-2</v>
      </c>
      <c r="AK1165">
        <f t="shared" si="112"/>
        <v>6.7663466146467417E-6</v>
      </c>
    </row>
    <row r="1166" spans="1:37" x14ac:dyDescent="0.3">
      <c r="A1166" s="1">
        <v>45555</v>
      </c>
      <c r="B1166">
        <v>1.1162000000000001</v>
      </c>
      <c r="C1166">
        <v>1.3321000000000001</v>
      </c>
      <c r="D1166">
        <v>143.91</v>
      </c>
      <c r="G1166">
        <v>1.1162000000000001</v>
      </c>
      <c r="H1166">
        <f t="shared" si="109"/>
        <v>1.1161000000000001</v>
      </c>
      <c r="I1166">
        <f t="shared" si="109"/>
        <v>1.1117999999999999</v>
      </c>
      <c r="J1166">
        <f t="shared" si="109"/>
        <v>1.1113</v>
      </c>
      <c r="L1166">
        <f t="shared" si="108"/>
        <v>9.9999999999988987E-5</v>
      </c>
      <c r="W1166">
        <f t="shared" si="110"/>
        <v>9.0450147244425187E-3</v>
      </c>
      <c r="X1166">
        <f t="shared" si="111"/>
        <v>2.4601110564419363E-3</v>
      </c>
      <c r="Y1166">
        <f t="shared" si="111"/>
        <v>-9.129213483145748E-4</v>
      </c>
      <c r="Z1166">
        <f t="shared" si="111"/>
        <v>1.2802275960170778E-2</v>
      </c>
      <c r="AE1166">
        <f>W1166-mu-theta*AE1165</f>
        <v>9.4181912699407306E-3</v>
      </c>
      <c r="AF1166">
        <f t="shared" si="113"/>
        <v>2.6012202164843218E-3</v>
      </c>
      <c r="AG1166">
        <f t="shared" si="113"/>
        <v>1.6400031387487518E-3</v>
      </c>
      <c r="AK1166">
        <f t="shared" si="112"/>
        <v>8.8702326797187786E-5</v>
      </c>
    </row>
    <row r="1167" spans="1:37" x14ac:dyDescent="0.3">
      <c r="A1167" s="1">
        <v>45558</v>
      </c>
      <c r="B1167">
        <v>1.1112</v>
      </c>
      <c r="C1167">
        <v>1.3346</v>
      </c>
      <c r="D1167">
        <v>143.6</v>
      </c>
      <c r="G1167">
        <v>1.1112</v>
      </c>
      <c r="H1167">
        <f t="shared" si="109"/>
        <v>1.1162000000000001</v>
      </c>
      <c r="I1167">
        <f t="shared" si="109"/>
        <v>1.1161000000000001</v>
      </c>
      <c r="J1167">
        <f t="shared" si="109"/>
        <v>1.1117999999999999</v>
      </c>
      <c r="L1167">
        <f t="shared" si="108"/>
        <v>-5.0000000000001155E-3</v>
      </c>
      <c r="W1167">
        <f t="shared" si="110"/>
        <v>-2.1541241053436334E-3</v>
      </c>
      <c r="X1167">
        <f t="shared" si="111"/>
        <v>9.0450147244425187E-3</v>
      </c>
      <c r="Y1167">
        <f t="shared" si="111"/>
        <v>2.4601110564419363E-3</v>
      </c>
      <c r="Z1167">
        <f t="shared" si="111"/>
        <v>-9.129213483145748E-4</v>
      </c>
      <c r="AE1167">
        <f>W1167-mu-theta*AE1166</f>
        <v>-1.3512094508059177E-4</v>
      </c>
      <c r="AF1167">
        <f t="shared" si="113"/>
        <v>9.4181912699407306E-3</v>
      </c>
      <c r="AG1167">
        <f t="shared" si="113"/>
        <v>2.6012202164843218E-3</v>
      </c>
      <c r="AK1167">
        <f t="shared" si="112"/>
        <v>1.8257669799472296E-8</v>
      </c>
    </row>
    <row r="1168" spans="1:37" x14ac:dyDescent="0.3">
      <c r="A1168" s="1">
        <v>45559</v>
      </c>
      <c r="B1168">
        <v>1.1180000000000001</v>
      </c>
      <c r="C1168">
        <v>1.3411999999999999</v>
      </c>
      <c r="D1168">
        <v>143.21</v>
      </c>
      <c r="G1168">
        <v>1.1180000000000001</v>
      </c>
      <c r="H1168">
        <f t="shared" si="109"/>
        <v>1.1112</v>
      </c>
      <c r="I1168">
        <f t="shared" si="109"/>
        <v>1.1162000000000001</v>
      </c>
      <c r="J1168">
        <f t="shared" si="109"/>
        <v>1.1161000000000001</v>
      </c>
      <c r="L1168">
        <f t="shared" si="108"/>
        <v>6.8000000000001393E-3</v>
      </c>
      <c r="W1168">
        <f t="shared" si="110"/>
        <v>-2.7158774373258103E-3</v>
      </c>
      <c r="X1168">
        <f t="shared" si="111"/>
        <v>-2.1541241053436334E-3</v>
      </c>
      <c r="Y1168">
        <f t="shared" si="111"/>
        <v>9.0450147244425187E-3</v>
      </c>
      <c r="Z1168">
        <f t="shared" si="111"/>
        <v>2.4601110564419363E-3</v>
      </c>
      <c r="AE1168">
        <f>W1168-mu-theta*AE1167</f>
        <v>-3.0033378632133897E-3</v>
      </c>
      <c r="AF1168">
        <f t="shared" si="113"/>
        <v>-1.3512094508059177E-4</v>
      </c>
      <c r="AG1168">
        <f t="shared" si="113"/>
        <v>9.4181912699407306E-3</v>
      </c>
      <c r="AK1168">
        <f t="shared" si="112"/>
        <v>9.02003832061117E-6</v>
      </c>
    </row>
    <row r="1169" spans="1:37" x14ac:dyDescent="0.3">
      <c r="A1169" s="1">
        <v>45560</v>
      </c>
      <c r="B1169">
        <v>1.1132</v>
      </c>
      <c r="C1169">
        <v>1.3323</v>
      </c>
      <c r="D1169">
        <v>144.75</v>
      </c>
      <c r="G1169">
        <v>1.1132</v>
      </c>
      <c r="H1169">
        <f t="shared" si="109"/>
        <v>1.1180000000000001</v>
      </c>
      <c r="I1169">
        <f t="shared" si="109"/>
        <v>1.1112</v>
      </c>
      <c r="J1169">
        <f t="shared" si="109"/>
        <v>1.1162000000000001</v>
      </c>
      <c r="L1169">
        <f t="shared" si="108"/>
        <v>-4.8000000000001375E-3</v>
      </c>
      <c r="W1169">
        <f t="shared" si="110"/>
        <v>1.0753439005655974E-2</v>
      </c>
      <c r="X1169">
        <f t="shared" si="111"/>
        <v>-2.7158774373258103E-3</v>
      </c>
      <c r="Y1169">
        <f t="shared" si="111"/>
        <v>-2.1541241053436334E-3</v>
      </c>
      <c r="Z1169">
        <f t="shared" si="111"/>
        <v>9.0450147244425187E-3</v>
      </c>
      <c r="AE1169">
        <f>W1169-mu-theta*AE1168</f>
        <v>9.7735027420738467E-3</v>
      </c>
      <c r="AF1169">
        <f t="shared" si="113"/>
        <v>-3.0033378632133897E-3</v>
      </c>
      <c r="AG1169">
        <f t="shared" si="113"/>
        <v>-1.3512094508059177E-4</v>
      </c>
      <c r="AK1169">
        <f t="shared" si="112"/>
        <v>9.5521355849325005E-5</v>
      </c>
    </row>
    <row r="1170" spans="1:37" x14ac:dyDescent="0.3">
      <c r="A1170" s="1">
        <v>45561</v>
      </c>
      <c r="B1170">
        <v>1.1175999999999999</v>
      </c>
      <c r="C1170">
        <v>1.3414999999999999</v>
      </c>
      <c r="D1170">
        <v>144.80000000000001</v>
      </c>
      <c r="G1170">
        <v>1.1175999999999999</v>
      </c>
      <c r="H1170">
        <f t="shared" si="109"/>
        <v>1.1132</v>
      </c>
      <c r="I1170">
        <f t="shared" si="109"/>
        <v>1.1180000000000001</v>
      </c>
      <c r="J1170">
        <f t="shared" si="109"/>
        <v>1.1112</v>
      </c>
      <c r="L1170">
        <f t="shared" si="108"/>
        <v>4.3999999999999595E-3</v>
      </c>
      <c r="W1170">
        <f t="shared" si="110"/>
        <v>3.4542314335068302E-4</v>
      </c>
      <c r="X1170">
        <f t="shared" si="111"/>
        <v>1.0753439005655974E-2</v>
      </c>
      <c r="Y1170">
        <f t="shared" si="111"/>
        <v>-2.7158774373258103E-3</v>
      </c>
      <c r="Z1170">
        <f t="shared" si="111"/>
        <v>-2.1541241053436334E-3</v>
      </c>
      <c r="AE1170">
        <f>W1170-mu-theta*AE1169</f>
        <v>2.4502094282276179E-3</v>
      </c>
      <c r="AF1170">
        <f t="shared" si="113"/>
        <v>9.7735027420738467E-3</v>
      </c>
      <c r="AG1170">
        <f t="shared" si="113"/>
        <v>-3.0033378632133897E-3</v>
      </c>
      <c r="AK1170">
        <f t="shared" si="112"/>
        <v>6.0035262421755106E-6</v>
      </c>
    </row>
    <row r="1171" spans="1:37" x14ac:dyDescent="0.3">
      <c r="A1171" s="1">
        <v>45562</v>
      </c>
      <c r="B1171">
        <v>1.1163000000000001</v>
      </c>
      <c r="C1171">
        <v>1.3372999999999999</v>
      </c>
      <c r="D1171">
        <v>142.19</v>
      </c>
      <c r="G1171">
        <v>1.1163000000000001</v>
      </c>
      <c r="H1171">
        <f t="shared" si="109"/>
        <v>1.1175999999999999</v>
      </c>
      <c r="I1171">
        <f t="shared" si="109"/>
        <v>1.1132</v>
      </c>
      <c r="J1171">
        <f t="shared" si="109"/>
        <v>1.1180000000000001</v>
      </c>
      <c r="L1171">
        <f t="shared" si="108"/>
        <v>-1.2999999999998568E-3</v>
      </c>
      <c r="W1171">
        <f t="shared" si="110"/>
        <v>-1.8024861878453133E-2</v>
      </c>
      <c r="X1171">
        <f t="shared" si="111"/>
        <v>3.4542314335068302E-4</v>
      </c>
      <c r="Y1171">
        <f t="shared" si="111"/>
        <v>1.0753439005655974E-2</v>
      </c>
      <c r="Z1171">
        <f t="shared" si="111"/>
        <v>-2.7158774373258103E-3</v>
      </c>
      <c r="AE1171">
        <f>W1171-mu-theta*AE1170</f>
        <v>-1.7688143984822526E-2</v>
      </c>
      <c r="AF1171">
        <f t="shared" si="113"/>
        <v>2.4502094282276179E-3</v>
      </c>
      <c r="AG1171">
        <f t="shared" si="113"/>
        <v>9.7735027420738467E-3</v>
      </c>
      <c r="AK1171">
        <f t="shared" si="112"/>
        <v>3.1287043762781331E-4</v>
      </c>
    </row>
    <row r="1172" spans="1:37" x14ac:dyDescent="0.3">
      <c r="A1172" s="1">
        <v>45565</v>
      </c>
      <c r="B1172">
        <v>1.1133999999999999</v>
      </c>
      <c r="C1172">
        <v>1.337</v>
      </c>
      <c r="D1172">
        <v>143.62</v>
      </c>
      <c r="G1172">
        <v>1.1133999999999999</v>
      </c>
      <c r="H1172">
        <f t="shared" si="109"/>
        <v>1.1163000000000001</v>
      </c>
      <c r="I1172">
        <f t="shared" si="109"/>
        <v>1.1175999999999999</v>
      </c>
      <c r="J1172">
        <f t="shared" si="109"/>
        <v>1.1132</v>
      </c>
      <c r="L1172">
        <f t="shared" si="108"/>
        <v>-2.9000000000001247E-3</v>
      </c>
      <c r="W1172">
        <f t="shared" si="110"/>
        <v>1.005696603136653E-2</v>
      </c>
      <c r="X1172">
        <f t="shared" si="111"/>
        <v>-1.8024861878453133E-2</v>
      </c>
      <c r="Y1172">
        <f t="shared" si="111"/>
        <v>3.4542314335068302E-4</v>
      </c>
      <c r="Z1172">
        <f t="shared" si="111"/>
        <v>1.0753439005655974E-2</v>
      </c>
      <c r="AE1172">
        <f>W1172-mu-theta*AE1171</f>
        <v>5.5316656231982828E-3</v>
      </c>
      <c r="AF1172">
        <f t="shared" si="113"/>
        <v>-1.7688143984822526E-2</v>
      </c>
      <c r="AG1172">
        <f t="shared" si="113"/>
        <v>2.4502094282276179E-3</v>
      </c>
      <c r="AK1172">
        <f t="shared" si="112"/>
        <v>3.0599324566873645E-5</v>
      </c>
    </row>
    <row r="1173" spans="1:37" x14ac:dyDescent="0.3">
      <c r="A1173" s="1">
        <v>45566</v>
      </c>
      <c r="B1173">
        <v>1.1067</v>
      </c>
      <c r="C1173">
        <v>1.3285</v>
      </c>
      <c r="D1173">
        <v>143.56</v>
      </c>
      <c r="G1173">
        <v>1.1067</v>
      </c>
      <c r="H1173">
        <f t="shared" si="109"/>
        <v>1.1133999999999999</v>
      </c>
      <c r="I1173">
        <f t="shared" si="109"/>
        <v>1.1163000000000001</v>
      </c>
      <c r="J1173">
        <f t="shared" si="109"/>
        <v>1.1175999999999999</v>
      </c>
      <c r="L1173">
        <f t="shared" si="108"/>
        <v>-6.6999999999999282E-3</v>
      </c>
      <c r="W1173">
        <f t="shared" si="110"/>
        <v>-4.1776911293693266E-4</v>
      </c>
      <c r="X1173">
        <f t="shared" si="111"/>
        <v>1.005696603136653E-2</v>
      </c>
      <c r="Y1173">
        <f t="shared" si="111"/>
        <v>-1.8024861878453133E-2</v>
      </c>
      <c r="Z1173">
        <f t="shared" si="111"/>
        <v>3.4542314335068302E-4</v>
      </c>
      <c r="AE1173">
        <f>W1173-mu-theta*AE1172</f>
        <v>6.6290714257395006E-4</v>
      </c>
      <c r="AF1173">
        <f t="shared" si="113"/>
        <v>5.5316656231982828E-3</v>
      </c>
      <c r="AG1173">
        <f t="shared" si="113"/>
        <v>-1.7688143984822526E-2</v>
      </c>
      <c r="AK1173">
        <f t="shared" si="112"/>
        <v>4.3944587967555935E-7</v>
      </c>
    </row>
    <row r="1174" spans="1:37" x14ac:dyDescent="0.3">
      <c r="A1174" s="1">
        <v>45567</v>
      </c>
      <c r="B1174">
        <v>1.1045</v>
      </c>
      <c r="C1174">
        <v>1.3267</v>
      </c>
      <c r="D1174">
        <v>146.46</v>
      </c>
      <c r="G1174">
        <v>1.1045</v>
      </c>
      <c r="H1174">
        <f t="shared" si="109"/>
        <v>1.1067</v>
      </c>
      <c r="I1174">
        <f t="shared" si="109"/>
        <v>1.1133999999999999</v>
      </c>
      <c r="J1174">
        <f t="shared" si="109"/>
        <v>1.1163000000000001</v>
      </c>
      <c r="L1174">
        <f t="shared" si="108"/>
        <v>-2.1999999999999797E-3</v>
      </c>
      <c r="W1174">
        <f t="shared" si="110"/>
        <v>2.0200612984118179E-2</v>
      </c>
      <c r="X1174">
        <f t="shared" si="111"/>
        <v>-4.1776911293693266E-4</v>
      </c>
      <c r="Y1174">
        <f t="shared" si="111"/>
        <v>1.005696603136653E-2</v>
      </c>
      <c r="Z1174">
        <f t="shared" si="111"/>
        <v>-1.8024861878453133E-2</v>
      </c>
      <c r="AE1174">
        <f>W1174-mu-theta*AE1173</f>
        <v>2.0105821099096088E-2</v>
      </c>
      <c r="AF1174">
        <f t="shared" si="113"/>
        <v>6.6290714257395006E-4</v>
      </c>
      <c r="AG1174">
        <f t="shared" si="113"/>
        <v>5.5316656231982828E-3</v>
      </c>
      <c r="AK1174">
        <f t="shared" si="112"/>
        <v>4.0424404206885746E-4</v>
      </c>
    </row>
    <row r="1175" spans="1:37" x14ac:dyDescent="0.3">
      <c r="A1175" s="1">
        <v>45568</v>
      </c>
      <c r="B1175">
        <v>1.1031</v>
      </c>
      <c r="C1175">
        <v>1.3124</v>
      </c>
      <c r="D1175">
        <v>146.91999999999999</v>
      </c>
      <c r="G1175">
        <v>1.1031</v>
      </c>
      <c r="H1175">
        <f t="shared" si="109"/>
        <v>1.1045</v>
      </c>
      <c r="I1175">
        <f t="shared" si="109"/>
        <v>1.1067</v>
      </c>
      <c r="J1175">
        <f t="shared" si="109"/>
        <v>1.1133999999999999</v>
      </c>
      <c r="L1175">
        <f t="shared" si="108"/>
        <v>-1.4000000000000679E-3</v>
      </c>
      <c r="W1175">
        <f t="shared" si="110"/>
        <v>3.1407892940050492E-3</v>
      </c>
      <c r="X1175">
        <f t="shared" si="111"/>
        <v>2.0200612984118179E-2</v>
      </c>
      <c r="Y1175">
        <f t="shared" si="111"/>
        <v>-4.1776911293693266E-4</v>
      </c>
      <c r="Z1175">
        <f t="shared" si="111"/>
        <v>1.005696603136653E-2</v>
      </c>
      <c r="AE1175">
        <f>W1175-mu-theta*AE1174</f>
        <v>7.7401152227885373E-3</v>
      </c>
      <c r="AF1175">
        <f t="shared" si="113"/>
        <v>2.0105821099096088E-2</v>
      </c>
      <c r="AG1175">
        <f t="shared" si="113"/>
        <v>6.6290714257395006E-4</v>
      </c>
      <c r="AK1175">
        <f t="shared" si="112"/>
        <v>5.9909383662042848E-5</v>
      </c>
    </row>
    <row r="1176" spans="1:37" x14ac:dyDescent="0.3">
      <c r="A1176" s="1">
        <v>45569</v>
      </c>
      <c r="B1176">
        <v>1.0975999999999999</v>
      </c>
      <c r="C1176">
        <v>1.3116000000000001</v>
      </c>
      <c r="D1176">
        <v>148.71</v>
      </c>
      <c r="G1176">
        <v>1.0975999999999999</v>
      </c>
      <c r="H1176">
        <f t="shared" si="109"/>
        <v>1.1031</v>
      </c>
      <c r="I1176">
        <f t="shared" si="109"/>
        <v>1.1045</v>
      </c>
      <c r="J1176">
        <f t="shared" si="109"/>
        <v>1.1067</v>
      </c>
      <c r="L1176">
        <f t="shared" si="108"/>
        <v>-5.5000000000000604E-3</v>
      </c>
      <c r="W1176">
        <f t="shared" si="110"/>
        <v>1.2183501225156688E-2</v>
      </c>
      <c r="X1176">
        <f t="shared" si="111"/>
        <v>3.1407892940050492E-3</v>
      </c>
      <c r="Y1176">
        <f t="shared" si="111"/>
        <v>2.0200612984118179E-2</v>
      </c>
      <c r="Z1176">
        <f t="shared" si="111"/>
        <v>-4.1776911293693266E-4</v>
      </c>
      <c r="AE1176">
        <f>W1176-mu-theta*AE1175</f>
        <v>1.379736518234183E-2</v>
      </c>
      <c r="AF1176">
        <f t="shared" si="113"/>
        <v>7.7401152227885373E-3</v>
      </c>
      <c r="AG1176">
        <f t="shared" si="113"/>
        <v>2.0105821099096088E-2</v>
      </c>
      <c r="AK1176">
        <f t="shared" si="112"/>
        <v>1.9036728597489859E-4</v>
      </c>
    </row>
    <row r="1177" spans="1:37" x14ac:dyDescent="0.3">
      <c r="A1177" s="1">
        <v>45572</v>
      </c>
      <c r="B1177">
        <v>1.0973999999999999</v>
      </c>
      <c r="C1177">
        <v>1.3083</v>
      </c>
      <c r="D1177">
        <v>148.18</v>
      </c>
      <c r="G1177">
        <v>1.0973999999999999</v>
      </c>
      <c r="H1177">
        <f t="shared" si="109"/>
        <v>1.0975999999999999</v>
      </c>
      <c r="I1177">
        <f t="shared" si="109"/>
        <v>1.1031</v>
      </c>
      <c r="J1177">
        <f t="shared" si="109"/>
        <v>1.1045</v>
      </c>
      <c r="L1177">
        <f t="shared" si="108"/>
        <v>-1.9999999999997797E-4</v>
      </c>
      <c r="W1177">
        <f t="shared" si="110"/>
        <v>-3.5639835922264885E-3</v>
      </c>
      <c r="X1177">
        <f t="shared" si="111"/>
        <v>1.2183501225156688E-2</v>
      </c>
      <c r="Y1177">
        <f t="shared" si="111"/>
        <v>3.1407892940050492E-3</v>
      </c>
      <c r="Z1177">
        <f t="shared" si="111"/>
        <v>2.0200612984118179E-2</v>
      </c>
      <c r="AE1177">
        <f>W1177-mu-theta*AE1176</f>
        <v>-4.8771307389549549E-4</v>
      </c>
      <c r="AF1177">
        <f t="shared" si="113"/>
        <v>1.379736518234183E-2</v>
      </c>
      <c r="AG1177">
        <f t="shared" si="113"/>
        <v>7.7401152227885373E-3</v>
      </c>
      <c r="AK1177">
        <f t="shared" si="112"/>
        <v>2.3786404244859305E-7</v>
      </c>
    </row>
    <row r="1178" spans="1:37" x14ac:dyDescent="0.3">
      <c r="A1178" s="1">
        <v>45573</v>
      </c>
      <c r="B1178">
        <v>1.0980000000000001</v>
      </c>
      <c r="C1178">
        <v>1.3104</v>
      </c>
      <c r="D1178">
        <v>148.19</v>
      </c>
      <c r="G1178">
        <v>1.0980000000000001</v>
      </c>
      <c r="H1178">
        <f t="shared" si="109"/>
        <v>1.0973999999999999</v>
      </c>
      <c r="I1178">
        <f t="shared" si="109"/>
        <v>1.0975999999999999</v>
      </c>
      <c r="J1178">
        <f t="shared" si="109"/>
        <v>1.1031</v>
      </c>
      <c r="L1178">
        <f t="shared" si="108"/>
        <v>6.0000000000015596E-4</v>
      </c>
      <c r="W1178">
        <f t="shared" si="110"/>
        <v>6.7485490619455417E-5</v>
      </c>
      <c r="X1178">
        <f t="shared" si="111"/>
        <v>-3.5639835922264885E-3</v>
      </c>
      <c r="Y1178">
        <f t="shared" si="111"/>
        <v>1.2183501225156688E-2</v>
      </c>
      <c r="Z1178">
        <f t="shared" si="111"/>
        <v>3.1407892940050492E-3</v>
      </c>
      <c r="AE1178">
        <f>W1178-mu-theta*AE1177</f>
        <v>-3.0510152671315075E-4</v>
      </c>
      <c r="AF1178">
        <f t="shared" si="113"/>
        <v>-4.8771307389549549E-4</v>
      </c>
      <c r="AG1178">
        <f t="shared" si="113"/>
        <v>1.379736518234183E-2</v>
      </c>
      <c r="AK1178">
        <f t="shared" si="112"/>
        <v>9.3086941602695444E-8</v>
      </c>
    </row>
    <row r="1179" spans="1:37" x14ac:dyDescent="0.3">
      <c r="A1179" s="1">
        <v>45574</v>
      </c>
      <c r="B1179">
        <v>1.0939000000000001</v>
      </c>
      <c r="C1179">
        <v>1.3069999999999999</v>
      </c>
      <c r="D1179">
        <v>149.29</v>
      </c>
      <c r="G1179">
        <v>1.0939000000000001</v>
      </c>
      <c r="H1179">
        <f t="shared" si="109"/>
        <v>1.0980000000000001</v>
      </c>
      <c r="I1179">
        <f t="shared" si="109"/>
        <v>1.0973999999999999</v>
      </c>
      <c r="J1179">
        <f t="shared" si="109"/>
        <v>1.0975999999999999</v>
      </c>
      <c r="L1179">
        <f t="shared" si="108"/>
        <v>-4.0999999999999925E-3</v>
      </c>
      <c r="W1179">
        <f t="shared" si="110"/>
        <v>7.4229030298940167E-3</v>
      </c>
      <c r="X1179">
        <f t="shared" si="111"/>
        <v>6.7485490619455417E-5</v>
      </c>
      <c r="Y1179">
        <f t="shared" si="111"/>
        <v>-3.5639835922264885E-3</v>
      </c>
      <c r="Z1179">
        <f t="shared" si="111"/>
        <v>1.2183501225156688E-2</v>
      </c>
      <c r="AE1179">
        <f>W1179-mu-theta*AE1178</f>
        <v>7.0944040601941928E-3</v>
      </c>
      <c r="AF1179">
        <f t="shared" si="113"/>
        <v>-3.0510152671315075E-4</v>
      </c>
      <c r="AG1179">
        <f t="shared" si="113"/>
        <v>-4.8771307389549549E-4</v>
      </c>
      <c r="AK1179">
        <f t="shared" si="112"/>
        <v>5.0330568969299851E-5</v>
      </c>
    </row>
    <row r="1180" spans="1:37" x14ac:dyDescent="0.3">
      <c r="A1180" s="1">
        <v>45575</v>
      </c>
      <c r="B1180">
        <v>1.0934999999999999</v>
      </c>
      <c r="C1180">
        <v>1.3058000000000001</v>
      </c>
      <c r="D1180">
        <v>148.56</v>
      </c>
      <c r="G1180">
        <v>1.0934999999999999</v>
      </c>
      <c r="H1180">
        <f t="shared" si="109"/>
        <v>1.0939000000000001</v>
      </c>
      <c r="I1180">
        <f t="shared" si="109"/>
        <v>1.0980000000000001</v>
      </c>
      <c r="J1180">
        <f t="shared" si="109"/>
        <v>1.0973999999999999</v>
      </c>
      <c r="L1180">
        <f t="shared" si="108"/>
        <v>-4.0000000000017799E-4</v>
      </c>
      <c r="W1180">
        <f t="shared" si="110"/>
        <v>-4.8898117757384275E-3</v>
      </c>
      <c r="X1180">
        <f t="shared" si="111"/>
        <v>7.4229030298940167E-3</v>
      </c>
      <c r="Y1180">
        <f t="shared" si="111"/>
        <v>6.7485490619455417E-5</v>
      </c>
      <c r="Z1180">
        <f t="shared" si="111"/>
        <v>-3.5639835922264885E-3</v>
      </c>
      <c r="AE1180">
        <f>W1180-mu-theta*AE1179</f>
        <v>-3.4318423659284985E-3</v>
      </c>
      <c r="AF1180">
        <f t="shared" si="113"/>
        <v>7.0944040601941928E-3</v>
      </c>
      <c r="AG1180">
        <f t="shared" si="113"/>
        <v>-3.0510152671315075E-4</v>
      </c>
      <c r="AK1180">
        <f t="shared" si="112"/>
        <v>1.1777542024581715E-5</v>
      </c>
    </row>
    <row r="1181" spans="1:37" x14ac:dyDescent="0.3">
      <c r="A1181" s="1">
        <v>45576</v>
      </c>
      <c r="B1181">
        <v>1.0936999999999999</v>
      </c>
      <c r="C1181">
        <v>1.3066</v>
      </c>
      <c r="D1181">
        <v>149.13</v>
      </c>
      <c r="G1181">
        <v>1.0936999999999999</v>
      </c>
      <c r="H1181">
        <f t="shared" si="109"/>
        <v>1.0934999999999999</v>
      </c>
      <c r="I1181">
        <f t="shared" si="109"/>
        <v>1.0939000000000001</v>
      </c>
      <c r="J1181">
        <f t="shared" si="109"/>
        <v>1.0980000000000001</v>
      </c>
      <c r="L1181">
        <f t="shared" si="108"/>
        <v>1.9999999999997797E-4</v>
      </c>
      <c r="W1181">
        <f t="shared" si="110"/>
        <v>3.8368336025847681E-3</v>
      </c>
      <c r="X1181">
        <f t="shared" si="111"/>
        <v>-4.8898117757384275E-3</v>
      </c>
      <c r="Y1181">
        <f t="shared" si="111"/>
        <v>7.4229030298940167E-3</v>
      </c>
      <c r="Z1181">
        <f t="shared" si="111"/>
        <v>6.7485490619455417E-5</v>
      </c>
      <c r="AE1181">
        <f>W1181-mu-theta*AE1180</f>
        <v>2.7534431641814761E-3</v>
      </c>
      <c r="AF1181">
        <f t="shared" si="113"/>
        <v>-3.4318423659284985E-3</v>
      </c>
      <c r="AG1181">
        <f t="shared" si="113"/>
        <v>7.0944040601941928E-3</v>
      </c>
      <c r="AK1181">
        <f t="shared" si="112"/>
        <v>7.5814492583776993E-6</v>
      </c>
    </row>
    <row r="1182" spans="1:37" x14ac:dyDescent="0.3">
      <c r="A1182" s="1">
        <v>45579</v>
      </c>
      <c r="B1182">
        <v>1.0909</v>
      </c>
      <c r="C1182">
        <v>1.3059000000000001</v>
      </c>
      <c r="D1182">
        <v>149.75</v>
      </c>
      <c r="G1182">
        <v>1.0909</v>
      </c>
      <c r="H1182">
        <f t="shared" si="109"/>
        <v>1.0936999999999999</v>
      </c>
      <c r="I1182">
        <f t="shared" si="109"/>
        <v>1.0934999999999999</v>
      </c>
      <c r="J1182">
        <f t="shared" si="109"/>
        <v>1.0939000000000001</v>
      </c>
      <c r="L1182">
        <f t="shared" si="108"/>
        <v>-2.7999999999999137E-3</v>
      </c>
      <c r="W1182">
        <f t="shared" si="110"/>
        <v>4.157446523167737E-3</v>
      </c>
      <c r="X1182">
        <f t="shared" si="111"/>
        <v>3.8368336025847681E-3</v>
      </c>
      <c r="Y1182">
        <f t="shared" si="111"/>
        <v>-4.8898117757384275E-3</v>
      </c>
      <c r="Z1182">
        <f t="shared" si="111"/>
        <v>7.4229030298940167E-3</v>
      </c>
      <c r="AE1182">
        <f>W1182-mu-theta*AE1181</f>
        <v>4.5673743731284933E-3</v>
      </c>
      <c r="AF1182">
        <f t="shared" si="113"/>
        <v>2.7534431641814761E-3</v>
      </c>
      <c r="AG1182">
        <f t="shared" si="113"/>
        <v>-3.4318423659284985E-3</v>
      </c>
      <c r="AK1182">
        <f t="shared" si="112"/>
        <v>2.0860908664310896E-5</v>
      </c>
    </row>
    <row r="1183" spans="1:37" x14ac:dyDescent="0.3">
      <c r="A1183" s="1">
        <v>45580</v>
      </c>
      <c r="B1183">
        <v>1.089</v>
      </c>
      <c r="C1183">
        <v>1.3071999999999999</v>
      </c>
      <c r="D1183">
        <v>149.19</v>
      </c>
      <c r="G1183">
        <v>1.089</v>
      </c>
      <c r="H1183">
        <f t="shared" si="109"/>
        <v>1.0909</v>
      </c>
      <c r="I1183">
        <f t="shared" si="109"/>
        <v>1.0936999999999999</v>
      </c>
      <c r="J1183">
        <f t="shared" si="109"/>
        <v>1.0934999999999999</v>
      </c>
      <c r="L1183">
        <f t="shared" si="108"/>
        <v>-1.9000000000000128E-3</v>
      </c>
      <c r="W1183">
        <f t="shared" si="110"/>
        <v>-3.7395659432387465E-3</v>
      </c>
      <c r="X1183">
        <f t="shared" si="111"/>
        <v>4.157446523167737E-3</v>
      </c>
      <c r="Y1183">
        <f t="shared" si="111"/>
        <v>3.8368336025847681E-3</v>
      </c>
      <c r="Z1183">
        <f t="shared" si="111"/>
        <v>-4.8898117757384275E-3</v>
      </c>
      <c r="AE1183">
        <f>W1183-mu-theta*AE1182</f>
        <v>-2.8916992729974122E-3</v>
      </c>
      <c r="AF1183">
        <f t="shared" si="113"/>
        <v>4.5673743731284933E-3</v>
      </c>
      <c r="AG1183">
        <f t="shared" si="113"/>
        <v>2.7534431641814761E-3</v>
      </c>
      <c r="AK1183">
        <f t="shared" si="112"/>
        <v>8.3619246854537615E-6</v>
      </c>
    </row>
    <row r="1184" spans="1:37" x14ac:dyDescent="0.3">
      <c r="A1184" s="1">
        <v>45581</v>
      </c>
      <c r="B1184">
        <v>1.0861000000000001</v>
      </c>
      <c r="C1184">
        <v>1.2989999999999999</v>
      </c>
      <c r="D1184">
        <v>149.62</v>
      </c>
      <c r="G1184">
        <v>1.0861000000000001</v>
      </c>
      <c r="H1184">
        <f t="shared" si="109"/>
        <v>1.089</v>
      </c>
      <c r="I1184">
        <f t="shared" si="109"/>
        <v>1.0909</v>
      </c>
      <c r="J1184">
        <f t="shared" si="109"/>
        <v>1.0936999999999999</v>
      </c>
      <c r="L1184">
        <f t="shared" si="108"/>
        <v>-2.8999999999999027E-3</v>
      </c>
      <c r="W1184">
        <f t="shared" si="110"/>
        <v>2.8822307125142893E-3</v>
      </c>
      <c r="X1184">
        <f t="shared" si="111"/>
        <v>-3.7395659432387465E-3</v>
      </c>
      <c r="Y1184">
        <f t="shared" si="111"/>
        <v>4.157446523167737E-3</v>
      </c>
      <c r="Z1184">
        <f t="shared" si="111"/>
        <v>3.8368336025847681E-3</v>
      </c>
      <c r="AE1184">
        <f>W1184-mu-theta*AE1183</f>
        <v>1.9292474404545646E-3</v>
      </c>
      <c r="AF1184">
        <f t="shared" si="113"/>
        <v>-2.8916992729974122E-3</v>
      </c>
      <c r="AG1184">
        <f t="shared" si="113"/>
        <v>4.5673743731284933E-3</v>
      </c>
      <c r="AK1184">
        <f t="shared" si="112"/>
        <v>3.7219956865004888E-6</v>
      </c>
    </row>
    <row r="1185" spans="1:37" x14ac:dyDescent="0.3">
      <c r="A1185" s="1">
        <v>45582</v>
      </c>
      <c r="B1185">
        <v>1.0831</v>
      </c>
      <c r="C1185">
        <v>1.3009999999999999</v>
      </c>
      <c r="D1185">
        <v>150.19999999999999</v>
      </c>
      <c r="G1185">
        <v>1.0831</v>
      </c>
      <c r="H1185">
        <f t="shared" si="109"/>
        <v>1.0861000000000001</v>
      </c>
      <c r="I1185">
        <f t="shared" si="109"/>
        <v>1.089</v>
      </c>
      <c r="J1185">
        <f t="shared" si="109"/>
        <v>1.0909</v>
      </c>
      <c r="L1185">
        <f t="shared" si="108"/>
        <v>-3.0000000000001137E-3</v>
      </c>
      <c r="W1185">
        <f t="shared" si="110"/>
        <v>3.876487100654886E-3</v>
      </c>
      <c r="X1185">
        <f t="shared" si="111"/>
        <v>2.8822307125142893E-3</v>
      </c>
      <c r="Y1185">
        <f t="shared" si="111"/>
        <v>-3.7395659432387465E-3</v>
      </c>
      <c r="Z1185">
        <f t="shared" si="111"/>
        <v>4.157446523167737E-3</v>
      </c>
      <c r="AE1185">
        <f>W1185-mu-theta*AE1184</f>
        <v>4.0874287370542195E-3</v>
      </c>
      <c r="AF1185">
        <f t="shared" si="113"/>
        <v>1.9292474404545646E-3</v>
      </c>
      <c r="AG1185">
        <f t="shared" si="113"/>
        <v>-2.8916992729974122E-3</v>
      </c>
      <c r="AK1185">
        <f t="shared" si="112"/>
        <v>1.6707073680496652E-5</v>
      </c>
    </row>
    <row r="1186" spans="1:37" x14ac:dyDescent="0.3">
      <c r="A1186" s="1">
        <v>45583</v>
      </c>
      <c r="B1186">
        <v>1.0866</v>
      </c>
      <c r="C1186">
        <v>1.3048</v>
      </c>
      <c r="D1186">
        <v>149.52000000000001</v>
      </c>
      <c r="G1186">
        <v>1.0866</v>
      </c>
      <c r="H1186">
        <f t="shared" si="109"/>
        <v>1.0831</v>
      </c>
      <c r="I1186">
        <f t="shared" si="109"/>
        <v>1.0861000000000001</v>
      </c>
      <c r="J1186">
        <f t="shared" si="109"/>
        <v>1.089</v>
      </c>
      <c r="L1186">
        <f t="shared" si="108"/>
        <v>3.5000000000000586E-3</v>
      </c>
      <c r="W1186">
        <f t="shared" si="110"/>
        <v>-4.527296937416634E-3</v>
      </c>
      <c r="X1186">
        <f t="shared" si="111"/>
        <v>3.876487100654886E-3</v>
      </c>
      <c r="Y1186">
        <f t="shared" si="111"/>
        <v>2.8822307125142893E-3</v>
      </c>
      <c r="Z1186">
        <f t="shared" si="111"/>
        <v>-3.7395659432387465E-3</v>
      </c>
      <c r="AE1186">
        <f>W1186-mu-theta*AE1185</f>
        <v>-3.7953039147670367E-3</v>
      </c>
      <c r="AF1186">
        <f t="shared" si="113"/>
        <v>4.0874287370542195E-3</v>
      </c>
      <c r="AG1186">
        <f t="shared" si="113"/>
        <v>1.9292474404545646E-3</v>
      </c>
      <c r="AK1186">
        <f t="shared" si="112"/>
        <v>1.4404331805445995E-5</v>
      </c>
    </row>
    <row r="1187" spans="1:37" x14ac:dyDescent="0.3">
      <c r="A1187" s="1">
        <v>45586</v>
      </c>
      <c r="B1187">
        <v>1.0814999999999999</v>
      </c>
      <c r="C1187">
        <v>1.2984</v>
      </c>
      <c r="D1187">
        <v>150.83000000000001</v>
      </c>
      <c r="G1187">
        <v>1.0814999999999999</v>
      </c>
      <c r="H1187">
        <f t="shared" si="109"/>
        <v>1.0866</v>
      </c>
      <c r="I1187">
        <f t="shared" si="109"/>
        <v>1.0831</v>
      </c>
      <c r="J1187">
        <f t="shared" si="109"/>
        <v>1.0861000000000001</v>
      </c>
      <c r="L1187">
        <f t="shared" si="108"/>
        <v>-5.1000000000001044E-3</v>
      </c>
      <c r="W1187">
        <f t="shared" si="110"/>
        <v>8.7613697164259114E-3</v>
      </c>
      <c r="X1187">
        <f t="shared" si="111"/>
        <v>-4.527296937416634E-3</v>
      </c>
      <c r="Y1187">
        <f t="shared" si="111"/>
        <v>3.876487100654886E-3</v>
      </c>
      <c r="Z1187">
        <f t="shared" si="111"/>
        <v>2.8822307125142893E-3</v>
      </c>
      <c r="AE1187">
        <f>W1187-mu-theta*AE1186</f>
        <v>7.5902284740612608E-3</v>
      </c>
      <c r="AF1187">
        <f t="shared" si="113"/>
        <v>-3.7953039147670367E-3</v>
      </c>
      <c r="AG1187">
        <f t="shared" si="113"/>
        <v>4.0874287370542195E-3</v>
      </c>
      <c r="AK1187">
        <f t="shared" si="112"/>
        <v>5.7611568288450336E-5</v>
      </c>
    </row>
    <row r="1188" spans="1:37" x14ac:dyDescent="0.3">
      <c r="A1188" s="1">
        <v>45587</v>
      </c>
      <c r="B1188">
        <v>1.0797000000000001</v>
      </c>
      <c r="C1188">
        <v>1.2983</v>
      </c>
      <c r="D1188">
        <v>151.06</v>
      </c>
      <c r="G1188">
        <v>1.0797000000000001</v>
      </c>
      <c r="H1188">
        <f t="shared" si="109"/>
        <v>1.0814999999999999</v>
      </c>
      <c r="I1188">
        <f t="shared" si="109"/>
        <v>1.0866</v>
      </c>
      <c r="J1188">
        <f t="shared" si="109"/>
        <v>1.0831</v>
      </c>
      <c r="L1188">
        <f t="shared" si="108"/>
        <v>-1.7999999999998018E-3</v>
      </c>
      <c r="W1188">
        <f t="shared" si="110"/>
        <v>1.5248955778027564E-3</v>
      </c>
      <c r="X1188">
        <f t="shared" si="111"/>
        <v>8.7613697164259114E-3</v>
      </c>
      <c r="Y1188">
        <f t="shared" si="111"/>
        <v>-4.527296937416634E-3</v>
      </c>
      <c r="Z1188">
        <f t="shared" si="111"/>
        <v>3.876487100654886E-3</v>
      </c>
      <c r="AE1188">
        <f>W1188-mu-theta*AE1187</f>
        <v>3.1025722608566926E-3</v>
      </c>
      <c r="AF1188">
        <f t="shared" si="113"/>
        <v>7.5902284740612608E-3</v>
      </c>
      <c r="AG1188">
        <f t="shared" si="113"/>
        <v>-3.7953039147670367E-3</v>
      </c>
      <c r="AK1188">
        <f t="shared" si="112"/>
        <v>9.6259546338374089E-6</v>
      </c>
    </row>
    <row r="1189" spans="1:37" x14ac:dyDescent="0.3">
      <c r="A1189" s="1">
        <v>45588</v>
      </c>
      <c r="B1189">
        <v>1.0781000000000001</v>
      </c>
      <c r="C1189">
        <v>1.292</v>
      </c>
      <c r="D1189">
        <v>152.75</v>
      </c>
      <c r="G1189">
        <v>1.0781000000000001</v>
      </c>
      <c r="H1189">
        <f t="shared" si="109"/>
        <v>1.0797000000000001</v>
      </c>
      <c r="I1189">
        <f t="shared" si="109"/>
        <v>1.0814999999999999</v>
      </c>
      <c r="J1189">
        <f t="shared" si="109"/>
        <v>1.0866</v>
      </c>
      <c r="L1189">
        <f t="shared" si="108"/>
        <v>-1.6000000000000458E-3</v>
      </c>
      <c r="W1189">
        <f t="shared" si="110"/>
        <v>1.1187607573149726E-2</v>
      </c>
      <c r="X1189">
        <f t="shared" si="111"/>
        <v>1.5248955778027564E-3</v>
      </c>
      <c r="Y1189">
        <f t="shared" si="111"/>
        <v>8.7613697164259114E-3</v>
      </c>
      <c r="Z1189">
        <f t="shared" si="111"/>
        <v>-4.527296937416634E-3</v>
      </c>
      <c r="AE1189">
        <f>W1189-mu-theta*AE1188</f>
        <v>1.1681825932017005E-2</v>
      </c>
      <c r="AF1189">
        <f t="shared" si="113"/>
        <v>3.1025722608566926E-3</v>
      </c>
      <c r="AG1189">
        <f t="shared" si="113"/>
        <v>7.5902284740612608E-3</v>
      </c>
      <c r="AK1189">
        <f t="shared" si="112"/>
        <v>1.3646505710594497E-4</v>
      </c>
    </row>
    <row r="1190" spans="1:37" x14ac:dyDescent="0.3">
      <c r="A1190" s="1">
        <v>45589</v>
      </c>
      <c r="B1190">
        <v>1.0827</v>
      </c>
      <c r="C1190">
        <v>1.2971999999999999</v>
      </c>
      <c r="D1190">
        <v>151.82</v>
      </c>
      <c r="G1190">
        <v>1.0827</v>
      </c>
      <c r="H1190">
        <f t="shared" si="109"/>
        <v>1.0781000000000001</v>
      </c>
      <c r="I1190">
        <f t="shared" si="109"/>
        <v>1.0797000000000001</v>
      </c>
      <c r="J1190">
        <f t="shared" si="109"/>
        <v>1.0814999999999999</v>
      </c>
      <c r="L1190">
        <f t="shared" si="108"/>
        <v>4.5999999999999375E-3</v>
      </c>
      <c r="W1190">
        <f t="shared" si="110"/>
        <v>-6.0883797054010263E-3</v>
      </c>
      <c r="X1190">
        <f t="shared" si="111"/>
        <v>1.1187607573149726E-2</v>
      </c>
      <c r="Y1190">
        <f t="shared" si="111"/>
        <v>1.5248955778027564E-3</v>
      </c>
      <c r="Z1190">
        <f t="shared" si="111"/>
        <v>8.7613697164259114E-3</v>
      </c>
      <c r="AE1190">
        <f>W1190-mu-theta*AE1189</f>
        <v>-3.5228654709769233E-3</v>
      </c>
      <c r="AF1190">
        <f t="shared" si="113"/>
        <v>1.1681825932017005E-2</v>
      </c>
      <c r="AG1190">
        <f t="shared" si="113"/>
        <v>3.1025722608566926E-3</v>
      </c>
      <c r="AK1190">
        <f t="shared" si="112"/>
        <v>1.241058112660146E-5</v>
      </c>
    </row>
    <row r="1191" spans="1:37" x14ac:dyDescent="0.3">
      <c r="A1191" s="1">
        <v>45590</v>
      </c>
      <c r="B1191">
        <v>1.0792999999999999</v>
      </c>
      <c r="C1191">
        <v>1.2959000000000001</v>
      </c>
      <c r="D1191">
        <v>152.30000000000001</v>
      </c>
      <c r="G1191">
        <v>1.0792999999999999</v>
      </c>
      <c r="H1191">
        <f t="shared" si="109"/>
        <v>1.0827</v>
      </c>
      <c r="I1191">
        <f t="shared" si="109"/>
        <v>1.0781000000000001</v>
      </c>
      <c r="J1191">
        <f t="shared" si="109"/>
        <v>1.0797000000000001</v>
      </c>
      <c r="L1191">
        <f t="shared" si="108"/>
        <v>-3.4000000000000696E-3</v>
      </c>
      <c r="W1191">
        <f t="shared" si="110"/>
        <v>3.1616387827691885E-3</v>
      </c>
      <c r="X1191">
        <f t="shared" si="111"/>
        <v>-6.0883797054010263E-3</v>
      </c>
      <c r="Y1191">
        <f t="shared" si="111"/>
        <v>1.1187607573149726E-2</v>
      </c>
      <c r="Z1191">
        <f t="shared" si="111"/>
        <v>1.5248955778027564E-3</v>
      </c>
      <c r="AE1191">
        <f>W1191-mu-theta*AE1190</f>
        <v>2.0562725654352703E-3</v>
      </c>
      <c r="AF1191">
        <f t="shared" si="113"/>
        <v>-3.5228654709769233E-3</v>
      </c>
      <c r="AG1191">
        <f t="shared" si="113"/>
        <v>1.1681825932017005E-2</v>
      </c>
      <c r="AK1191">
        <f t="shared" si="112"/>
        <v>4.228256863361748E-6</v>
      </c>
    </row>
    <row r="1192" spans="1:37" x14ac:dyDescent="0.3">
      <c r="A1192" s="1">
        <v>45593</v>
      </c>
      <c r="B1192">
        <v>1.0811999999999999</v>
      </c>
      <c r="C1192">
        <v>1.2970999999999999</v>
      </c>
      <c r="D1192">
        <v>153.28</v>
      </c>
      <c r="G1192">
        <v>1.0811999999999999</v>
      </c>
      <c r="H1192">
        <f t="shared" si="109"/>
        <v>1.0792999999999999</v>
      </c>
      <c r="I1192">
        <f t="shared" si="109"/>
        <v>1.0827</v>
      </c>
      <c r="J1192">
        <f t="shared" si="109"/>
        <v>1.0781000000000001</v>
      </c>
      <c r="L1192">
        <f t="shared" si="108"/>
        <v>1.9000000000000128E-3</v>
      </c>
      <c r="W1192">
        <f t="shared" si="110"/>
        <v>6.4346684175967802E-3</v>
      </c>
      <c r="X1192">
        <f t="shared" si="111"/>
        <v>3.1616387827691885E-3</v>
      </c>
      <c r="Y1192">
        <f t="shared" si="111"/>
        <v>-6.0883797054010263E-3</v>
      </c>
      <c r="Z1192">
        <f t="shared" si="111"/>
        <v>1.1187607573149726E-2</v>
      </c>
      <c r="AE1192">
        <f>W1192-mu-theta*AE1191</f>
        <v>6.6762778285542994E-3</v>
      </c>
      <c r="AF1192">
        <f t="shared" si="113"/>
        <v>2.0562725654352703E-3</v>
      </c>
      <c r="AG1192">
        <f t="shared" si="113"/>
        <v>-3.5228654709769233E-3</v>
      </c>
      <c r="AK1192">
        <f t="shared" si="112"/>
        <v>4.4572685644045709E-5</v>
      </c>
    </row>
    <row r="1193" spans="1:37" x14ac:dyDescent="0.3">
      <c r="A1193" s="1">
        <v>45594</v>
      </c>
      <c r="B1193">
        <v>1.0818000000000001</v>
      </c>
      <c r="C1193">
        <v>1.3015000000000001</v>
      </c>
      <c r="D1193">
        <v>153.35</v>
      </c>
      <c r="G1193">
        <v>1.0818000000000001</v>
      </c>
      <c r="H1193">
        <f t="shared" si="109"/>
        <v>1.0811999999999999</v>
      </c>
      <c r="I1193">
        <f t="shared" si="109"/>
        <v>1.0792999999999999</v>
      </c>
      <c r="J1193">
        <f t="shared" si="109"/>
        <v>1.0827</v>
      </c>
      <c r="L1193">
        <f t="shared" si="108"/>
        <v>6.0000000000015596E-4</v>
      </c>
      <c r="W1193">
        <f t="shared" si="110"/>
        <v>4.566805845511037E-4</v>
      </c>
      <c r="X1193">
        <f t="shared" si="111"/>
        <v>6.4346684175967802E-3</v>
      </c>
      <c r="Y1193">
        <f t="shared" si="111"/>
        <v>3.1616387827691885E-3</v>
      </c>
      <c r="Z1193">
        <f t="shared" si="111"/>
        <v>-6.0883797054010263E-3</v>
      </c>
      <c r="AE1193">
        <f>W1193-mu-theta*AE1192</f>
        <v>1.8137014535842106E-3</v>
      </c>
      <c r="AF1193">
        <f t="shared" si="113"/>
        <v>6.6762778285542994E-3</v>
      </c>
      <c r="AG1193">
        <f t="shared" si="113"/>
        <v>2.0562725654352703E-3</v>
      </c>
      <c r="AK1193">
        <f t="shared" si="112"/>
        <v>3.2895129627334783E-6</v>
      </c>
    </row>
    <row r="1194" spans="1:37" x14ac:dyDescent="0.3">
      <c r="A1194" s="1">
        <v>45595</v>
      </c>
      <c r="B1194">
        <v>1.0854999999999999</v>
      </c>
      <c r="C1194">
        <v>1.2962</v>
      </c>
      <c r="D1194">
        <v>153.41</v>
      </c>
      <c r="G1194">
        <v>1.0854999999999999</v>
      </c>
      <c r="H1194">
        <f t="shared" si="109"/>
        <v>1.0818000000000001</v>
      </c>
      <c r="I1194">
        <f t="shared" si="109"/>
        <v>1.0811999999999999</v>
      </c>
      <c r="J1194">
        <f t="shared" si="109"/>
        <v>1.0792999999999999</v>
      </c>
      <c r="L1194">
        <f t="shared" si="108"/>
        <v>3.6999999999998145E-3</v>
      </c>
      <c r="W1194">
        <f t="shared" si="110"/>
        <v>3.9126181936747492E-4</v>
      </c>
      <c r="X1194">
        <f t="shared" si="111"/>
        <v>4.566805845511037E-4</v>
      </c>
      <c r="Y1194">
        <f t="shared" si="111"/>
        <v>6.4346684175967802E-3</v>
      </c>
      <c r="Z1194">
        <f t="shared" si="111"/>
        <v>3.1616387827691885E-3</v>
      </c>
      <c r="AE1194">
        <f>W1194-mu-theta*AE1193</f>
        <v>5.7430709843607377E-4</v>
      </c>
      <c r="AF1194">
        <f t="shared" si="113"/>
        <v>1.8137014535842106E-3</v>
      </c>
      <c r="AG1194">
        <f t="shared" si="113"/>
        <v>6.6762778285542994E-3</v>
      </c>
      <c r="AK1194">
        <f t="shared" si="112"/>
        <v>3.2982864331406212E-7</v>
      </c>
    </row>
    <row r="1195" spans="1:37" x14ac:dyDescent="0.3">
      <c r="A1195" s="1">
        <v>45596</v>
      </c>
      <c r="B1195">
        <v>1.0883</v>
      </c>
      <c r="C1195">
        <v>1.2898000000000001</v>
      </c>
      <c r="D1195">
        <v>152.03</v>
      </c>
      <c r="G1195">
        <v>1.0883</v>
      </c>
      <c r="H1195">
        <f t="shared" si="109"/>
        <v>1.0854999999999999</v>
      </c>
      <c r="I1195">
        <f t="shared" si="109"/>
        <v>1.0818000000000001</v>
      </c>
      <c r="J1195">
        <f t="shared" si="109"/>
        <v>1.0811999999999999</v>
      </c>
      <c r="L1195">
        <f t="shared" si="108"/>
        <v>2.8000000000001357E-3</v>
      </c>
      <c r="W1195">
        <f t="shared" si="110"/>
        <v>-8.995502248875532E-3</v>
      </c>
      <c r="X1195">
        <f t="shared" si="111"/>
        <v>3.9126181936747492E-4</v>
      </c>
      <c r="Y1195">
        <f t="shared" si="111"/>
        <v>4.566805845511037E-4</v>
      </c>
      <c r="Z1195">
        <f t="shared" si="111"/>
        <v>6.4346684175967802E-3</v>
      </c>
      <c r="AE1195">
        <f>W1195-mu-theta*AE1194</f>
        <v>-9.1116849113511231E-3</v>
      </c>
      <c r="AF1195">
        <f t="shared" si="113"/>
        <v>5.7430709843607377E-4</v>
      </c>
      <c r="AG1195">
        <f t="shared" si="113"/>
        <v>1.8137014535842106E-3</v>
      </c>
      <c r="AK1195">
        <f t="shared" si="112"/>
        <v>8.3022801923743724E-5</v>
      </c>
    </row>
    <row r="1196" spans="1:37" x14ac:dyDescent="0.3">
      <c r="A1196" s="1">
        <v>45597</v>
      </c>
      <c r="B1196">
        <v>1.0833999999999999</v>
      </c>
      <c r="C1196">
        <v>1.2926</v>
      </c>
      <c r="D1196">
        <v>152.97999999999999</v>
      </c>
      <c r="G1196">
        <v>1.0833999999999999</v>
      </c>
      <c r="H1196">
        <f t="shared" si="109"/>
        <v>1.0883</v>
      </c>
      <c r="I1196">
        <f t="shared" si="109"/>
        <v>1.0854999999999999</v>
      </c>
      <c r="J1196">
        <f t="shared" si="109"/>
        <v>1.0818000000000001</v>
      </c>
      <c r="L1196">
        <f t="shared" si="108"/>
        <v>-4.9000000000001265E-3</v>
      </c>
      <c r="W1196">
        <f t="shared" si="110"/>
        <v>6.2487666907846389E-3</v>
      </c>
      <c r="X1196">
        <f t="shared" si="111"/>
        <v>-8.995502248875532E-3</v>
      </c>
      <c r="Y1196">
        <f t="shared" si="111"/>
        <v>3.9126181936747492E-4</v>
      </c>
      <c r="Z1196">
        <f t="shared" si="111"/>
        <v>4.566805845511037E-4</v>
      </c>
      <c r="AE1196">
        <f>W1196-mu-theta*AE1195</f>
        <v>3.7940874562831968E-3</v>
      </c>
      <c r="AF1196">
        <f t="shared" si="113"/>
        <v>-9.1116849113511231E-3</v>
      </c>
      <c r="AG1196">
        <f t="shared" si="113"/>
        <v>5.7430709843607377E-4</v>
      </c>
      <c r="AK1196">
        <f t="shared" si="112"/>
        <v>1.4395099625925499E-5</v>
      </c>
    </row>
    <row r="1197" spans="1:37" x14ac:dyDescent="0.3">
      <c r="A1197" s="1">
        <v>45600</v>
      </c>
      <c r="B1197">
        <v>1.0876999999999999</v>
      </c>
      <c r="C1197">
        <v>1.2957000000000001</v>
      </c>
      <c r="D1197">
        <v>152.13</v>
      </c>
      <c r="G1197">
        <v>1.0876999999999999</v>
      </c>
      <c r="H1197">
        <f t="shared" si="109"/>
        <v>1.0833999999999999</v>
      </c>
      <c r="I1197">
        <f t="shared" si="109"/>
        <v>1.0883</v>
      </c>
      <c r="J1197">
        <f t="shared" si="109"/>
        <v>1.0854999999999999</v>
      </c>
      <c r="L1197">
        <f t="shared" si="108"/>
        <v>4.2999999999999705E-3</v>
      </c>
      <c r="W1197">
        <f t="shared" si="110"/>
        <v>-5.5562818669106706E-3</v>
      </c>
      <c r="X1197">
        <f t="shared" si="111"/>
        <v>6.2487666907846389E-3</v>
      </c>
      <c r="Y1197">
        <f t="shared" si="111"/>
        <v>-8.995502248875532E-3</v>
      </c>
      <c r="Z1197">
        <f t="shared" si="111"/>
        <v>3.9126181936747492E-4</v>
      </c>
      <c r="AE1197">
        <f>W1197-mu-theta*AE1196</f>
        <v>-4.8951104574550099E-3</v>
      </c>
      <c r="AF1197">
        <f t="shared" si="113"/>
        <v>3.7940874562831968E-3</v>
      </c>
      <c r="AG1197">
        <f t="shared" si="113"/>
        <v>-9.1116849113511231E-3</v>
      </c>
      <c r="AK1197">
        <f t="shared" si="112"/>
        <v>2.3962106390685397E-5</v>
      </c>
    </row>
    <row r="1198" spans="1:37" x14ac:dyDescent="0.3">
      <c r="A1198" s="1">
        <v>45601</v>
      </c>
      <c r="B1198">
        <v>1.093</v>
      </c>
      <c r="C1198">
        <v>1.3041</v>
      </c>
      <c r="D1198">
        <v>151.6</v>
      </c>
      <c r="G1198">
        <v>1.093</v>
      </c>
      <c r="H1198">
        <f t="shared" si="109"/>
        <v>1.0876999999999999</v>
      </c>
      <c r="I1198">
        <f t="shared" si="109"/>
        <v>1.0833999999999999</v>
      </c>
      <c r="J1198">
        <f t="shared" si="109"/>
        <v>1.0883</v>
      </c>
      <c r="L1198">
        <f t="shared" si="108"/>
        <v>5.3000000000000824E-3</v>
      </c>
      <c r="W1198">
        <f t="shared" si="110"/>
        <v>-3.4838624860316909E-3</v>
      </c>
      <c r="X1198">
        <f t="shared" si="111"/>
        <v>-5.5562818669106706E-3</v>
      </c>
      <c r="Y1198">
        <f t="shared" si="111"/>
        <v>6.2487666907846389E-3</v>
      </c>
      <c r="Z1198">
        <f t="shared" si="111"/>
        <v>-8.995502248875532E-3</v>
      </c>
      <c r="AE1198">
        <f>W1198-mu-theta*AE1197</f>
        <v>-4.9205308759893464E-3</v>
      </c>
      <c r="AF1198">
        <f t="shared" si="113"/>
        <v>-4.8951104574550099E-3</v>
      </c>
      <c r="AG1198">
        <f t="shared" si="113"/>
        <v>3.7940874562831968E-3</v>
      </c>
      <c r="AK1198">
        <f t="shared" si="112"/>
        <v>2.4211624101564484E-5</v>
      </c>
    </row>
    <row r="1199" spans="1:37" x14ac:dyDescent="0.3">
      <c r="A1199" s="1">
        <v>45602</v>
      </c>
      <c r="B1199">
        <v>1.0728</v>
      </c>
      <c r="C1199">
        <v>1.2878000000000001</v>
      </c>
      <c r="D1199">
        <v>154.63</v>
      </c>
      <c r="G1199">
        <v>1.0728</v>
      </c>
      <c r="H1199">
        <f t="shared" si="109"/>
        <v>1.093</v>
      </c>
      <c r="I1199">
        <f t="shared" si="109"/>
        <v>1.0876999999999999</v>
      </c>
      <c r="J1199">
        <f t="shared" si="109"/>
        <v>1.0833999999999999</v>
      </c>
      <c r="L1199">
        <f t="shared" si="108"/>
        <v>-2.0199999999999996E-2</v>
      </c>
      <c r="W1199">
        <f t="shared" si="110"/>
        <v>1.9986807387862807E-2</v>
      </c>
      <c r="X1199">
        <f t="shared" si="111"/>
        <v>-3.4838624860316909E-3</v>
      </c>
      <c r="Y1199">
        <f t="shared" si="111"/>
        <v>-5.5562818669106706E-3</v>
      </c>
      <c r="Z1199">
        <f t="shared" si="111"/>
        <v>6.2487666907846389E-3</v>
      </c>
      <c r="AE1199">
        <f>W1199-mu-theta*AE1198</f>
        <v>1.8544001726519634E-2</v>
      </c>
      <c r="AF1199">
        <f t="shared" si="113"/>
        <v>-4.9205308759893464E-3</v>
      </c>
      <c r="AG1199">
        <f t="shared" si="113"/>
        <v>-4.8951104574550099E-3</v>
      </c>
      <c r="AK1199">
        <f t="shared" si="112"/>
        <v>3.4388000003316316E-4</v>
      </c>
    </row>
    <row r="1200" spans="1:37" x14ac:dyDescent="0.3">
      <c r="A1200" s="1">
        <v>45603</v>
      </c>
      <c r="B1200">
        <v>1.0804</v>
      </c>
      <c r="C1200">
        <v>1.2986</v>
      </c>
      <c r="D1200">
        <v>152.93</v>
      </c>
      <c r="G1200">
        <v>1.0804</v>
      </c>
      <c r="H1200">
        <f t="shared" si="109"/>
        <v>1.0728</v>
      </c>
      <c r="I1200">
        <f t="shared" si="109"/>
        <v>1.093</v>
      </c>
      <c r="J1200">
        <f t="shared" si="109"/>
        <v>1.0876999999999999</v>
      </c>
      <c r="L1200">
        <f t="shared" si="108"/>
        <v>7.6000000000000512E-3</v>
      </c>
      <c r="W1200">
        <f t="shared" si="110"/>
        <v>-1.0993985643148086E-2</v>
      </c>
      <c r="X1200">
        <f t="shared" si="111"/>
        <v>1.9986807387862807E-2</v>
      </c>
      <c r="Y1200">
        <f t="shared" si="111"/>
        <v>-3.4838624860316909E-3</v>
      </c>
      <c r="Z1200">
        <f t="shared" si="111"/>
        <v>-5.5562818669106706E-3</v>
      </c>
      <c r="AE1200">
        <f>W1200-mu-theta*AE1199</f>
        <v>-6.7717309782272077E-3</v>
      </c>
      <c r="AF1200">
        <f t="shared" si="113"/>
        <v>1.8544001726519634E-2</v>
      </c>
      <c r="AG1200">
        <f t="shared" si="113"/>
        <v>-4.9205308759893464E-3</v>
      </c>
      <c r="AK1200">
        <f t="shared" si="112"/>
        <v>4.5856340441482015E-5</v>
      </c>
    </row>
    <row r="1201" spans="1:37" x14ac:dyDescent="0.3">
      <c r="A1201" s="1">
        <v>45604</v>
      </c>
      <c r="B1201">
        <v>1.0718000000000001</v>
      </c>
      <c r="C1201">
        <v>1.2921</v>
      </c>
      <c r="D1201">
        <v>152.63</v>
      </c>
      <c r="G1201">
        <v>1.0718000000000001</v>
      </c>
      <c r="H1201">
        <f t="shared" si="109"/>
        <v>1.0804</v>
      </c>
      <c r="I1201">
        <f t="shared" si="109"/>
        <v>1.0728</v>
      </c>
      <c r="J1201">
        <f t="shared" si="109"/>
        <v>1.093</v>
      </c>
      <c r="L1201">
        <f t="shared" si="108"/>
        <v>-8.599999999999941E-3</v>
      </c>
      <c r="W1201">
        <f t="shared" si="110"/>
        <v>-1.9616818152096475E-3</v>
      </c>
      <c r="X1201">
        <f t="shared" si="111"/>
        <v>-1.0993985643148086E-2</v>
      </c>
      <c r="Y1201">
        <f t="shared" si="111"/>
        <v>1.9986807387862807E-2</v>
      </c>
      <c r="Z1201">
        <f t="shared" si="111"/>
        <v>-3.4838624860316909E-3</v>
      </c>
      <c r="AE1201">
        <f>W1201-mu-theta*AE1200</f>
        <v>-3.8514241546796328E-3</v>
      </c>
      <c r="AF1201">
        <f t="shared" si="113"/>
        <v>-6.7717309782272077E-3</v>
      </c>
      <c r="AG1201">
        <f t="shared" si="113"/>
        <v>1.8544001726519634E-2</v>
      </c>
      <c r="AK1201">
        <f t="shared" si="112"/>
        <v>1.4833468019249724E-5</v>
      </c>
    </row>
    <row r="1202" spans="1:37" x14ac:dyDescent="0.3">
      <c r="A1202" s="1">
        <v>45607</v>
      </c>
      <c r="B1202">
        <v>1.0653999999999999</v>
      </c>
      <c r="C1202">
        <v>1.2868999999999999</v>
      </c>
      <c r="D1202">
        <v>153.71</v>
      </c>
      <c r="G1202">
        <v>1.0653999999999999</v>
      </c>
      <c r="H1202">
        <f t="shared" si="109"/>
        <v>1.0718000000000001</v>
      </c>
      <c r="I1202">
        <f t="shared" si="109"/>
        <v>1.0804</v>
      </c>
      <c r="J1202">
        <f t="shared" si="109"/>
        <v>1.0728</v>
      </c>
      <c r="L1202">
        <f t="shared" si="108"/>
        <v>-6.4000000000001833E-3</v>
      </c>
      <c r="W1202">
        <f t="shared" si="110"/>
        <v>7.0759352682959612E-3</v>
      </c>
      <c r="X1202">
        <f t="shared" si="111"/>
        <v>-1.9616818152096475E-3</v>
      </c>
      <c r="Y1202">
        <f t="shared" si="111"/>
        <v>-1.0993985643148086E-2</v>
      </c>
      <c r="Z1202">
        <f t="shared" si="111"/>
        <v>1.9986807387862807E-2</v>
      </c>
      <c r="AE1202">
        <f>W1202-mu-theta*AE1201</f>
        <v>5.8912448728322504E-3</v>
      </c>
      <c r="AF1202">
        <f t="shared" si="113"/>
        <v>-3.8514241546796328E-3</v>
      </c>
      <c r="AG1202">
        <f t="shared" si="113"/>
        <v>-6.7717309782272077E-3</v>
      </c>
      <c r="AK1202">
        <f t="shared" si="112"/>
        <v>3.4706766151672279E-5</v>
      </c>
    </row>
    <row r="1203" spans="1:37" x14ac:dyDescent="0.3">
      <c r="A1203" s="1">
        <v>45608</v>
      </c>
      <c r="B1203">
        <v>1.0623</v>
      </c>
      <c r="C1203">
        <v>1.2746999999999999</v>
      </c>
      <c r="D1203">
        <v>154.6</v>
      </c>
      <c r="G1203">
        <v>1.0623</v>
      </c>
      <c r="H1203">
        <f t="shared" si="109"/>
        <v>1.0653999999999999</v>
      </c>
      <c r="I1203">
        <f t="shared" si="109"/>
        <v>1.0718000000000001</v>
      </c>
      <c r="J1203">
        <f t="shared" si="109"/>
        <v>1.0804</v>
      </c>
      <c r="L1203">
        <f t="shared" si="108"/>
        <v>-3.0999999999998806E-3</v>
      </c>
      <c r="W1203">
        <f t="shared" si="110"/>
        <v>5.7901242599699846E-3</v>
      </c>
      <c r="X1203">
        <f t="shared" si="111"/>
        <v>7.0759352682959612E-3</v>
      </c>
      <c r="Y1203">
        <f t="shared" si="111"/>
        <v>-1.9616818152096475E-3</v>
      </c>
      <c r="Z1203">
        <f t="shared" si="111"/>
        <v>-1.0993985643148086E-2</v>
      </c>
      <c r="AE1203">
        <f>W1203-mu-theta*AE1202</f>
        <v>6.9576140129306895E-3</v>
      </c>
      <c r="AF1203">
        <f t="shared" si="113"/>
        <v>5.8912448728322504E-3</v>
      </c>
      <c r="AG1203">
        <f t="shared" si="113"/>
        <v>-3.8514241546796328E-3</v>
      </c>
      <c r="AK1203">
        <f t="shared" si="112"/>
        <v>4.8408392752929491E-5</v>
      </c>
    </row>
    <row r="1204" spans="1:37" x14ac:dyDescent="0.3">
      <c r="A1204" s="1">
        <v>45609</v>
      </c>
      <c r="B1204">
        <v>1.0563</v>
      </c>
      <c r="C1204">
        <v>1.2703</v>
      </c>
      <c r="D1204">
        <v>155.44999999999999</v>
      </c>
      <c r="G1204">
        <v>1.0563</v>
      </c>
      <c r="H1204">
        <f t="shared" si="109"/>
        <v>1.0623</v>
      </c>
      <c r="I1204">
        <f t="shared" si="109"/>
        <v>1.0653999999999999</v>
      </c>
      <c r="J1204">
        <f t="shared" si="109"/>
        <v>1.0718000000000001</v>
      </c>
      <c r="L1204">
        <f t="shared" si="108"/>
        <v>-6.0000000000000053E-3</v>
      </c>
      <c r="W1204">
        <f t="shared" si="110"/>
        <v>5.49805950840876E-3</v>
      </c>
      <c r="X1204">
        <f t="shared" si="111"/>
        <v>5.7901242599699846E-3</v>
      </c>
      <c r="Y1204">
        <f t="shared" si="111"/>
        <v>7.0759352682959612E-3</v>
      </c>
      <c r="Z1204">
        <f t="shared" si="111"/>
        <v>-1.9616818152096475E-3</v>
      </c>
      <c r="AE1204">
        <f>W1204-mu-theta*AE1203</f>
        <v>6.9230035908913762E-3</v>
      </c>
      <c r="AF1204">
        <f t="shared" si="113"/>
        <v>6.9576140129306895E-3</v>
      </c>
      <c r="AG1204">
        <f t="shared" si="113"/>
        <v>5.8912448728322504E-3</v>
      </c>
      <c r="AK1204">
        <f t="shared" si="112"/>
        <v>4.792797871949489E-5</v>
      </c>
    </row>
    <row r="1205" spans="1:37" x14ac:dyDescent="0.3">
      <c r="A1205" s="1">
        <v>45610</v>
      </c>
      <c r="B1205">
        <v>1.0529999999999999</v>
      </c>
      <c r="C1205">
        <v>1.2665</v>
      </c>
      <c r="D1205">
        <v>156.25</v>
      </c>
      <c r="G1205">
        <v>1.0529999999999999</v>
      </c>
      <c r="H1205">
        <f t="shared" si="109"/>
        <v>1.0563</v>
      </c>
      <c r="I1205">
        <f t="shared" si="109"/>
        <v>1.0623</v>
      </c>
      <c r="J1205">
        <f t="shared" si="109"/>
        <v>1.0653999999999999</v>
      </c>
      <c r="L1205">
        <f t="shared" si="108"/>
        <v>-3.3000000000000806E-3</v>
      </c>
      <c r="W1205">
        <f t="shared" si="110"/>
        <v>5.1463493084593854E-3</v>
      </c>
      <c r="X1205">
        <f t="shared" si="111"/>
        <v>5.49805950840876E-3</v>
      </c>
      <c r="Y1205">
        <f t="shared" si="111"/>
        <v>5.7901242599699846E-3</v>
      </c>
      <c r="Z1205">
        <f t="shared" si="111"/>
        <v>7.0759352682959612E-3</v>
      </c>
      <c r="AE1205">
        <f>W1205-mu-theta*AE1204</f>
        <v>6.562937369874307E-3</v>
      </c>
      <c r="AF1205">
        <f t="shared" si="113"/>
        <v>6.9230035908913762E-3</v>
      </c>
      <c r="AG1205">
        <f t="shared" si="113"/>
        <v>6.9576140129306895E-3</v>
      </c>
      <c r="AK1205">
        <f t="shared" si="112"/>
        <v>4.3072146920892685E-5</v>
      </c>
    </row>
    <row r="1206" spans="1:37" x14ac:dyDescent="0.3">
      <c r="A1206" s="1">
        <v>45611</v>
      </c>
      <c r="B1206">
        <v>1.0541</v>
      </c>
      <c r="C1206">
        <v>1.2617</v>
      </c>
      <c r="D1206">
        <v>154.34</v>
      </c>
      <c r="G1206">
        <v>1.0541</v>
      </c>
      <c r="H1206">
        <f t="shared" si="109"/>
        <v>1.0529999999999999</v>
      </c>
      <c r="I1206">
        <f t="shared" si="109"/>
        <v>1.0563</v>
      </c>
      <c r="J1206">
        <f t="shared" si="109"/>
        <v>1.0623</v>
      </c>
      <c r="L1206">
        <f t="shared" si="108"/>
        <v>1.1000000000001009E-3</v>
      </c>
      <c r="W1206">
        <f t="shared" si="110"/>
        <v>-1.2223999999999978E-2</v>
      </c>
      <c r="X1206">
        <f t="shared" si="111"/>
        <v>5.1463493084593854E-3</v>
      </c>
      <c r="Y1206">
        <f t="shared" si="111"/>
        <v>5.49805950840876E-3</v>
      </c>
      <c r="Z1206">
        <f t="shared" si="111"/>
        <v>5.7901242599699846E-3</v>
      </c>
      <c r="AE1206">
        <f>W1206-mu-theta*AE1205</f>
        <v>-1.0894343005914029E-2</v>
      </c>
      <c r="AF1206">
        <f t="shared" si="113"/>
        <v>6.562937369874307E-3</v>
      </c>
      <c r="AG1206">
        <f t="shared" si="113"/>
        <v>6.9230035908913762E-3</v>
      </c>
      <c r="AK1206">
        <f t="shared" si="112"/>
        <v>1.1868670953050791E-4</v>
      </c>
    </row>
    <row r="1207" spans="1:37" x14ac:dyDescent="0.3">
      <c r="A1207" s="1">
        <v>45614</v>
      </c>
      <c r="B1207">
        <v>1.0599000000000001</v>
      </c>
      <c r="C1207">
        <v>1.2676000000000001</v>
      </c>
      <c r="D1207">
        <v>154.65</v>
      </c>
      <c r="G1207">
        <v>1.0599000000000001</v>
      </c>
      <c r="H1207">
        <f t="shared" si="109"/>
        <v>1.0541</v>
      </c>
      <c r="I1207">
        <f t="shared" si="109"/>
        <v>1.0529999999999999</v>
      </c>
      <c r="J1207">
        <f t="shared" si="109"/>
        <v>1.0563</v>
      </c>
      <c r="L1207">
        <f t="shared" si="108"/>
        <v>5.8000000000000274E-3</v>
      </c>
      <c r="W1207">
        <f t="shared" si="110"/>
        <v>2.0085525463263074E-3</v>
      </c>
      <c r="X1207">
        <f t="shared" si="111"/>
        <v>-1.2223999999999978E-2</v>
      </c>
      <c r="Y1207">
        <f t="shared" si="111"/>
        <v>5.1463493084593854E-3</v>
      </c>
      <c r="Z1207">
        <f t="shared" si="111"/>
        <v>5.49805950840876E-3</v>
      </c>
      <c r="AE1207">
        <f>W1207-mu-theta*AE1206</f>
        <v>-8.765152161666085E-4</v>
      </c>
      <c r="AF1207">
        <f t="shared" si="113"/>
        <v>-1.0894343005914029E-2</v>
      </c>
      <c r="AG1207">
        <f t="shared" si="113"/>
        <v>6.562937369874307E-3</v>
      </c>
      <c r="AK1207">
        <f t="shared" si="112"/>
        <v>7.6827892417159639E-7</v>
      </c>
    </row>
    <row r="1208" spans="1:37" x14ac:dyDescent="0.3">
      <c r="A1208" s="1">
        <v>45615</v>
      </c>
      <c r="B1208">
        <v>1.0595000000000001</v>
      </c>
      <c r="C1208">
        <v>1.2682</v>
      </c>
      <c r="D1208">
        <v>154.65</v>
      </c>
      <c r="G1208">
        <v>1.0595000000000001</v>
      </c>
      <c r="H1208">
        <f t="shared" si="109"/>
        <v>1.0599000000000001</v>
      </c>
      <c r="I1208">
        <f t="shared" si="109"/>
        <v>1.0541</v>
      </c>
      <c r="J1208">
        <f t="shared" si="109"/>
        <v>1.0529999999999999</v>
      </c>
      <c r="L1208">
        <f t="shared" si="108"/>
        <v>-3.9999999999995595E-4</v>
      </c>
      <c r="W1208">
        <f t="shared" si="110"/>
        <v>0</v>
      </c>
      <c r="X1208">
        <f t="shared" si="111"/>
        <v>2.0085525463263074E-3</v>
      </c>
      <c r="Y1208">
        <f t="shared" si="111"/>
        <v>-1.2223999999999978E-2</v>
      </c>
      <c r="Z1208">
        <f t="shared" si="111"/>
        <v>5.1463493084593854E-3</v>
      </c>
      <c r="AE1208">
        <f>W1208-mu-theta*AE1207</f>
        <v>-4.6645582044317993E-4</v>
      </c>
      <c r="AF1208">
        <f t="shared" si="113"/>
        <v>-8.765152161666085E-4</v>
      </c>
      <c r="AG1208">
        <f t="shared" si="113"/>
        <v>-1.0894343005914029E-2</v>
      </c>
      <c r="AK1208">
        <f t="shared" si="112"/>
        <v>2.175810324253201E-7</v>
      </c>
    </row>
    <row r="1209" spans="1:37" x14ac:dyDescent="0.3">
      <c r="A1209" s="1">
        <v>45616</v>
      </c>
      <c r="B1209">
        <v>1.0543</v>
      </c>
      <c r="C1209">
        <v>1.2649999999999999</v>
      </c>
      <c r="D1209">
        <v>155.43</v>
      </c>
      <c r="G1209">
        <v>1.0543</v>
      </c>
      <c r="H1209">
        <f t="shared" si="109"/>
        <v>1.0595000000000001</v>
      </c>
      <c r="I1209">
        <f t="shared" si="109"/>
        <v>1.0599000000000001</v>
      </c>
      <c r="J1209">
        <f t="shared" si="109"/>
        <v>1.0541</v>
      </c>
      <c r="L1209">
        <f t="shared" si="108"/>
        <v>-5.2000000000000934E-3</v>
      </c>
      <c r="W1209">
        <f t="shared" si="110"/>
        <v>5.0436469447138772E-3</v>
      </c>
      <c r="X1209">
        <f t="shared" si="111"/>
        <v>0</v>
      </c>
      <c r="Y1209">
        <f t="shared" si="111"/>
        <v>2.0085525463263074E-3</v>
      </c>
      <c r="Z1209">
        <f t="shared" si="111"/>
        <v>-1.2223999999999978E-2</v>
      </c>
      <c r="AE1209">
        <f>W1209-mu-theta*AE1208</f>
        <v>4.6761920825883676E-3</v>
      </c>
      <c r="AF1209">
        <f t="shared" si="113"/>
        <v>-4.6645582044317993E-4</v>
      </c>
      <c r="AG1209">
        <f t="shared" si="113"/>
        <v>-8.765152161666085E-4</v>
      </c>
      <c r="AK1209">
        <f t="shared" si="112"/>
        <v>2.1866772393262136E-5</v>
      </c>
    </row>
    <row r="1210" spans="1:37" x14ac:dyDescent="0.3">
      <c r="A1210" s="1">
        <v>45617</v>
      </c>
      <c r="B1210">
        <v>1.0472999999999999</v>
      </c>
      <c r="C1210">
        <v>1.2585999999999999</v>
      </c>
      <c r="D1210">
        <v>154.51</v>
      </c>
      <c r="G1210">
        <v>1.0472999999999999</v>
      </c>
      <c r="H1210">
        <f t="shared" si="109"/>
        <v>1.0543</v>
      </c>
      <c r="I1210">
        <f t="shared" si="109"/>
        <v>1.0595000000000001</v>
      </c>
      <c r="J1210">
        <f t="shared" si="109"/>
        <v>1.0599000000000001</v>
      </c>
      <c r="L1210">
        <f t="shared" si="108"/>
        <v>-7.0000000000001172E-3</v>
      </c>
      <c r="W1210">
        <f t="shared" si="110"/>
        <v>-5.91906324390411E-3</v>
      </c>
      <c r="X1210">
        <f t="shared" si="111"/>
        <v>5.0436469447138772E-3</v>
      </c>
      <c r="Y1210">
        <f t="shared" si="111"/>
        <v>0</v>
      </c>
      <c r="Z1210">
        <f t="shared" si="111"/>
        <v>2.0085525463263074E-3</v>
      </c>
      <c r="AE1210">
        <f>W1210-mu-theta*AE1209</f>
        <v>-5.0449246295717126E-3</v>
      </c>
      <c r="AF1210">
        <f t="shared" si="113"/>
        <v>4.6761920825883676E-3</v>
      </c>
      <c r="AG1210">
        <f t="shared" si="113"/>
        <v>-4.6645582044317993E-4</v>
      </c>
      <c r="AK1210">
        <f t="shared" si="112"/>
        <v>2.5451264518059282E-5</v>
      </c>
    </row>
    <row r="1211" spans="1:37" x14ac:dyDescent="0.3">
      <c r="A1211" s="1">
        <v>45618</v>
      </c>
      <c r="B1211">
        <v>1.0417000000000001</v>
      </c>
      <c r="C1211">
        <v>1.2531000000000001</v>
      </c>
      <c r="D1211">
        <v>154.74</v>
      </c>
      <c r="G1211">
        <v>1.0417000000000001</v>
      </c>
      <c r="H1211">
        <f t="shared" si="109"/>
        <v>1.0472999999999999</v>
      </c>
      <c r="I1211">
        <f t="shared" si="109"/>
        <v>1.0543</v>
      </c>
      <c r="J1211">
        <f t="shared" si="109"/>
        <v>1.0595000000000001</v>
      </c>
      <c r="L1211">
        <f t="shared" si="108"/>
        <v>-5.5999999999998273E-3</v>
      </c>
      <c r="W1211">
        <f t="shared" si="110"/>
        <v>1.488576791146322E-3</v>
      </c>
      <c r="X1211">
        <f t="shared" si="111"/>
        <v>-5.91906324390411E-3</v>
      </c>
      <c r="Y1211">
        <f t="shared" si="111"/>
        <v>5.0436469447138772E-3</v>
      </c>
      <c r="Z1211">
        <f t="shared" si="111"/>
        <v>0</v>
      </c>
      <c r="AE1211">
        <f>W1211-mu-theta*AE1210</f>
        <v>1.5738649284906606E-5</v>
      </c>
      <c r="AF1211">
        <f t="shared" si="113"/>
        <v>-5.0449246295717126E-3</v>
      </c>
      <c r="AG1211">
        <f t="shared" si="113"/>
        <v>4.6761920825883676E-3</v>
      </c>
      <c r="AK1211">
        <f t="shared" si="112"/>
        <v>2.4770508131329121E-10</v>
      </c>
    </row>
    <row r="1212" spans="1:37" x14ac:dyDescent="0.3">
      <c r="A1212" s="1">
        <v>45621</v>
      </c>
      <c r="B1212">
        <v>1.0494000000000001</v>
      </c>
      <c r="C1212">
        <v>1.2566999999999999</v>
      </c>
      <c r="D1212">
        <v>154.21</v>
      </c>
      <c r="G1212">
        <v>1.0494000000000001</v>
      </c>
      <c r="H1212">
        <f t="shared" si="109"/>
        <v>1.0417000000000001</v>
      </c>
      <c r="I1212">
        <f t="shared" si="109"/>
        <v>1.0472999999999999</v>
      </c>
      <c r="J1212">
        <f t="shared" si="109"/>
        <v>1.0543</v>
      </c>
      <c r="L1212">
        <f t="shared" si="108"/>
        <v>7.7000000000000401E-3</v>
      </c>
      <c r="W1212">
        <f t="shared" si="110"/>
        <v>-3.4251001680237888E-3</v>
      </c>
      <c r="X1212">
        <f t="shared" si="111"/>
        <v>1.488576791146322E-3</v>
      </c>
      <c r="Y1212">
        <f t="shared" si="111"/>
        <v>-5.91906324390411E-3</v>
      </c>
      <c r="Z1212">
        <f t="shared" si="111"/>
        <v>5.0436469447138772E-3</v>
      </c>
      <c r="AE1212">
        <f>W1212-mu-theta*AE1211</f>
        <v>-3.6761384449023192E-3</v>
      </c>
      <c r="AF1212">
        <f t="shared" si="113"/>
        <v>1.5738649284906606E-5</v>
      </c>
      <c r="AG1212">
        <f t="shared" si="113"/>
        <v>-5.0449246295717126E-3</v>
      </c>
      <c r="AK1212">
        <f t="shared" si="112"/>
        <v>1.3513993866088841E-5</v>
      </c>
    </row>
    <row r="1213" spans="1:37" x14ac:dyDescent="0.3">
      <c r="A1213" s="1">
        <v>45622</v>
      </c>
      <c r="B1213">
        <v>1.0486</v>
      </c>
      <c r="C1213">
        <v>1.2567999999999999</v>
      </c>
      <c r="D1213">
        <v>153.1</v>
      </c>
      <c r="G1213">
        <v>1.0486</v>
      </c>
      <c r="H1213">
        <f t="shared" si="109"/>
        <v>1.0494000000000001</v>
      </c>
      <c r="I1213">
        <f t="shared" si="109"/>
        <v>1.0417000000000001</v>
      </c>
      <c r="J1213">
        <f t="shared" si="109"/>
        <v>1.0472999999999999</v>
      </c>
      <c r="L1213">
        <f t="shared" si="108"/>
        <v>-8.0000000000013394E-4</v>
      </c>
      <c r="W1213">
        <f t="shared" si="110"/>
        <v>-7.1979767849037904E-3</v>
      </c>
      <c r="X1213">
        <f t="shared" si="111"/>
        <v>-3.4251001680237888E-3</v>
      </c>
      <c r="Y1213">
        <f t="shared" si="111"/>
        <v>1.488576791146322E-3</v>
      </c>
      <c r="Z1213">
        <f t="shared" si="111"/>
        <v>-5.91906324390411E-3</v>
      </c>
      <c r="AE1213">
        <f>W1213-mu-theta*AE1212</f>
        <v>-8.3403478153478757E-3</v>
      </c>
      <c r="AF1213">
        <f t="shared" si="113"/>
        <v>-3.6761384449023192E-3</v>
      </c>
      <c r="AG1213">
        <f t="shared" si="113"/>
        <v>1.5738649284906606E-5</v>
      </c>
      <c r="AK1213">
        <f t="shared" si="112"/>
        <v>6.9561401680978078E-5</v>
      </c>
    </row>
    <row r="1214" spans="1:37" x14ac:dyDescent="0.3">
      <c r="A1214" s="1">
        <v>45623</v>
      </c>
      <c r="B1214">
        <v>1.0564</v>
      </c>
      <c r="C1214">
        <v>1.2678</v>
      </c>
      <c r="D1214">
        <v>151.1</v>
      </c>
      <c r="G1214">
        <v>1.0564</v>
      </c>
      <c r="H1214">
        <f t="shared" si="109"/>
        <v>1.0486</v>
      </c>
      <c r="I1214">
        <f t="shared" si="109"/>
        <v>1.0494000000000001</v>
      </c>
      <c r="J1214">
        <f t="shared" si="109"/>
        <v>1.0417000000000001</v>
      </c>
      <c r="L1214">
        <f t="shared" si="108"/>
        <v>7.8000000000000291E-3</v>
      </c>
      <c r="W1214">
        <f t="shared" si="110"/>
        <v>-1.3063357282821686E-2</v>
      </c>
      <c r="X1214">
        <f t="shared" si="111"/>
        <v>-7.1979767849037904E-3</v>
      </c>
      <c r="Y1214">
        <f t="shared" si="111"/>
        <v>-3.4251001680237888E-3</v>
      </c>
      <c r="Z1214">
        <f t="shared" si="111"/>
        <v>1.488576791146322E-3</v>
      </c>
      <c r="AE1214">
        <f>W1214-mu-theta*AE1213</f>
        <v>-1.5331812003297371E-2</v>
      </c>
      <c r="AF1214">
        <f t="shared" si="113"/>
        <v>-8.3403478153478757E-3</v>
      </c>
      <c r="AG1214">
        <f t="shared" si="113"/>
        <v>-3.6761384449023192E-3</v>
      </c>
      <c r="AK1214">
        <f t="shared" si="112"/>
        <v>2.3506445930445336E-4</v>
      </c>
    </row>
    <row r="1215" spans="1:37" x14ac:dyDescent="0.3">
      <c r="A1215" s="1">
        <v>45624</v>
      </c>
      <c r="B1215">
        <v>1.0552999999999999</v>
      </c>
      <c r="C1215">
        <v>1.2686999999999999</v>
      </c>
      <c r="D1215">
        <v>151.54</v>
      </c>
      <c r="G1215">
        <v>1.0552999999999999</v>
      </c>
      <c r="H1215">
        <f t="shared" si="109"/>
        <v>1.0564</v>
      </c>
      <c r="I1215">
        <f t="shared" si="109"/>
        <v>1.0486</v>
      </c>
      <c r="J1215">
        <f t="shared" si="109"/>
        <v>1.0494000000000001</v>
      </c>
      <c r="L1215">
        <f t="shared" si="108"/>
        <v>-1.1000000000001009E-3</v>
      </c>
      <c r="W1215">
        <f t="shared" si="110"/>
        <v>2.9119788219721891E-3</v>
      </c>
      <c r="X1215">
        <f t="shared" si="111"/>
        <v>-1.3063357282821686E-2</v>
      </c>
      <c r="Y1215">
        <f t="shared" si="111"/>
        <v>-7.1979767849037904E-3</v>
      </c>
      <c r="Z1215">
        <f t="shared" si="111"/>
        <v>-3.4251001680237888E-3</v>
      </c>
      <c r="AE1215">
        <f>W1215-mu-theta*AE1214</f>
        <v>-1.0444305262216542E-3</v>
      </c>
      <c r="AF1215">
        <f t="shared" si="113"/>
        <v>-1.5331812003297371E-2</v>
      </c>
      <c r="AG1215">
        <f t="shared" si="113"/>
        <v>-8.3403478153478757E-3</v>
      </c>
      <c r="AK1215">
        <f t="shared" si="112"/>
        <v>1.0908351241036414E-6</v>
      </c>
    </row>
    <row r="1216" spans="1:37" x14ac:dyDescent="0.3">
      <c r="A1216" s="1">
        <v>45625</v>
      </c>
      <c r="B1216">
        <v>1.0575000000000001</v>
      </c>
      <c r="C1216">
        <v>1.2737000000000001</v>
      </c>
      <c r="D1216">
        <v>149.75</v>
      </c>
      <c r="G1216">
        <v>1.0575000000000001</v>
      </c>
      <c r="H1216">
        <f t="shared" si="109"/>
        <v>1.0552999999999999</v>
      </c>
      <c r="I1216">
        <f t="shared" si="109"/>
        <v>1.0564</v>
      </c>
      <c r="J1216">
        <f t="shared" si="109"/>
        <v>1.0486</v>
      </c>
      <c r="L1216">
        <f t="shared" si="108"/>
        <v>2.2000000000002018E-3</v>
      </c>
      <c r="W1216">
        <f t="shared" si="110"/>
        <v>-1.1812062821697189E-2</v>
      </c>
      <c r="X1216">
        <f t="shared" si="111"/>
        <v>2.9119788219721891E-3</v>
      </c>
      <c r="Y1216">
        <f t="shared" si="111"/>
        <v>-1.3063357282821686E-2</v>
      </c>
      <c r="Z1216">
        <f t="shared" si="111"/>
        <v>-7.1979767849037904E-3</v>
      </c>
      <c r="AE1216">
        <f>W1216-mu-theta*AE1215</f>
        <v>-1.2319058565831984E-2</v>
      </c>
      <c r="AF1216">
        <f t="shared" si="113"/>
        <v>-1.0444305262216542E-3</v>
      </c>
      <c r="AG1216">
        <f t="shared" si="113"/>
        <v>-1.5331812003297371E-2</v>
      </c>
      <c r="AK1216">
        <f t="shared" si="112"/>
        <v>1.5175920394839838E-4</v>
      </c>
    </row>
    <row r="1217" spans="1:37" x14ac:dyDescent="0.3">
      <c r="A1217" s="1">
        <v>45628</v>
      </c>
      <c r="B1217">
        <v>1.0497000000000001</v>
      </c>
      <c r="C1217">
        <v>1.2655000000000001</v>
      </c>
      <c r="D1217">
        <v>149.59</v>
      </c>
      <c r="G1217">
        <v>1.0497000000000001</v>
      </c>
      <c r="H1217">
        <f t="shared" si="109"/>
        <v>1.0575000000000001</v>
      </c>
      <c r="I1217">
        <f t="shared" si="109"/>
        <v>1.0552999999999999</v>
      </c>
      <c r="J1217">
        <f t="shared" si="109"/>
        <v>1.0564</v>
      </c>
      <c r="L1217">
        <f t="shared" si="108"/>
        <v>-7.8000000000000291E-3</v>
      </c>
      <c r="W1217">
        <f t="shared" si="110"/>
        <v>-1.0684474123539005E-3</v>
      </c>
      <c r="X1217">
        <f t="shared" si="111"/>
        <v>-1.1812062821697189E-2</v>
      </c>
      <c r="Y1217">
        <f t="shared" si="111"/>
        <v>2.9119788219721891E-3</v>
      </c>
      <c r="Z1217">
        <f t="shared" si="111"/>
        <v>-1.3063357282821686E-2</v>
      </c>
      <c r="AE1217">
        <f>W1217-mu-theta*AE1216</f>
        <v>-4.2974853587591632E-3</v>
      </c>
      <c r="AF1217">
        <f t="shared" si="113"/>
        <v>-1.2319058565831984E-2</v>
      </c>
      <c r="AG1217">
        <f t="shared" si="113"/>
        <v>-1.0444305262216542E-3</v>
      </c>
      <c r="AK1217">
        <f t="shared" si="112"/>
        <v>1.8468380408749375E-5</v>
      </c>
    </row>
    <row r="1218" spans="1:37" x14ac:dyDescent="0.3">
      <c r="A1218" s="1">
        <v>45629</v>
      </c>
      <c r="B1218">
        <v>1.0508999999999999</v>
      </c>
      <c r="C1218">
        <v>1.2669999999999999</v>
      </c>
      <c r="D1218">
        <v>149.59</v>
      </c>
      <c r="G1218">
        <v>1.0508999999999999</v>
      </c>
      <c r="H1218">
        <f t="shared" si="109"/>
        <v>1.0497000000000001</v>
      </c>
      <c r="I1218">
        <f t="shared" si="109"/>
        <v>1.0575000000000001</v>
      </c>
      <c r="J1218">
        <f t="shared" si="109"/>
        <v>1.0552999999999999</v>
      </c>
      <c r="L1218">
        <f t="shared" si="108"/>
        <v>1.1999999999998678E-3</v>
      </c>
      <c r="W1218">
        <f t="shared" si="110"/>
        <v>0</v>
      </c>
      <c r="X1218">
        <f t="shared" si="111"/>
        <v>-1.0684474123539005E-3</v>
      </c>
      <c r="Y1218">
        <f t="shared" si="111"/>
        <v>-1.1812062821697189E-2</v>
      </c>
      <c r="Z1218">
        <f t="shared" si="111"/>
        <v>2.9119788219721891E-3</v>
      </c>
      <c r="AE1218">
        <f>W1218-mu-theta*AE1217</f>
        <v>-1.2923832983279394E-3</v>
      </c>
      <c r="AF1218">
        <f t="shared" si="113"/>
        <v>-4.2974853587591632E-3</v>
      </c>
      <c r="AG1218">
        <f t="shared" si="113"/>
        <v>-1.2319058565831984E-2</v>
      </c>
      <c r="AK1218">
        <f t="shared" si="112"/>
        <v>1.6702545897970036E-6</v>
      </c>
    </row>
    <row r="1219" spans="1:37" x14ac:dyDescent="0.3">
      <c r="A1219" s="1">
        <v>45630</v>
      </c>
      <c r="B1219">
        <v>1.0509999999999999</v>
      </c>
      <c r="C1219">
        <v>1.2702</v>
      </c>
      <c r="D1219">
        <v>150.6</v>
      </c>
      <c r="G1219">
        <v>1.0509999999999999</v>
      </c>
      <c r="H1219">
        <f t="shared" si="109"/>
        <v>1.0508999999999999</v>
      </c>
      <c r="I1219">
        <f t="shared" si="109"/>
        <v>1.0497000000000001</v>
      </c>
      <c r="J1219">
        <f t="shared" si="109"/>
        <v>1.0575000000000001</v>
      </c>
      <c r="L1219">
        <f t="shared" si="108"/>
        <v>9.9999999999988987E-5</v>
      </c>
      <c r="W1219">
        <f t="shared" si="110"/>
        <v>6.7517882211377157E-3</v>
      </c>
      <c r="X1219">
        <f t="shared" si="111"/>
        <v>0</v>
      </c>
      <c r="Y1219">
        <f t="shared" si="111"/>
        <v>-1.0684474123539005E-3</v>
      </c>
      <c r="Z1219">
        <f t="shared" si="111"/>
        <v>-1.1812062821697189E-2</v>
      </c>
      <c r="AE1219">
        <f>W1219-mu-theta*AE1218</f>
        <v>6.18492904669976E-3</v>
      </c>
      <c r="AF1219">
        <f t="shared" si="113"/>
        <v>-1.2923832983279394E-3</v>
      </c>
      <c r="AG1219">
        <f t="shared" si="113"/>
        <v>-4.2974853587591632E-3</v>
      </c>
      <c r="AK1219">
        <f t="shared" si="112"/>
        <v>3.8253347312710399E-5</v>
      </c>
    </row>
    <row r="1220" spans="1:37" x14ac:dyDescent="0.3">
      <c r="A1220" s="1">
        <v>45631</v>
      </c>
      <c r="B1220">
        <v>1.0586</v>
      </c>
      <c r="C1220">
        <v>1.2758</v>
      </c>
      <c r="D1220">
        <v>150.08000000000001</v>
      </c>
      <c r="G1220">
        <v>1.0586</v>
      </c>
      <c r="H1220">
        <f t="shared" si="109"/>
        <v>1.0509999999999999</v>
      </c>
      <c r="I1220">
        <f t="shared" si="109"/>
        <v>1.0508999999999999</v>
      </c>
      <c r="J1220">
        <f t="shared" si="109"/>
        <v>1.0497000000000001</v>
      </c>
      <c r="L1220">
        <f t="shared" si="108"/>
        <v>7.6000000000000512E-3</v>
      </c>
      <c r="W1220">
        <f t="shared" si="110"/>
        <v>-3.4528552456838104E-3</v>
      </c>
      <c r="X1220">
        <f t="shared" si="111"/>
        <v>6.7517882211377157E-3</v>
      </c>
      <c r="Y1220">
        <f t="shared" si="111"/>
        <v>0</v>
      </c>
      <c r="Z1220">
        <f t="shared" si="111"/>
        <v>-1.0684474123539005E-3</v>
      </c>
      <c r="AE1220">
        <f>W1220-mu-theta*AE1219</f>
        <v>-2.21446109458263E-3</v>
      </c>
      <c r="AF1220">
        <f t="shared" si="113"/>
        <v>6.18492904669976E-3</v>
      </c>
      <c r="AG1220">
        <f t="shared" si="113"/>
        <v>-1.2923832983279394E-3</v>
      </c>
      <c r="AK1220">
        <f t="shared" si="112"/>
        <v>4.9038379394200996E-6</v>
      </c>
    </row>
    <row r="1221" spans="1:37" x14ac:dyDescent="0.3">
      <c r="A1221" s="1">
        <v>45632</v>
      </c>
      <c r="B1221">
        <v>1.0568</v>
      </c>
      <c r="C1221">
        <v>1.2742</v>
      </c>
      <c r="D1221">
        <v>150.03</v>
      </c>
      <c r="G1221">
        <v>1.0568</v>
      </c>
      <c r="H1221">
        <f t="shared" si="109"/>
        <v>1.0586</v>
      </c>
      <c r="I1221">
        <f t="shared" si="109"/>
        <v>1.0509999999999999</v>
      </c>
      <c r="J1221">
        <f t="shared" si="109"/>
        <v>1.0508999999999999</v>
      </c>
      <c r="L1221">
        <f t="shared" si="108"/>
        <v>-1.8000000000000238E-3</v>
      </c>
      <c r="W1221">
        <f t="shared" si="110"/>
        <v>-3.3315565031990515E-4</v>
      </c>
      <c r="X1221">
        <f t="shared" si="111"/>
        <v>-3.4528552456838104E-3</v>
      </c>
      <c r="Y1221">
        <f t="shared" si="111"/>
        <v>6.7517882211377157E-3</v>
      </c>
      <c r="Z1221">
        <f t="shared" si="111"/>
        <v>0</v>
      </c>
      <c r="AE1221">
        <f>W1221-mu-theta*AE1220</f>
        <v>-1.1226327830943885E-3</v>
      </c>
      <c r="AF1221">
        <f t="shared" si="113"/>
        <v>-2.21446109458263E-3</v>
      </c>
      <c r="AG1221">
        <f t="shared" si="113"/>
        <v>6.18492904669976E-3</v>
      </c>
      <c r="AK1221">
        <f t="shared" si="112"/>
        <v>1.2603043656782524E-6</v>
      </c>
    </row>
    <row r="1222" spans="1:37" x14ac:dyDescent="0.3">
      <c r="A1222" s="1">
        <v>45635</v>
      </c>
      <c r="B1222">
        <v>1.0551999999999999</v>
      </c>
      <c r="C1222">
        <v>1.2748999999999999</v>
      </c>
      <c r="D1222">
        <v>151.19</v>
      </c>
      <c r="G1222">
        <v>1.0551999999999999</v>
      </c>
      <c r="H1222">
        <f t="shared" si="109"/>
        <v>1.0568</v>
      </c>
      <c r="I1222">
        <f t="shared" si="109"/>
        <v>1.0586</v>
      </c>
      <c r="J1222">
        <f t="shared" si="109"/>
        <v>1.0509999999999999</v>
      </c>
      <c r="L1222">
        <f t="shared" ref="L1222:L1285" si="114">G1222-H1222</f>
        <v>-1.6000000000000458E-3</v>
      </c>
      <c r="W1222">
        <f t="shared" si="110"/>
        <v>7.7317869759381229E-3</v>
      </c>
      <c r="X1222">
        <f t="shared" si="111"/>
        <v>-3.3315565031990515E-4</v>
      </c>
      <c r="Y1222">
        <f t="shared" si="111"/>
        <v>-3.4528552456838104E-3</v>
      </c>
      <c r="Z1222">
        <f t="shared" si="111"/>
        <v>6.7517882211377157E-3</v>
      </c>
      <c r="AE1222">
        <f>W1222-mu-theta*AE1221</f>
        <v>7.2059108002030534E-3</v>
      </c>
      <c r="AF1222">
        <f t="shared" si="113"/>
        <v>-1.1226327830943885E-3</v>
      </c>
      <c r="AG1222">
        <f t="shared" si="113"/>
        <v>-2.21446109458263E-3</v>
      </c>
      <c r="AK1222">
        <f t="shared" si="112"/>
        <v>5.1925150460483009E-5</v>
      </c>
    </row>
    <row r="1223" spans="1:37" x14ac:dyDescent="0.3">
      <c r="A1223" s="1">
        <v>45636</v>
      </c>
      <c r="B1223">
        <v>1.0526</v>
      </c>
      <c r="C1223">
        <v>1.2767999999999999</v>
      </c>
      <c r="D1223">
        <v>151.94999999999999</v>
      </c>
      <c r="G1223">
        <v>1.0526</v>
      </c>
      <c r="H1223">
        <f t="shared" ref="H1223:J1286" si="115">G1222</f>
        <v>1.0551999999999999</v>
      </c>
      <c r="I1223">
        <f t="shared" si="115"/>
        <v>1.0568</v>
      </c>
      <c r="J1223">
        <f t="shared" si="115"/>
        <v>1.0586</v>
      </c>
      <c r="L1223">
        <f t="shared" si="114"/>
        <v>-2.5999999999999357E-3</v>
      </c>
      <c r="W1223">
        <f t="shared" ref="W1223:W1286" si="116">(D1223-D1222)/D1222</f>
        <v>5.0267874859447779E-3</v>
      </c>
      <c r="X1223">
        <f t="shared" si="111"/>
        <v>7.7317869759381229E-3</v>
      </c>
      <c r="Y1223">
        <f t="shared" si="111"/>
        <v>-3.3315565031990515E-4</v>
      </c>
      <c r="Z1223">
        <f t="shared" si="111"/>
        <v>-3.4528552456838104E-3</v>
      </c>
      <c r="AE1223">
        <f>W1223-mu-theta*AE1222</f>
        <v>6.5116780545792256E-3</v>
      </c>
      <c r="AF1223">
        <f t="shared" si="113"/>
        <v>7.2059108002030534E-3</v>
      </c>
      <c r="AG1223">
        <f t="shared" si="113"/>
        <v>-1.1226327830943885E-3</v>
      </c>
      <c r="AK1223">
        <f t="shared" si="112"/>
        <v>4.2401951086488689E-5</v>
      </c>
    </row>
    <row r="1224" spans="1:37" x14ac:dyDescent="0.3">
      <c r="A1224" s="1">
        <v>45637</v>
      </c>
      <c r="B1224">
        <v>1.0494000000000001</v>
      </c>
      <c r="C1224">
        <v>1.2749999999999999</v>
      </c>
      <c r="D1224">
        <v>152.44999999999999</v>
      </c>
      <c r="G1224">
        <v>1.0494000000000001</v>
      </c>
      <c r="H1224">
        <f t="shared" si="115"/>
        <v>1.0526</v>
      </c>
      <c r="I1224">
        <f t="shared" si="115"/>
        <v>1.0551999999999999</v>
      </c>
      <c r="J1224">
        <f t="shared" si="115"/>
        <v>1.0568</v>
      </c>
      <c r="L1224">
        <f t="shared" si="114"/>
        <v>-3.1999999999998696E-3</v>
      </c>
      <c r="W1224">
        <f t="shared" si="116"/>
        <v>3.290556103981573E-3</v>
      </c>
      <c r="X1224">
        <f t="shared" ref="X1224:Z1287" si="117">W1223</f>
        <v>5.0267874859447779E-3</v>
      </c>
      <c r="Y1224">
        <f t="shared" si="117"/>
        <v>7.7317869759381229E-3</v>
      </c>
      <c r="Z1224">
        <f t="shared" si="117"/>
        <v>-3.3315565031990515E-4</v>
      </c>
      <c r="AE1224">
        <f>W1224-mu-theta*AE1223</f>
        <v>4.6078375217733407E-3</v>
      </c>
      <c r="AF1224">
        <f t="shared" si="113"/>
        <v>6.5116780545792256E-3</v>
      </c>
      <c r="AG1224">
        <f t="shared" si="113"/>
        <v>7.2059108002030534E-3</v>
      </c>
      <c r="AK1224">
        <f t="shared" ref="AK1224:AK1287" si="118">POWER(AE1224,2)</f>
        <v>2.1232166627062282E-5</v>
      </c>
    </row>
    <row r="1225" spans="1:37" x14ac:dyDescent="0.3">
      <c r="A1225" s="1">
        <v>45638</v>
      </c>
      <c r="B1225">
        <v>1.0467</v>
      </c>
      <c r="C1225">
        <v>1.2669999999999999</v>
      </c>
      <c r="D1225">
        <v>152.62</v>
      </c>
      <c r="G1225">
        <v>1.0467</v>
      </c>
      <c r="H1225">
        <f t="shared" si="115"/>
        <v>1.0494000000000001</v>
      </c>
      <c r="I1225">
        <f t="shared" si="115"/>
        <v>1.0526</v>
      </c>
      <c r="J1225">
        <f t="shared" si="115"/>
        <v>1.0551999999999999</v>
      </c>
      <c r="L1225">
        <f t="shared" si="114"/>
        <v>-2.7000000000001467E-3</v>
      </c>
      <c r="W1225">
        <f t="shared" si="116"/>
        <v>1.1151197113808851E-3</v>
      </c>
      <c r="X1225">
        <f t="shared" si="117"/>
        <v>3.290556103981573E-3</v>
      </c>
      <c r="Y1225">
        <f t="shared" si="117"/>
        <v>5.0267874859447779E-3</v>
      </c>
      <c r="Z1225">
        <f t="shared" si="117"/>
        <v>7.7317869759381229E-3</v>
      </c>
      <c r="AE1225">
        <f>W1225-mu-theta*AE1224</f>
        <v>1.9727554310188873E-3</v>
      </c>
      <c r="AF1225">
        <f t="shared" ref="AF1225:AG1288" si="119">AE1224</f>
        <v>4.6078375217733407E-3</v>
      </c>
      <c r="AG1225">
        <f t="shared" si="119"/>
        <v>6.5116780545792256E-3</v>
      </c>
      <c r="AK1225">
        <f t="shared" si="118"/>
        <v>3.8917639906145162E-6</v>
      </c>
    </row>
    <row r="1226" spans="1:37" x14ac:dyDescent="0.3">
      <c r="A1226" s="1">
        <v>45639</v>
      </c>
      <c r="B1226">
        <v>1.0502</v>
      </c>
      <c r="C1226">
        <v>1.2618</v>
      </c>
      <c r="D1226">
        <v>153.63999999999999</v>
      </c>
      <c r="G1226">
        <v>1.0502</v>
      </c>
      <c r="H1226">
        <f t="shared" si="115"/>
        <v>1.0467</v>
      </c>
      <c r="I1226">
        <f t="shared" si="115"/>
        <v>1.0494000000000001</v>
      </c>
      <c r="J1226">
        <f t="shared" si="115"/>
        <v>1.0526</v>
      </c>
      <c r="L1226">
        <f t="shared" si="114"/>
        <v>3.5000000000000586E-3</v>
      </c>
      <c r="W1226">
        <f t="shared" si="116"/>
        <v>6.6832656270474494E-3</v>
      </c>
      <c r="X1226">
        <f t="shared" si="117"/>
        <v>1.1151197113808851E-3</v>
      </c>
      <c r="Y1226">
        <f t="shared" si="117"/>
        <v>3.290556103981573E-3</v>
      </c>
      <c r="Z1226">
        <f t="shared" si="117"/>
        <v>5.0267874859447779E-3</v>
      </c>
      <c r="AE1226">
        <f>W1226-mu-theta*AE1225</f>
        <v>6.904711431392368E-3</v>
      </c>
      <c r="AF1226">
        <f t="shared" si="119"/>
        <v>1.9727554310188873E-3</v>
      </c>
      <c r="AG1226">
        <f t="shared" si="119"/>
        <v>4.6078375217733407E-3</v>
      </c>
      <c r="AK1226">
        <f t="shared" si="118"/>
        <v>4.7675039950800447E-5</v>
      </c>
    </row>
    <row r="1227" spans="1:37" x14ac:dyDescent="0.3">
      <c r="A1227" s="1">
        <v>45642</v>
      </c>
      <c r="B1227">
        <v>1.0509999999999999</v>
      </c>
      <c r="C1227">
        <v>1.2681</v>
      </c>
      <c r="D1227">
        <v>154.15</v>
      </c>
      <c r="G1227">
        <v>1.0509999999999999</v>
      </c>
      <c r="H1227">
        <f t="shared" si="115"/>
        <v>1.0502</v>
      </c>
      <c r="I1227">
        <f t="shared" si="115"/>
        <v>1.0467</v>
      </c>
      <c r="J1227">
        <f t="shared" si="115"/>
        <v>1.0494000000000001</v>
      </c>
      <c r="L1227">
        <f t="shared" si="114"/>
        <v>7.9999999999991189E-4</v>
      </c>
      <c r="W1227">
        <f t="shared" si="116"/>
        <v>3.3194480604010635E-3</v>
      </c>
      <c r="X1227">
        <f t="shared" si="117"/>
        <v>6.6832656270474494E-3</v>
      </c>
      <c r="Y1227">
        <f t="shared" si="117"/>
        <v>1.1151197113808851E-3</v>
      </c>
      <c r="Z1227">
        <f t="shared" si="117"/>
        <v>3.290556103981573E-3</v>
      </c>
      <c r="AE1227">
        <f>W1227-mu-theta*AE1226</f>
        <v>4.73161983154441E-3</v>
      </c>
      <c r="AF1227">
        <f t="shared" si="119"/>
        <v>6.904711431392368E-3</v>
      </c>
      <c r="AG1227">
        <f t="shared" si="119"/>
        <v>1.9727554310188873E-3</v>
      </c>
      <c r="AK1227">
        <f t="shared" si="118"/>
        <v>2.238822623026435E-5</v>
      </c>
    </row>
    <row r="1228" spans="1:37" x14ac:dyDescent="0.3">
      <c r="A1228" s="1">
        <v>45643</v>
      </c>
      <c r="B1228">
        <v>1.0488999999999999</v>
      </c>
      <c r="C1228">
        <v>1.2709999999999999</v>
      </c>
      <c r="D1228">
        <v>153.47999999999999</v>
      </c>
      <c r="G1228">
        <v>1.0488999999999999</v>
      </c>
      <c r="H1228">
        <f t="shared" si="115"/>
        <v>1.0509999999999999</v>
      </c>
      <c r="I1228">
        <f t="shared" si="115"/>
        <v>1.0502</v>
      </c>
      <c r="J1228">
        <f t="shared" si="115"/>
        <v>1.0467</v>
      </c>
      <c r="L1228">
        <f t="shared" si="114"/>
        <v>-2.0999999999999908E-3</v>
      </c>
      <c r="W1228">
        <f t="shared" si="116"/>
        <v>-4.3464158287383455E-3</v>
      </c>
      <c r="X1228">
        <f t="shared" si="117"/>
        <v>3.3194480604010635E-3</v>
      </c>
      <c r="Y1228">
        <f t="shared" si="117"/>
        <v>6.6832656270474494E-3</v>
      </c>
      <c r="Z1228">
        <f t="shared" si="117"/>
        <v>1.1151197113808851E-3</v>
      </c>
      <c r="AE1228">
        <f>W1228-mu-theta*AE1227</f>
        <v>-3.4588952499362436E-3</v>
      </c>
      <c r="AF1228">
        <f t="shared" si="119"/>
        <v>4.73161983154441E-3</v>
      </c>
      <c r="AG1228">
        <f t="shared" si="119"/>
        <v>6.904711431392368E-3</v>
      </c>
      <c r="AK1228">
        <f t="shared" si="118"/>
        <v>1.1963956350031509E-5</v>
      </c>
    </row>
    <row r="1229" spans="1:37" x14ac:dyDescent="0.3">
      <c r="A1229" s="1">
        <v>45644</v>
      </c>
      <c r="B1229">
        <v>1.0351999999999999</v>
      </c>
      <c r="C1229">
        <v>1.2573000000000001</v>
      </c>
      <c r="D1229">
        <v>154.80000000000001</v>
      </c>
      <c r="G1229">
        <v>1.0351999999999999</v>
      </c>
      <c r="H1229">
        <f t="shared" si="115"/>
        <v>1.0488999999999999</v>
      </c>
      <c r="I1229">
        <f t="shared" si="115"/>
        <v>1.0509999999999999</v>
      </c>
      <c r="J1229">
        <f t="shared" si="115"/>
        <v>1.0502</v>
      </c>
      <c r="L1229">
        <f t="shared" si="114"/>
        <v>-1.3700000000000045E-2</v>
      </c>
      <c r="W1229">
        <f t="shared" si="116"/>
        <v>8.6004691164974049E-3</v>
      </c>
      <c r="X1229">
        <f t="shared" si="117"/>
        <v>-4.3464158287383455E-3</v>
      </c>
      <c r="Y1229">
        <f t="shared" si="117"/>
        <v>3.3194480604010635E-3</v>
      </c>
      <c r="Z1229">
        <f t="shared" si="117"/>
        <v>6.6832656270474494E-3</v>
      </c>
      <c r="AE1229">
        <f>W1229-mu-theta*AE1228</f>
        <v>7.5105472793017547E-3</v>
      </c>
      <c r="AF1229">
        <f t="shared" si="119"/>
        <v>-3.4588952499362436E-3</v>
      </c>
      <c r="AG1229">
        <f t="shared" si="119"/>
        <v>4.73161983154441E-3</v>
      </c>
      <c r="AK1229">
        <f t="shared" si="118"/>
        <v>5.6408320434626993E-5</v>
      </c>
    </row>
    <row r="1230" spans="1:37" x14ac:dyDescent="0.3">
      <c r="A1230" s="1">
        <v>45645</v>
      </c>
      <c r="B1230">
        <v>1.0362</v>
      </c>
      <c r="C1230">
        <v>1.2499</v>
      </c>
      <c r="D1230">
        <v>157.43</v>
      </c>
      <c r="G1230">
        <v>1.0362</v>
      </c>
      <c r="H1230">
        <f t="shared" si="115"/>
        <v>1.0351999999999999</v>
      </c>
      <c r="I1230">
        <f t="shared" si="115"/>
        <v>1.0488999999999999</v>
      </c>
      <c r="J1230">
        <f t="shared" si="115"/>
        <v>1.0509999999999999</v>
      </c>
      <c r="L1230">
        <f t="shared" si="114"/>
        <v>1.0000000000001119E-3</v>
      </c>
      <c r="W1230">
        <f t="shared" si="116"/>
        <v>1.6989664082687306E-2</v>
      </c>
      <c r="X1230">
        <f t="shared" si="117"/>
        <v>8.6004691164974049E-3</v>
      </c>
      <c r="Y1230">
        <f t="shared" si="117"/>
        <v>-4.3464158287383455E-3</v>
      </c>
      <c r="Z1230">
        <f t="shared" si="117"/>
        <v>3.3194480604010635E-3</v>
      </c>
      <c r="AE1230">
        <f>W1230-mu-theta*AE1229</f>
        <v>1.854810327301858E-2</v>
      </c>
      <c r="AF1230">
        <f t="shared" si="119"/>
        <v>7.5105472793017547E-3</v>
      </c>
      <c r="AG1230">
        <f t="shared" si="119"/>
        <v>-3.4588952499362436E-3</v>
      </c>
      <c r="AK1230">
        <f t="shared" si="118"/>
        <v>3.4403213502656255E-4</v>
      </c>
    </row>
    <row r="1231" spans="1:37" x14ac:dyDescent="0.3">
      <c r="A1231" s="1">
        <v>45646</v>
      </c>
      <c r="B1231">
        <v>1.0428999999999999</v>
      </c>
      <c r="C1231">
        <v>1.2568999999999999</v>
      </c>
      <c r="D1231">
        <v>156.41</v>
      </c>
      <c r="G1231">
        <v>1.0428999999999999</v>
      </c>
      <c r="H1231">
        <f t="shared" si="115"/>
        <v>1.0362</v>
      </c>
      <c r="I1231">
        <f t="shared" si="115"/>
        <v>1.0351999999999999</v>
      </c>
      <c r="J1231">
        <f t="shared" si="115"/>
        <v>1.0488999999999999</v>
      </c>
      <c r="L1231">
        <f t="shared" si="114"/>
        <v>6.6999999999999282E-3</v>
      </c>
      <c r="W1231">
        <f t="shared" si="116"/>
        <v>-6.4790700628851563E-3</v>
      </c>
      <c r="X1231">
        <f t="shared" si="117"/>
        <v>1.6989664082687306E-2</v>
      </c>
      <c r="Y1231">
        <f t="shared" si="117"/>
        <v>8.6004691164974049E-3</v>
      </c>
      <c r="Z1231">
        <f t="shared" si="117"/>
        <v>-4.3464158287383455E-3</v>
      </c>
      <c r="AE1231">
        <f>W1231-mu-theta*AE1230</f>
        <v>-2.2558251584082166E-3</v>
      </c>
      <c r="AF1231">
        <f t="shared" si="119"/>
        <v>1.854810327301858E-2</v>
      </c>
      <c r="AG1231">
        <f t="shared" si="119"/>
        <v>7.5105472793017547E-3</v>
      </c>
      <c r="AK1231">
        <f t="shared" si="118"/>
        <v>5.0887471453074555E-6</v>
      </c>
    </row>
    <row r="1232" spans="1:37" x14ac:dyDescent="0.3">
      <c r="A1232" s="1">
        <v>45649</v>
      </c>
      <c r="B1232">
        <v>1.0405</v>
      </c>
      <c r="C1232">
        <v>1.2533000000000001</v>
      </c>
      <c r="D1232">
        <v>157.16</v>
      </c>
      <c r="G1232">
        <v>1.0405</v>
      </c>
      <c r="H1232">
        <f t="shared" si="115"/>
        <v>1.0428999999999999</v>
      </c>
      <c r="I1232">
        <f t="shared" si="115"/>
        <v>1.0362</v>
      </c>
      <c r="J1232">
        <f t="shared" si="115"/>
        <v>1.0351999999999999</v>
      </c>
      <c r="L1232">
        <f t="shared" si="114"/>
        <v>-2.3999999999999577E-3</v>
      </c>
      <c r="W1232">
        <f t="shared" si="116"/>
        <v>4.7950898280161112E-3</v>
      </c>
      <c r="X1232">
        <f t="shared" si="117"/>
        <v>-6.4790700628851563E-3</v>
      </c>
      <c r="Y1232">
        <f t="shared" si="117"/>
        <v>1.6989664082687306E-2</v>
      </c>
      <c r="Z1232">
        <f t="shared" si="117"/>
        <v>8.6004691164974049E-3</v>
      </c>
      <c r="AE1232">
        <f>W1232-mu-theta*AE1231</f>
        <v>3.9956261371933196E-3</v>
      </c>
      <c r="AF1232">
        <f t="shared" si="119"/>
        <v>-2.2558251584082166E-3</v>
      </c>
      <c r="AG1232">
        <f t="shared" si="119"/>
        <v>1.854810327301858E-2</v>
      </c>
      <c r="AK1232">
        <f t="shared" si="118"/>
        <v>1.596502822822241E-5</v>
      </c>
    </row>
    <row r="1233" spans="1:37" x14ac:dyDescent="0.3">
      <c r="A1233" s="1">
        <v>45650</v>
      </c>
      <c r="B1233">
        <v>1.0397000000000001</v>
      </c>
      <c r="C1233">
        <v>1.2542</v>
      </c>
      <c r="D1233">
        <v>157.18</v>
      </c>
      <c r="G1233">
        <v>1.0397000000000001</v>
      </c>
      <c r="H1233">
        <f t="shared" si="115"/>
        <v>1.0405</v>
      </c>
      <c r="I1233">
        <f t="shared" si="115"/>
        <v>1.0428999999999999</v>
      </c>
      <c r="J1233">
        <f t="shared" si="115"/>
        <v>1.0362</v>
      </c>
      <c r="L1233">
        <f t="shared" si="114"/>
        <v>-7.9999999999991189E-4</v>
      </c>
      <c r="W1233">
        <f t="shared" si="116"/>
        <v>1.2725884448975714E-4</v>
      </c>
      <c r="X1233">
        <f t="shared" si="117"/>
        <v>4.7950898280161112E-3</v>
      </c>
      <c r="Y1233">
        <f t="shared" si="117"/>
        <v>-6.4790700628851563E-3</v>
      </c>
      <c r="Z1233">
        <f t="shared" si="117"/>
        <v>1.6989664082687306E-2</v>
      </c>
      <c r="AE1233">
        <f>W1233-mu-theta*AE1232</f>
        <v>8.3708789417088082E-4</v>
      </c>
      <c r="AF1233">
        <f t="shared" si="119"/>
        <v>3.9956261371933196E-3</v>
      </c>
      <c r="AG1233">
        <f t="shared" si="119"/>
        <v>-2.2558251584082166E-3</v>
      </c>
      <c r="AK1233">
        <f t="shared" si="118"/>
        <v>7.0071614256743978E-7</v>
      </c>
    </row>
    <row r="1234" spans="1:37" x14ac:dyDescent="0.3">
      <c r="A1234" s="1">
        <v>45651</v>
      </c>
      <c r="B1234">
        <v>1.0404</v>
      </c>
      <c r="C1234">
        <v>1.2553000000000001</v>
      </c>
      <c r="D1234">
        <v>157.4</v>
      </c>
      <c r="G1234">
        <v>1.0404</v>
      </c>
      <c r="H1234">
        <f t="shared" si="115"/>
        <v>1.0397000000000001</v>
      </c>
      <c r="I1234">
        <f t="shared" si="115"/>
        <v>1.0405</v>
      </c>
      <c r="J1234">
        <f t="shared" si="115"/>
        <v>1.0428999999999999</v>
      </c>
      <c r="L1234">
        <f t="shared" si="114"/>
        <v>6.9999999999992291E-4</v>
      </c>
      <c r="W1234">
        <f t="shared" si="116"/>
        <v>1.3996691691054769E-3</v>
      </c>
      <c r="X1234">
        <f t="shared" si="117"/>
        <v>1.2725884448975714E-4</v>
      </c>
      <c r="Y1234">
        <f t="shared" si="117"/>
        <v>4.7950898280161112E-3</v>
      </c>
      <c r="Z1234">
        <f t="shared" si="117"/>
        <v>-6.4790700628851563E-3</v>
      </c>
      <c r="AE1234">
        <f>W1234-mu-theta*AE1233</f>
        <v>1.3469298781915312E-3</v>
      </c>
      <c r="AF1234">
        <f t="shared" si="119"/>
        <v>8.3708789417088082E-4</v>
      </c>
      <c r="AG1234">
        <f t="shared" si="119"/>
        <v>3.9956261371933196E-3</v>
      </c>
      <c r="AK1234">
        <f t="shared" si="118"/>
        <v>1.8142200967650531E-6</v>
      </c>
    </row>
    <row r="1235" spans="1:37" x14ac:dyDescent="0.3">
      <c r="A1235" s="1">
        <v>45652</v>
      </c>
      <c r="B1235">
        <v>1.0422</v>
      </c>
      <c r="C1235">
        <v>1.2524999999999999</v>
      </c>
      <c r="D1235">
        <v>158</v>
      </c>
      <c r="G1235">
        <v>1.0422</v>
      </c>
      <c r="H1235">
        <f t="shared" si="115"/>
        <v>1.0404</v>
      </c>
      <c r="I1235">
        <f t="shared" si="115"/>
        <v>1.0397000000000001</v>
      </c>
      <c r="J1235">
        <f t="shared" si="115"/>
        <v>1.0405</v>
      </c>
      <c r="L1235">
        <f t="shared" si="114"/>
        <v>1.8000000000000238E-3</v>
      </c>
      <c r="W1235">
        <f t="shared" si="116"/>
        <v>3.8119440914866219E-3</v>
      </c>
      <c r="X1235">
        <f t="shared" si="117"/>
        <v>1.3996691691054769E-3</v>
      </c>
      <c r="Y1235">
        <f t="shared" si="117"/>
        <v>1.2725884448975714E-4</v>
      </c>
      <c r="Z1235">
        <f t="shared" si="117"/>
        <v>4.7950898280161112E-3</v>
      </c>
      <c r="AE1235">
        <f>W1235-mu-theta*AE1234</f>
        <v>3.8822963466634049E-3</v>
      </c>
      <c r="AF1235">
        <f t="shared" si="119"/>
        <v>1.3469298781915312E-3</v>
      </c>
      <c r="AG1235">
        <f t="shared" si="119"/>
        <v>8.3708789417088082E-4</v>
      </c>
      <c r="AK1235">
        <f t="shared" si="118"/>
        <v>1.5072224923316021E-5</v>
      </c>
    </row>
    <row r="1236" spans="1:37" x14ac:dyDescent="0.3">
      <c r="A1236" s="1">
        <v>45653</v>
      </c>
      <c r="B1236">
        <v>1.0427</v>
      </c>
      <c r="C1236">
        <v>1.2579</v>
      </c>
      <c r="D1236">
        <v>157.82</v>
      </c>
      <c r="G1236">
        <v>1.0427</v>
      </c>
      <c r="H1236">
        <f t="shared" si="115"/>
        <v>1.0422</v>
      </c>
      <c r="I1236">
        <f t="shared" si="115"/>
        <v>1.0404</v>
      </c>
      <c r="J1236">
        <f t="shared" si="115"/>
        <v>1.0397000000000001</v>
      </c>
      <c r="L1236">
        <f t="shared" si="114"/>
        <v>4.9999999999994493E-4</v>
      </c>
      <c r="W1236">
        <f t="shared" si="116"/>
        <v>-1.1392405063291571E-3</v>
      </c>
      <c r="X1236">
        <f t="shared" si="117"/>
        <v>3.8119440914866219E-3</v>
      </c>
      <c r="Y1236">
        <f t="shared" si="117"/>
        <v>1.3996691691054769E-3</v>
      </c>
      <c r="Z1236">
        <f t="shared" si="117"/>
        <v>1.2725884448975714E-4</v>
      </c>
      <c r="AE1236">
        <f>W1236-mu-theta*AE1235</f>
        <v>-4.5677275597543561E-4</v>
      </c>
      <c r="AF1236">
        <f t="shared" si="119"/>
        <v>3.8822963466634049E-3</v>
      </c>
      <c r="AG1236">
        <f t="shared" si="119"/>
        <v>1.3469298781915312E-3</v>
      </c>
      <c r="AK1236">
        <f t="shared" si="118"/>
        <v>2.0864135060139484E-7</v>
      </c>
    </row>
    <row r="1237" spans="1:37" x14ac:dyDescent="0.3">
      <c r="A1237" s="1">
        <v>45656</v>
      </c>
      <c r="B1237">
        <v>1.0407</v>
      </c>
      <c r="C1237">
        <v>1.2551000000000001</v>
      </c>
      <c r="D1237">
        <v>156.83000000000001</v>
      </c>
      <c r="G1237">
        <v>1.0407</v>
      </c>
      <c r="H1237">
        <f t="shared" si="115"/>
        <v>1.0427</v>
      </c>
      <c r="I1237">
        <f t="shared" si="115"/>
        <v>1.0422</v>
      </c>
      <c r="J1237">
        <f t="shared" si="115"/>
        <v>1.0404</v>
      </c>
      <c r="L1237">
        <f t="shared" si="114"/>
        <v>-2.0000000000000018E-3</v>
      </c>
      <c r="W1237">
        <f t="shared" si="116"/>
        <v>-6.2729692054237784E-3</v>
      </c>
      <c r="X1237">
        <f t="shared" si="117"/>
        <v>-1.1392405063291571E-3</v>
      </c>
      <c r="Y1237">
        <f t="shared" si="117"/>
        <v>3.8119440914866219E-3</v>
      </c>
      <c r="Z1237">
        <f t="shared" si="117"/>
        <v>1.3996691691054769E-3</v>
      </c>
      <c r="AE1237">
        <f>W1237-mu-theta*AE1236</f>
        <v>-6.638086277776011E-3</v>
      </c>
      <c r="AF1237">
        <f t="shared" si="119"/>
        <v>-4.5677275597543561E-4</v>
      </c>
      <c r="AG1237">
        <f t="shared" si="119"/>
        <v>3.8822963466634049E-3</v>
      </c>
      <c r="AK1237">
        <f t="shared" si="118"/>
        <v>4.4064189431198175E-5</v>
      </c>
    </row>
    <row r="1238" spans="1:37" x14ac:dyDescent="0.3">
      <c r="A1238" s="1">
        <v>45657</v>
      </c>
      <c r="B1238">
        <v>1.0353000000000001</v>
      </c>
      <c r="C1238">
        <v>1.2511000000000001</v>
      </c>
      <c r="D1238">
        <v>157.18</v>
      </c>
      <c r="G1238">
        <v>1.0353000000000001</v>
      </c>
      <c r="H1238">
        <f t="shared" si="115"/>
        <v>1.0407</v>
      </c>
      <c r="I1238">
        <f t="shared" si="115"/>
        <v>1.0427</v>
      </c>
      <c r="J1238">
        <f t="shared" si="115"/>
        <v>1.0422</v>
      </c>
      <c r="L1238">
        <f t="shared" si="114"/>
        <v>-5.3999999999998494E-3</v>
      </c>
      <c r="W1238">
        <f t="shared" si="116"/>
        <v>2.2317158706879696E-3</v>
      </c>
      <c r="X1238">
        <f t="shared" si="117"/>
        <v>-6.2729692054237784E-3</v>
      </c>
      <c r="Y1238">
        <f t="shared" si="117"/>
        <v>-1.1392405063291571E-3</v>
      </c>
      <c r="Z1238">
        <f t="shared" si="117"/>
        <v>3.8119440914866219E-3</v>
      </c>
      <c r="AE1238">
        <f>W1238-mu-theta*AE1237</f>
        <v>3.7423947502206287E-4</v>
      </c>
      <c r="AF1238">
        <f t="shared" si="119"/>
        <v>-6.638086277776011E-3</v>
      </c>
      <c r="AG1238">
        <f t="shared" si="119"/>
        <v>-4.5677275597543561E-4</v>
      </c>
      <c r="AK1238">
        <f t="shared" si="118"/>
        <v>1.4005518466478923E-7</v>
      </c>
    </row>
    <row r="1239" spans="1:37" x14ac:dyDescent="0.3">
      <c r="A1239" s="1">
        <v>45659</v>
      </c>
      <c r="B1239">
        <v>1.0265</v>
      </c>
      <c r="C1239">
        <v>1.238</v>
      </c>
      <c r="D1239">
        <v>157.52000000000001</v>
      </c>
      <c r="G1239">
        <v>1.0265</v>
      </c>
      <c r="H1239">
        <f t="shared" si="115"/>
        <v>1.0353000000000001</v>
      </c>
      <c r="I1239">
        <f t="shared" si="115"/>
        <v>1.0407</v>
      </c>
      <c r="J1239">
        <f t="shared" si="115"/>
        <v>1.0427</v>
      </c>
      <c r="L1239">
        <f t="shared" si="114"/>
        <v>-8.800000000000141E-3</v>
      </c>
      <c r="W1239">
        <f t="shared" si="116"/>
        <v>2.1631250795266788E-3</v>
      </c>
      <c r="X1239">
        <f t="shared" si="117"/>
        <v>2.2317158706879696E-3</v>
      </c>
      <c r="Y1239">
        <f t="shared" si="117"/>
        <v>-6.2729692054237784E-3</v>
      </c>
      <c r="Z1239">
        <f t="shared" si="117"/>
        <v>-1.1392405063291571E-3</v>
      </c>
      <c r="AE1239">
        <f>W1239-mu-theta*AE1238</f>
        <v>1.9986399353791751E-3</v>
      </c>
      <c r="AF1239">
        <f t="shared" si="119"/>
        <v>3.7423947502206287E-4</v>
      </c>
      <c r="AG1239">
        <f t="shared" si="119"/>
        <v>-6.638086277776011E-3</v>
      </c>
      <c r="AK1239">
        <f t="shared" si="118"/>
        <v>3.9945615912924737E-6</v>
      </c>
    </row>
    <row r="1240" spans="1:37" x14ac:dyDescent="0.3">
      <c r="A1240" s="1">
        <v>45660</v>
      </c>
      <c r="B1240">
        <v>1.0307999999999999</v>
      </c>
      <c r="C1240">
        <v>1.242</v>
      </c>
      <c r="D1240">
        <v>157.27000000000001</v>
      </c>
      <c r="G1240">
        <v>1.0307999999999999</v>
      </c>
      <c r="H1240">
        <f t="shared" si="115"/>
        <v>1.0265</v>
      </c>
      <c r="I1240">
        <f t="shared" si="115"/>
        <v>1.0353000000000001</v>
      </c>
      <c r="J1240">
        <f t="shared" si="115"/>
        <v>1.0407</v>
      </c>
      <c r="L1240">
        <f t="shared" si="114"/>
        <v>4.2999999999999705E-3</v>
      </c>
      <c r="W1240">
        <f t="shared" si="116"/>
        <v>-1.5871000507872016E-3</v>
      </c>
      <c r="X1240">
        <f t="shared" si="117"/>
        <v>2.1631250795266788E-3</v>
      </c>
      <c r="Y1240">
        <f t="shared" si="117"/>
        <v>2.2317158706879696E-3</v>
      </c>
      <c r="Z1240">
        <f t="shared" si="117"/>
        <v>-6.2729692054237784E-3</v>
      </c>
      <c r="AE1240">
        <f>W1240-mu-theta*AE1239</f>
        <v>-1.3594049304554475E-3</v>
      </c>
      <c r="AF1240">
        <f t="shared" si="119"/>
        <v>1.9986399353791751E-3</v>
      </c>
      <c r="AG1240">
        <f t="shared" si="119"/>
        <v>3.7423947502206287E-4</v>
      </c>
      <c r="AK1240">
        <f t="shared" si="118"/>
        <v>1.8479817649465801E-6</v>
      </c>
    </row>
    <row r="1241" spans="1:37" x14ac:dyDescent="0.3">
      <c r="A1241" s="1">
        <v>45663</v>
      </c>
      <c r="B1241">
        <v>1.0389999999999999</v>
      </c>
      <c r="C1241">
        <v>1.2517</v>
      </c>
      <c r="D1241">
        <v>157.6</v>
      </c>
      <c r="G1241">
        <v>1.0389999999999999</v>
      </c>
      <c r="H1241">
        <f t="shared" si="115"/>
        <v>1.0307999999999999</v>
      </c>
      <c r="I1241">
        <f t="shared" si="115"/>
        <v>1.0265</v>
      </c>
      <c r="J1241">
        <f t="shared" si="115"/>
        <v>1.0353000000000001</v>
      </c>
      <c r="L1241">
        <f t="shared" si="114"/>
        <v>8.1999999999999851E-3</v>
      </c>
      <c r="W1241">
        <f t="shared" si="116"/>
        <v>2.0983022826984426E-3</v>
      </c>
      <c r="X1241">
        <f t="shared" si="117"/>
        <v>-1.5871000507872016E-3</v>
      </c>
      <c r="Y1241">
        <f t="shared" si="117"/>
        <v>2.1631250795266788E-3</v>
      </c>
      <c r="Z1241">
        <f t="shared" si="117"/>
        <v>2.2317158706879696E-3</v>
      </c>
      <c r="AE1241">
        <f>W1241-mu-theta*AE1240</f>
        <v>1.5152620235741284E-3</v>
      </c>
      <c r="AF1241">
        <f t="shared" si="119"/>
        <v>-1.3594049304554475E-3</v>
      </c>
      <c r="AG1241">
        <f t="shared" si="119"/>
        <v>1.9986399353791751E-3</v>
      </c>
      <c r="AK1241">
        <f t="shared" si="118"/>
        <v>2.2960190000859624E-6</v>
      </c>
    </row>
    <row r="1242" spans="1:37" x14ac:dyDescent="0.3">
      <c r="A1242" s="1">
        <v>45664</v>
      </c>
      <c r="B1242">
        <v>1.0339</v>
      </c>
      <c r="C1242">
        <v>1.2473000000000001</v>
      </c>
      <c r="D1242">
        <v>158.02000000000001</v>
      </c>
      <c r="G1242">
        <v>1.0339</v>
      </c>
      <c r="H1242">
        <f t="shared" si="115"/>
        <v>1.0389999999999999</v>
      </c>
      <c r="I1242">
        <f t="shared" si="115"/>
        <v>1.0307999999999999</v>
      </c>
      <c r="J1242">
        <f t="shared" si="115"/>
        <v>1.0265</v>
      </c>
      <c r="L1242">
        <f t="shared" si="114"/>
        <v>-5.0999999999998824E-3</v>
      </c>
      <c r="W1242">
        <f t="shared" si="116"/>
        <v>2.664974619289441E-3</v>
      </c>
      <c r="X1242">
        <f t="shared" si="117"/>
        <v>2.0983022826984426E-3</v>
      </c>
      <c r="Y1242">
        <f t="shared" si="117"/>
        <v>-1.5871000507872016E-3</v>
      </c>
      <c r="Z1242">
        <f t="shared" si="117"/>
        <v>2.1631250795266788E-3</v>
      </c>
      <c r="AE1242">
        <f>W1242-mu-theta*AE1241</f>
        <v>2.775967435034641E-3</v>
      </c>
      <c r="AF1242">
        <f t="shared" si="119"/>
        <v>1.5152620235741284E-3</v>
      </c>
      <c r="AG1242">
        <f t="shared" si="119"/>
        <v>-1.3594049304554475E-3</v>
      </c>
      <c r="AK1242">
        <f t="shared" si="118"/>
        <v>7.7059952003728029E-6</v>
      </c>
    </row>
    <row r="1243" spans="1:37" x14ac:dyDescent="0.3">
      <c r="A1243" s="1">
        <v>45665</v>
      </c>
      <c r="B1243">
        <v>1.0318000000000001</v>
      </c>
      <c r="C1243">
        <v>1.2362</v>
      </c>
      <c r="D1243">
        <v>158.35</v>
      </c>
      <c r="G1243">
        <v>1.0318000000000001</v>
      </c>
      <c r="H1243">
        <f t="shared" si="115"/>
        <v>1.0339</v>
      </c>
      <c r="I1243">
        <f t="shared" si="115"/>
        <v>1.0389999999999999</v>
      </c>
      <c r="J1243">
        <f t="shared" si="115"/>
        <v>1.0307999999999999</v>
      </c>
      <c r="L1243">
        <f t="shared" si="114"/>
        <v>-2.0999999999999908E-3</v>
      </c>
      <c r="W1243">
        <f t="shared" si="116"/>
        <v>2.088343247690065E-3</v>
      </c>
      <c r="X1243">
        <f t="shared" si="117"/>
        <v>2.664974619289441E-3</v>
      </c>
      <c r="Y1243">
        <f t="shared" si="117"/>
        <v>2.0983022826984426E-3</v>
      </c>
      <c r="Z1243">
        <f t="shared" si="117"/>
        <v>-1.5871000507872016E-3</v>
      </c>
      <c r="AE1243">
        <f>W1243-mu-theta*AE1242</f>
        <v>2.5037091498528344E-3</v>
      </c>
      <c r="AF1243">
        <f t="shared" si="119"/>
        <v>2.775967435034641E-3</v>
      </c>
      <c r="AG1243">
        <f t="shared" si="119"/>
        <v>1.5152620235741284E-3</v>
      </c>
      <c r="AK1243">
        <f t="shared" si="118"/>
        <v>6.2685595070568022E-6</v>
      </c>
    </row>
    <row r="1244" spans="1:37" x14ac:dyDescent="0.3">
      <c r="A1244" s="1">
        <v>45666</v>
      </c>
      <c r="B1244">
        <v>1.0298</v>
      </c>
      <c r="C1244">
        <v>1.2303999999999999</v>
      </c>
      <c r="D1244">
        <v>158.13999999999999</v>
      </c>
      <c r="G1244">
        <v>1.0298</v>
      </c>
      <c r="H1244">
        <f t="shared" si="115"/>
        <v>1.0318000000000001</v>
      </c>
      <c r="I1244">
        <f t="shared" si="115"/>
        <v>1.0339</v>
      </c>
      <c r="J1244">
        <f t="shared" si="115"/>
        <v>1.0389999999999999</v>
      </c>
      <c r="L1244">
        <f t="shared" si="114"/>
        <v>-2.0000000000000018E-3</v>
      </c>
      <c r="W1244">
        <f t="shared" si="116"/>
        <v>-1.3261761919798418E-3</v>
      </c>
      <c r="X1244">
        <f t="shared" si="117"/>
        <v>2.088343247690065E-3</v>
      </c>
      <c r="Y1244">
        <f t="shared" si="117"/>
        <v>2.664974619289441E-3</v>
      </c>
      <c r="Z1244">
        <f t="shared" si="117"/>
        <v>2.0983022826984426E-3</v>
      </c>
      <c r="AE1244">
        <f>W1244-mu-theta*AE1243</f>
        <v>-9.7654181901511044E-4</v>
      </c>
      <c r="AF1244">
        <f t="shared" si="119"/>
        <v>2.5037091498528344E-3</v>
      </c>
      <c r="AG1244">
        <f t="shared" si="119"/>
        <v>2.775967435034641E-3</v>
      </c>
      <c r="AK1244">
        <f t="shared" si="118"/>
        <v>9.5363392428534072E-7</v>
      </c>
    </row>
    <row r="1245" spans="1:37" x14ac:dyDescent="0.3">
      <c r="A1245" s="1">
        <v>45667</v>
      </c>
      <c r="B1245">
        <v>1.0244</v>
      </c>
      <c r="C1245">
        <v>1.2203999999999999</v>
      </c>
      <c r="D1245">
        <v>157.69</v>
      </c>
      <c r="G1245">
        <v>1.0244</v>
      </c>
      <c r="H1245">
        <f t="shared" si="115"/>
        <v>1.0298</v>
      </c>
      <c r="I1245">
        <f t="shared" si="115"/>
        <v>1.0318000000000001</v>
      </c>
      <c r="J1245">
        <f t="shared" si="115"/>
        <v>1.0339</v>
      </c>
      <c r="L1245">
        <f t="shared" si="114"/>
        <v>-5.4000000000000714E-3</v>
      </c>
      <c r="W1245">
        <f t="shared" si="116"/>
        <v>-2.8455798659414991E-3</v>
      </c>
      <c r="X1245">
        <f t="shared" si="117"/>
        <v>-1.3261761919798418E-3</v>
      </c>
      <c r="Y1245">
        <f t="shared" si="117"/>
        <v>2.088343247690065E-3</v>
      </c>
      <c r="Z1245">
        <f t="shared" si="117"/>
        <v>2.664974619289441E-3</v>
      </c>
      <c r="AE1245">
        <f>W1245-mu-theta*AE1244</f>
        <v>-3.3361851867803284E-3</v>
      </c>
      <c r="AF1245">
        <f t="shared" si="119"/>
        <v>-9.7654181901511044E-4</v>
      </c>
      <c r="AG1245">
        <f t="shared" si="119"/>
        <v>2.5037091498528344E-3</v>
      </c>
      <c r="AK1245">
        <f t="shared" si="118"/>
        <v>1.1130131600492495E-5</v>
      </c>
    </row>
    <row r="1246" spans="1:37" x14ac:dyDescent="0.3">
      <c r="A1246" s="1">
        <v>45670</v>
      </c>
      <c r="B1246">
        <v>1.0244</v>
      </c>
      <c r="C1246">
        <v>1.22</v>
      </c>
      <c r="D1246">
        <v>157.47</v>
      </c>
      <c r="G1246">
        <v>1.0244</v>
      </c>
      <c r="H1246">
        <f t="shared" si="115"/>
        <v>1.0244</v>
      </c>
      <c r="I1246">
        <f t="shared" si="115"/>
        <v>1.0298</v>
      </c>
      <c r="J1246">
        <f t="shared" si="115"/>
        <v>1.0318000000000001</v>
      </c>
      <c r="L1246">
        <f t="shared" si="114"/>
        <v>0</v>
      </c>
      <c r="W1246">
        <f t="shared" si="116"/>
        <v>-1.3951423679370845E-3</v>
      </c>
      <c r="X1246">
        <f t="shared" si="117"/>
        <v>-2.8455798659414991E-3</v>
      </c>
      <c r="Y1246">
        <f t="shared" si="117"/>
        <v>-1.3261761919798418E-3</v>
      </c>
      <c r="Z1246">
        <f t="shared" si="117"/>
        <v>2.088343247690065E-3</v>
      </c>
      <c r="AE1246">
        <f>W1246-mu-theta*AE1245</f>
        <v>-2.4554382193015243E-3</v>
      </c>
      <c r="AF1246">
        <f t="shared" si="119"/>
        <v>-3.3361851867803284E-3</v>
      </c>
      <c r="AG1246">
        <f t="shared" si="119"/>
        <v>-9.7654181901511044E-4</v>
      </c>
      <c r="AK1246">
        <f t="shared" si="118"/>
        <v>6.029176848806641E-6</v>
      </c>
    </row>
    <row r="1247" spans="1:37" x14ac:dyDescent="0.3">
      <c r="A1247" s="1">
        <v>45671</v>
      </c>
      <c r="B1247">
        <v>1.0306999999999999</v>
      </c>
      <c r="C1247">
        <v>1.2215</v>
      </c>
      <c r="D1247">
        <v>157.96</v>
      </c>
      <c r="G1247">
        <v>1.0306999999999999</v>
      </c>
      <c r="H1247">
        <f t="shared" si="115"/>
        <v>1.0244</v>
      </c>
      <c r="I1247">
        <f t="shared" si="115"/>
        <v>1.0244</v>
      </c>
      <c r="J1247">
        <f t="shared" si="115"/>
        <v>1.0298</v>
      </c>
      <c r="L1247">
        <f t="shared" si="114"/>
        <v>6.2999999999999723E-3</v>
      </c>
      <c r="W1247">
        <f t="shared" si="116"/>
        <v>3.1117038166000449E-3</v>
      </c>
      <c r="X1247">
        <f t="shared" si="117"/>
        <v>-1.3951423679370845E-3</v>
      </c>
      <c r="Y1247">
        <f t="shared" si="117"/>
        <v>-2.8455798659414991E-3</v>
      </c>
      <c r="Z1247">
        <f t="shared" si="117"/>
        <v>-1.3261761919798418E-3</v>
      </c>
      <c r="AE1247">
        <f>W1247-mu-theta*AE1246</f>
        <v>2.2640473894876799E-3</v>
      </c>
      <c r="AF1247">
        <f t="shared" si="119"/>
        <v>-2.4554382193015243E-3</v>
      </c>
      <c r="AG1247">
        <f t="shared" si="119"/>
        <v>-3.3361851867803284E-3</v>
      </c>
      <c r="AK1247">
        <f t="shared" si="118"/>
        <v>5.125910581845978E-6</v>
      </c>
    </row>
    <row r="1248" spans="1:37" x14ac:dyDescent="0.3">
      <c r="A1248" s="1">
        <v>45672</v>
      </c>
      <c r="B1248">
        <v>1.0288999999999999</v>
      </c>
      <c r="C1248">
        <v>1.224</v>
      </c>
      <c r="D1248">
        <v>156.47</v>
      </c>
      <c r="G1248">
        <v>1.0288999999999999</v>
      </c>
      <c r="H1248">
        <f t="shared" si="115"/>
        <v>1.0306999999999999</v>
      </c>
      <c r="I1248">
        <f t="shared" si="115"/>
        <v>1.0244</v>
      </c>
      <c r="J1248">
        <f t="shared" si="115"/>
        <v>1.0244</v>
      </c>
      <c r="L1248">
        <f t="shared" si="114"/>
        <v>-1.8000000000000238E-3</v>
      </c>
      <c r="W1248">
        <f t="shared" si="116"/>
        <v>-9.4327677893138069E-3</v>
      </c>
      <c r="X1248">
        <f t="shared" si="117"/>
        <v>3.1117038166000449E-3</v>
      </c>
      <c r="Y1248">
        <f t="shared" si="117"/>
        <v>-1.3951423679370845E-3</v>
      </c>
      <c r="Z1248">
        <f t="shared" si="117"/>
        <v>-2.8455798659414991E-3</v>
      </c>
      <c r="AE1248">
        <f>W1248-mu-theta*AE1247</f>
        <v>-9.140995141249662E-3</v>
      </c>
      <c r="AF1248">
        <f t="shared" si="119"/>
        <v>2.2640473894876799E-3</v>
      </c>
      <c r="AG1248">
        <f t="shared" si="119"/>
        <v>-2.4554382193015243E-3</v>
      </c>
      <c r="AK1248">
        <f t="shared" si="118"/>
        <v>8.3557792172349934E-5</v>
      </c>
    </row>
    <row r="1249" spans="1:37" x14ac:dyDescent="0.3">
      <c r="A1249" s="1">
        <v>45673</v>
      </c>
      <c r="B1249">
        <v>1.0298</v>
      </c>
      <c r="C1249">
        <v>1.2239</v>
      </c>
      <c r="D1249">
        <v>155.12</v>
      </c>
      <c r="G1249">
        <v>1.0298</v>
      </c>
      <c r="H1249">
        <f t="shared" si="115"/>
        <v>1.0288999999999999</v>
      </c>
      <c r="I1249">
        <f t="shared" si="115"/>
        <v>1.0306999999999999</v>
      </c>
      <c r="J1249">
        <f t="shared" si="115"/>
        <v>1.0244</v>
      </c>
      <c r="L1249">
        <f t="shared" si="114"/>
        <v>9.0000000000012292E-4</v>
      </c>
      <c r="W1249">
        <f t="shared" si="116"/>
        <v>-8.6278519844059202E-3</v>
      </c>
      <c r="X1249">
        <f t="shared" si="117"/>
        <v>-9.4327677893138069E-3</v>
      </c>
      <c r="Y1249">
        <f t="shared" si="117"/>
        <v>3.1117038166000449E-3</v>
      </c>
      <c r="Z1249">
        <f t="shared" si="117"/>
        <v>-1.3951423679370845E-3</v>
      </c>
      <c r="AE1249">
        <f>W1249-mu-theta*AE1248</f>
        <v>-1.1089607610470948E-2</v>
      </c>
      <c r="AF1249">
        <f t="shared" si="119"/>
        <v>-9.140995141249662E-3</v>
      </c>
      <c r="AG1249">
        <f t="shared" si="119"/>
        <v>2.2640473894876799E-3</v>
      </c>
      <c r="AK1249">
        <f t="shared" si="118"/>
        <v>1.2297939695421516E-4</v>
      </c>
    </row>
    <row r="1250" spans="1:37" x14ac:dyDescent="0.3">
      <c r="A1250" s="1">
        <v>45674</v>
      </c>
      <c r="B1250">
        <v>1.0270999999999999</v>
      </c>
      <c r="C1250">
        <v>1.2162999999999999</v>
      </c>
      <c r="D1250">
        <v>156.30000000000001</v>
      </c>
      <c r="G1250">
        <v>1.0270999999999999</v>
      </c>
      <c r="H1250">
        <f t="shared" si="115"/>
        <v>1.0298</v>
      </c>
      <c r="I1250">
        <f t="shared" si="115"/>
        <v>1.0288999999999999</v>
      </c>
      <c r="J1250">
        <f t="shared" si="115"/>
        <v>1.0306999999999999</v>
      </c>
      <c r="L1250">
        <f t="shared" si="114"/>
        <v>-2.7000000000001467E-3</v>
      </c>
      <c r="W1250">
        <f t="shared" si="116"/>
        <v>7.6070139247034988E-3</v>
      </c>
      <c r="X1250">
        <f t="shared" si="117"/>
        <v>-8.6278519844059202E-3</v>
      </c>
      <c r="Y1250">
        <f t="shared" si="117"/>
        <v>-9.4327677893138069E-3</v>
      </c>
      <c r="Z1250">
        <f t="shared" si="117"/>
        <v>3.1117038166000449E-3</v>
      </c>
      <c r="AE1250">
        <f>W1250-mu-theta*AE1249</f>
        <v>4.674803277110849E-3</v>
      </c>
      <c r="AF1250">
        <f t="shared" si="119"/>
        <v>-1.1089607610470948E-2</v>
      </c>
      <c r="AG1250">
        <f t="shared" si="119"/>
        <v>-9.140995141249662E-3</v>
      </c>
      <c r="AK1250">
        <f t="shared" si="118"/>
        <v>2.1853785679686331E-5</v>
      </c>
    </row>
    <row r="1251" spans="1:37" x14ac:dyDescent="0.3">
      <c r="A1251" s="1">
        <v>45677</v>
      </c>
      <c r="B1251">
        <v>1.0414000000000001</v>
      </c>
      <c r="C1251">
        <v>1.2323</v>
      </c>
      <c r="D1251">
        <v>155.59</v>
      </c>
      <c r="G1251">
        <v>1.0414000000000001</v>
      </c>
      <c r="H1251">
        <f t="shared" si="115"/>
        <v>1.0270999999999999</v>
      </c>
      <c r="I1251">
        <f t="shared" si="115"/>
        <v>1.0298</v>
      </c>
      <c r="J1251">
        <f t="shared" si="115"/>
        <v>1.0288999999999999</v>
      </c>
      <c r="L1251">
        <f t="shared" si="114"/>
        <v>1.4300000000000201E-2</v>
      </c>
      <c r="W1251">
        <f t="shared" si="116"/>
        <v>-4.5425463851568003E-3</v>
      </c>
      <c r="X1251">
        <f t="shared" si="117"/>
        <v>7.6070139247034988E-3</v>
      </c>
      <c r="Y1251">
        <f t="shared" si="117"/>
        <v>-8.6278519844059202E-3</v>
      </c>
      <c r="Z1251">
        <f t="shared" si="117"/>
        <v>-9.4327677893138069E-3</v>
      </c>
      <c r="AE1251">
        <f>W1251-mu-theta*AE1250</f>
        <v>-3.6687430712092376E-3</v>
      </c>
      <c r="AF1251">
        <f t="shared" si="119"/>
        <v>4.674803277110849E-3</v>
      </c>
      <c r="AG1251">
        <f t="shared" si="119"/>
        <v>-1.1089607610470948E-2</v>
      </c>
      <c r="AK1251">
        <f t="shared" si="118"/>
        <v>1.345967572254579E-5</v>
      </c>
    </row>
    <row r="1252" spans="1:37" x14ac:dyDescent="0.3">
      <c r="A1252" s="1">
        <v>45678</v>
      </c>
      <c r="B1252">
        <v>1.0428999999999999</v>
      </c>
      <c r="C1252">
        <v>1.2354000000000001</v>
      </c>
      <c r="D1252">
        <v>155.5</v>
      </c>
      <c r="G1252">
        <v>1.0428999999999999</v>
      </c>
      <c r="H1252">
        <f t="shared" si="115"/>
        <v>1.0414000000000001</v>
      </c>
      <c r="I1252">
        <f t="shared" si="115"/>
        <v>1.0270999999999999</v>
      </c>
      <c r="J1252">
        <f t="shared" si="115"/>
        <v>1.0298</v>
      </c>
      <c r="L1252">
        <f t="shared" si="114"/>
        <v>1.4999999999998348E-3</v>
      </c>
      <c r="W1252">
        <f t="shared" si="116"/>
        <v>-5.7844334468798388E-4</v>
      </c>
      <c r="X1252">
        <f t="shared" si="117"/>
        <v>-4.5425463851568003E-3</v>
      </c>
      <c r="Y1252">
        <f t="shared" si="117"/>
        <v>7.6070139247034988E-3</v>
      </c>
      <c r="Z1252">
        <f t="shared" si="117"/>
        <v>-8.6278519844059202E-3</v>
      </c>
      <c r="AE1252">
        <f>W1252-mu-theta*AE1251</f>
        <v>-1.7190289043188937E-3</v>
      </c>
      <c r="AF1252">
        <f t="shared" si="119"/>
        <v>-3.6687430712092376E-3</v>
      </c>
      <c r="AG1252">
        <f t="shared" si="119"/>
        <v>4.674803277110849E-3</v>
      </c>
      <c r="AK1252">
        <f t="shared" si="118"/>
        <v>2.9550603738838162E-6</v>
      </c>
    </row>
    <row r="1253" spans="1:37" x14ac:dyDescent="0.3">
      <c r="A1253" s="1">
        <v>45679</v>
      </c>
      <c r="B1253">
        <v>1.0407</v>
      </c>
      <c r="C1253">
        <v>1.2316</v>
      </c>
      <c r="D1253">
        <v>156.53</v>
      </c>
      <c r="G1253">
        <v>1.0407</v>
      </c>
      <c r="H1253">
        <f t="shared" si="115"/>
        <v>1.0428999999999999</v>
      </c>
      <c r="I1253">
        <f t="shared" si="115"/>
        <v>1.0414000000000001</v>
      </c>
      <c r="J1253">
        <f t="shared" si="115"/>
        <v>1.0270999999999999</v>
      </c>
      <c r="L1253">
        <f t="shared" si="114"/>
        <v>-2.1999999999999797E-3</v>
      </c>
      <c r="W1253">
        <f t="shared" si="116"/>
        <v>6.6237942122186564E-3</v>
      </c>
      <c r="X1253">
        <f t="shared" si="117"/>
        <v>-5.7844334468798388E-4</v>
      </c>
      <c r="Y1253">
        <f t="shared" si="117"/>
        <v>-4.5425463851568003E-3</v>
      </c>
      <c r="Z1253">
        <f t="shared" si="117"/>
        <v>7.6070139247034988E-3</v>
      </c>
      <c r="AE1253">
        <f>W1253-mu-theta*AE1252</f>
        <v>5.953929657839069E-3</v>
      </c>
      <c r="AF1253">
        <f t="shared" si="119"/>
        <v>-1.7190289043188937E-3</v>
      </c>
      <c r="AG1253">
        <f t="shared" si="119"/>
        <v>-3.6687430712092376E-3</v>
      </c>
      <c r="AK1253">
        <f t="shared" si="118"/>
        <v>3.5449278370495653E-5</v>
      </c>
    </row>
    <row r="1254" spans="1:37" x14ac:dyDescent="0.3">
      <c r="A1254" s="1">
        <v>45680</v>
      </c>
      <c r="B1254">
        <v>1.0415000000000001</v>
      </c>
      <c r="C1254">
        <v>1.2352000000000001</v>
      </c>
      <c r="D1254">
        <v>156.05000000000001</v>
      </c>
      <c r="G1254">
        <v>1.0415000000000001</v>
      </c>
      <c r="H1254">
        <f t="shared" si="115"/>
        <v>1.0407</v>
      </c>
      <c r="I1254">
        <f t="shared" si="115"/>
        <v>1.0428999999999999</v>
      </c>
      <c r="J1254">
        <f t="shared" si="115"/>
        <v>1.0414000000000001</v>
      </c>
      <c r="L1254">
        <f t="shared" si="114"/>
        <v>8.0000000000013394E-4</v>
      </c>
      <c r="W1254">
        <f t="shared" si="116"/>
        <v>-3.0665048233564796E-3</v>
      </c>
      <c r="X1254">
        <f t="shared" si="117"/>
        <v>6.6237942122186564E-3</v>
      </c>
      <c r="Y1254">
        <f t="shared" si="117"/>
        <v>-5.7844334468798388E-4</v>
      </c>
      <c r="Z1254">
        <f t="shared" si="117"/>
        <v>-4.5425463851568003E-3</v>
      </c>
      <c r="AE1254">
        <f>W1254-mu-theta*AE1253</f>
        <v>-1.8838810340772948E-3</v>
      </c>
      <c r="AF1254">
        <f t="shared" si="119"/>
        <v>5.953929657839069E-3</v>
      </c>
      <c r="AG1254">
        <f t="shared" si="119"/>
        <v>-1.7190289043188937E-3</v>
      </c>
      <c r="AK1254">
        <f t="shared" si="118"/>
        <v>3.5490077505561375E-6</v>
      </c>
    </row>
    <row r="1255" spans="1:37" x14ac:dyDescent="0.3">
      <c r="A1255" s="1">
        <v>45681</v>
      </c>
      <c r="B1255">
        <v>1.0492999999999999</v>
      </c>
      <c r="C1255">
        <v>1.2479</v>
      </c>
      <c r="D1255">
        <v>155.97999999999999</v>
      </c>
      <c r="G1255">
        <v>1.0492999999999999</v>
      </c>
      <c r="H1255">
        <f t="shared" si="115"/>
        <v>1.0415000000000001</v>
      </c>
      <c r="I1255">
        <f t="shared" si="115"/>
        <v>1.0407</v>
      </c>
      <c r="J1255">
        <f t="shared" si="115"/>
        <v>1.0428999999999999</v>
      </c>
      <c r="L1255">
        <f t="shared" si="114"/>
        <v>7.7999999999998071E-3</v>
      </c>
      <c r="W1255">
        <f t="shared" si="116"/>
        <v>-4.4857417494406659E-4</v>
      </c>
      <c r="X1255">
        <f t="shared" si="117"/>
        <v>-3.0665048233564796E-3</v>
      </c>
      <c r="Y1255">
        <f t="shared" si="117"/>
        <v>6.6237942122186564E-3</v>
      </c>
      <c r="Z1255">
        <f t="shared" si="117"/>
        <v>-5.7844334468798388E-4</v>
      </c>
      <c r="AE1255">
        <f>W1255-mu-theta*AE1254</f>
        <v>-1.1582391070177147E-3</v>
      </c>
      <c r="AF1255">
        <f t="shared" si="119"/>
        <v>-1.8838810340772948E-3</v>
      </c>
      <c r="AG1255">
        <f t="shared" si="119"/>
        <v>5.953929657839069E-3</v>
      </c>
      <c r="AK1255">
        <f t="shared" si="118"/>
        <v>1.3415178290251933E-6</v>
      </c>
    </row>
    <row r="1256" spans="1:37" x14ac:dyDescent="0.3">
      <c r="A1256" s="1">
        <v>45684</v>
      </c>
      <c r="B1256">
        <v>1.0490999999999999</v>
      </c>
      <c r="C1256">
        <v>1.2496</v>
      </c>
      <c r="D1256">
        <v>154.49</v>
      </c>
      <c r="G1256">
        <v>1.0490999999999999</v>
      </c>
      <c r="H1256">
        <f t="shared" si="115"/>
        <v>1.0492999999999999</v>
      </c>
      <c r="I1256">
        <f t="shared" si="115"/>
        <v>1.0415000000000001</v>
      </c>
      <c r="J1256">
        <f t="shared" si="115"/>
        <v>1.0407</v>
      </c>
      <c r="L1256">
        <f t="shared" si="114"/>
        <v>-1.9999999999997797E-4</v>
      </c>
      <c r="W1256">
        <f t="shared" si="116"/>
        <v>-9.5525067316321374E-3</v>
      </c>
      <c r="X1256">
        <f t="shared" si="117"/>
        <v>-4.4857417494406659E-4</v>
      </c>
      <c r="Y1256">
        <f t="shared" si="117"/>
        <v>-3.0665048233564796E-3</v>
      </c>
      <c r="Z1256">
        <f t="shared" si="117"/>
        <v>6.6237942122186564E-3</v>
      </c>
      <c r="AE1256">
        <f>W1256-mu-theta*AE1255</f>
        <v>-1.0086979369800068E-2</v>
      </c>
      <c r="AF1256">
        <f t="shared" si="119"/>
        <v>-1.1582391070177147E-3</v>
      </c>
      <c r="AG1256">
        <f t="shared" si="119"/>
        <v>-1.8838810340772948E-3</v>
      </c>
      <c r="AK1256">
        <f t="shared" si="118"/>
        <v>1.0174715280677219E-4</v>
      </c>
    </row>
    <row r="1257" spans="1:37" x14ac:dyDescent="0.3">
      <c r="A1257" s="1">
        <v>45685</v>
      </c>
      <c r="B1257">
        <v>1.0427999999999999</v>
      </c>
      <c r="C1257">
        <v>1.2441</v>
      </c>
      <c r="D1257">
        <v>155.52000000000001</v>
      </c>
      <c r="G1257">
        <v>1.0427999999999999</v>
      </c>
      <c r="H1257">
        <f t="shared" si="115"/>
        <v>1.0490999999999999</v>
      </c>
      <c r="I1257">
        <f t="shared" si="115"/>
        <v>1.0492999999999999</v>
      </c>
      <c r="J1257">
        <f t="shared" si="115"/>
        <v>1.0415000000000001</v>
      </c>
      <c r="L1257">
        <f t="shared" si="114"/>
        <v>-6.2999999999999723E-3</v>
      </c>
      <c r="W1257">
        <f t="shared" si="116"/>
        <v>6.6670981940578746E-3</v>
      </c>
      <c r="X1257">
        <f t="shared" si="117"/>
        <v>-9.5525067316321374E-3</v>
      </c>
      <c r="Y1257">
        <f t="shared" si="117"/>
        <v>-4.4857417494406659E-4</v>
      </c>
      <c r="Z1257">
        <f t="shared" si="117"/>
        <v>-3.0665048233564796E-3</v>
      </c>
      <c r="AE1257">
        <f>W1257-mu-theta*AE1256</f>
        <v>3.9769528611439918E-3</v>
      </c>
      <c r="AF1257">
        <f t="shared" si="119"/>
        <v>-1.0086979369800068E-2</v>
      </c>
      <c r="AG1257">
        <f t="shared" si="119"/>
        <v>-1.1582391070177147E-3</v>
      </c>
      <c r="AK1257">
        <f t="shared" si="118"/>
        <v>1.5816154059761383E-5</v>
      </c>
    </row>
    <row r="1258" spans="1:37" x14ac:dyDescent="0.3">
      <c r="A1258" s="1">
        <v>45686</v>
      </c>
      <c r="B1258">
        <v>1.042</v>
      </c>
      <c r="C1258">
        <v>1.2446999999999999</v>
      </c>
      <c r="D1258">
        <v>155.19999999999999</v>
      </c>
      <c r="G1258">
        <v>1.042</v>
      </c>
      <c r="H1258">
        <f t="shared" si="115"/>
        <v>1.0427999999999999</v>
      </c>
      <c r="I1258">
        <f t="shared" si="115"/>
        <v>1.0490999999999999</v>
      </c>
      <c r="J1258">
        <f t="shared" si="115"/>
        <v>1.0492999999999999</v>
      </c>
      <c r="L1258">
        <f t="shared" si="114"/>
        <v>-7.9999999999991189E-4</v>
      </c>
      <c r="W1258">
        <f t="shared" si="116"/>
        <v>-2.0576131687244188E-3</v>
      </c>
      <c r="X1258">
        <f t="shared" si="117"/>
        <v>6.6670981940578746E-3</v>
      </c>
      <c r="Y1258">
        <f t="shared" si="117"/>
        <v>-9.5525067316321374E-3</v>
      </c>
      <c r="Z1258">
        <f t="shared" si="117"/>
        <v>-4.4857417494406659E-4</v>
      </c>
      <c r="AE1258">
        <f>W1258-mu-theta*AE1257</f>
        <v>-1.3522924225795483E-3</v>
      </c>
      <c r="AF1258">
        <f t="shared" si="119"/>
        <v>3.9769528611439918E-3</v>
      </c>
      <c r="AG1258">
        <f t="shared" si="119"/>
        <v>-1.0086979369800068E-2</v>
      </c>
      <c r="AK1258">
        <f t="shared" si="118"/>
        <v>1.8286947961660637E-6</v>
      </c>
    </row>
    <row r="1259" spans="1:37" x14ac:dyDescent="0.3">
      <c r="A1259" s="1">
        <v>45687</v>
      </c>
      <c r="B1259">
        <v>1.0389999999999999</v>
      </c>
      <c r="C1259">
        <v>1.2415</v>
      </c>
      <c r="D1259">
        <v>154.30000000000001</v>
      </c>
      <c r="G1259">
        <v>1.0389999999999999</v>
      </c>
      <c r="H1259">
        <f t="shared" si="115"/>
        <v>1.042</v>
      </c>
      <c r="I1259">
        <f t="shared" si="115"/>
        <v>1.0427999999999999</v>
      </c>
      <c r="J1259">
        <f t="shared" si="115"/>
        <v>1.0490999999999999</v>
      </c>
      <c r="L1259">
        <f t="shared" si="114"/>
        <v>-3.0000000000001137E-3</v>
      </c>
      <c r="W1259">
        <f t="shared" si="116"/>
        <v>-5.7989690721648021E-3</v>
      </c>
      <c r="X1259">
        <f t="shared" si="117"/>
        <v>-2.0576131687244188E-3</v>
      </c>
      <c r="Y1259">
        <f t="shared" si="117"/>
        <v>6.6670981940578746E-3</v>
      </c>
      <c r="Z1259">
        <f t="shared" si="117"/>
        <v>-9.5525067316321374E-3</v>
      </c>
      <c r="AE1259">
        <f>W1259-mu-theta*AE1258</f>
        <v>-6.3802921529898266E-3</v>
      </c>
      <c r="AF1259">
        <f t="shared" si="119"/>
        <v>-1.3522924225795483E-3</v>
      </c>
      <c r="AG1259">
        <f t="shared" si="119"/>
        <v>3.9769528611439918E-3</v>
      </c>
      <c r="AK1259">
        <f t="shared" si="118"/>
        <v>4.0708127957503558E-5</v>
      </c>
    </row>
    <row r="1260" spans="1:37" x14ac:dyDescent="0.3">
      <c r="A1260" s="1">
        <v>45688</v>
      </c>
      <c r="B1260">
        <v>1.0362</v>
      </c>
      <c r="C1260">
        <v>1.2390000000000001</v>
      </c>
      <c r="D1260">
        <v>155.18</v>
      </c>
      <c r="G1260">
        <v>1.0362</v>
      </c>
      <c r="H1260">
        <f t="shared" si="115"/>
        <v>1.0389999999999999</v>
      </c>
      <c r="I1260">
        <f t="shared" si="115"/>
        <v>1.042</v>
      </c>
      <c r="J1260">
        <f t="shared" si="115"/>
        <v>1.0427999999999999</v>
      </c>
      <c r="L1260">
        <f t="shared" si="114"/>
        <v>-2.7999999999999137E-3</v>
      </c>
      <c r="W1260">
        <f t="shared" si="116"/>
        <v>5.7031756318859069E-3</v>
      </c>
      <c r="X1260">
        <f t="shared" si="117"/>
        <v>-5.7989690721648021E-3</v>
      </c>
      <c r="Y1260">
        <f t="shared" si="117"/>
        <v>-2.0576131687244188E-3</v>
      </c>
      <c r="Z1260">
        <f t="shared" si="117"/>
        <v>6.6670981940578746E-3</v>
      </c>
      <c r="AE1260">
        <f>W1260-mu-theta*AE1259</f>
        <v>3.9079386719424068E-3</v>
      </c>
      <c r="AF1260">
        <f t="shared" si="119"/>
        <v>-6.3802921529898266E-3</v>
      </c>
      <c r="AG1260">
        <f t="shared" si="119"/>
        <v>-1.3522924225795483E-3</v>
      </c>
      <c r="AK1260">
        <f t="shared" si="118"/>
        <v>1.5271984663662981E-5</v>
      </c>
    </row>
    <row r="1261" spans="1:37" x14ac:dyDescent="0.3">
      <c r="A1261" s="1">
        <v>45691</v>
      </c>
      <c r="B1261">
        <v>1.0344</v>
      </c>
      <c r="C1261">
        <v>1.2450000000000001</v>
      </c>
      <c r="D1261">
        <v>154.75</v>
      </c>
      <c r="G1261">
        <v>1.0344</v>
      </c>
      <c r="H1261">
        <f t="shared" si="115"/>
        <v>1.0362</v>
      </c>
      <c r="I1261">
        <f t="shared" si="115"/>
        <v>1.0389999999999999</v>
      </c>
      <c r="J1261">
        <f t="shared" si="115"/>
        <v>1.042</v>
      </c>
      <c r="L1261">
        <f t="shared" si="114"/>
        <v>-1.8000000000000238E-3</v>
      </c>
      <c r="W1261">
        <f t="shared" si="116"/>
        <v>-2.7709756411909191E-3</v>
      </c>
      <c r="X1261">
        <f t="shared" si="117"/>
        <v>5.7031756318859069E-3</v>
      </c>
      <c r="Y1261">
        <f t="shared" si="117"/>
        <v>-5.7989690721648021E-3</v>
      </c>
      <c r="Z1261">
        <f t="shared" si="117"/>
        <v>-2.0576131687244188E-3</v>
      </c>
      <c r="AE1261">
        <f>W1261-mu-theta*AE1260</f>
        <v>-2.0823170443340076E-3</v>
      </c>
      <c r="AF1261">
        <f t="shared" si="119"/>
        <v>3.9079386719424068E-3</v>
      </c>
      <c r="AG1261">
        <f t="shared" si="119"/>
        <v>-6.3802921529898266E-3</v>
      </c>
      <c r="AK1261">
        <f t="shared" si="118"/>
        <v>4.3360442731239172E-6</v>
      </c>
    </row>
    <row r="1262" spans="1:37" x14ac:dyDescent="0.3">
      <c r="A1262" s="1">
        <v>45692</v>
      </c>
      <c r="B1262">
        <v>1.0377000000000001</v>
      </c>
      <c r="C1262">
        <v>1.2479</v>
      </c>
      <c r="D1262">
        <v>154.33000000000001</v>
      </c>
      <c r="G1262">
        <v>1.0377000000000001</v>
      </c>
      <c r="H1262">
        <f t="shared" si="115"/>
        <v>1.0344</v>
      </c>
      <c r="I1262">
        <f t="shared" si="115"/>
        <v>1.0362</v>
      </c>
      <c r="J1262">
        <f t="shared" si="115"/>
        <v>1.0389999999999999</v>
      </c>
      <c r="L1262">
        <f t="shared" si="114"/>
        <v>3.3000000000000806E-3</v>
      </c>
      <c r="W1262">
        <f t="shared" si="116"/>
        <v>-2.7140549273020195E-3</v>
      </c>
      <c r="X1262">
        <f t="shared" si="117"/>
        <v>-2.7709756411909191E-3</v>
      </c>
      <c r="Y1262">
        <f t="shared" si="117"/>
        <v>5.7031756318859069E-3</v>
      </c>
      <c r="Z1262">
        <f t="shared" si="117"/>
        <v>-5.7989690721648021E-3</v>
      </c>
      <c r="AE1262">
        <f>W1262-mu-theta*AE1261</f>
        <v>-3.4716284194160761E-3</v>
      </c>
      <c r="AF1262">
        <f t="shared" si="119"/>
        <v>-2.0823170443340076E-3</v>
      </c>
      <c r="AG1262">
        <f t="shared" si="119"/>
        <v>3.9079386719424068E-3</v>
      </c>
      <c r="AK1262">
        <f t="shared" si="118"/>
        <v>1.2052203882497362E-5</v>
      </c>
    </row>
    <row r="1263" spans="1:37" x14ac:dyDescent="0.3">
      <c r="A1263" s="1">
        <v>45693</v>
      </c>
      <c r="B1263">
        <v>1.0402</v>
      </c>
      <c r="C1263">
        <v>1.2505999999999999</v>
      </c>
      <c r="D1263">
        <v>152.6</v>
      </c>
      <c r="G1263">
        <v>1.0402</v>
      </c>
      <c r="H1263">
        <f t="shared" si="115"/>
        <v>1.0377000000000001</v>
      </c>
      <c r="I1263">
        <f t="shared" si="115"/>
        <v>1.0344</v>
      </c>
      <c r="J1263">
        <f t="shared" si="115"/>
        <v>1.0362</v>
      </c>
      <c r="L1263">
        <f t="shared" si="114"/>
        <v>2.4999999999999467E-3</v>
      </c>
      <c r="W1263">
        <f t="shared" si="116"/>
        <v>-1.1209745350871625E-2</v>
      </c>
      <c r="X1263">
        <f t="shared" si="117"/>
        <v>-2.7140549273020195E-3</v>
      </c>
      <c r="Y1263">
        <f t="shared" si="117"/>
        <v>-2.7709756411909191E-3</v>
      </c>
      <c r="Z1263">
        <f t="shared" si="117"/>
        <v>5.7031756318859069E-3</v>
      </c>
      <c r="AE1263">
        <f>W1263-mu-theta*AE1262</f>
        <v>-1.2302741367062007E-2</v>
      </c>
      <c r="AF1263">
        <f t="shared" si="119"/>
        <v>-3.4716284194160761E-3</v>
      </c>
      <c r="AG1263">
        <f t="shared" si="119"/>
        <v>-2.0823170443340076E-3</v>
      </c>
      <c r="AK1263">
        <f t="shared" si="118"/>
        <v>1.5135744514481873E-4</v>
      </c>
    </row>
    <row r="1264" spans="1:37" x14ac:dyDescent="0.3">
      <c r="A1264" s="1">
        <v>45694</v>
      </c>
      <c r="B1264">
        <v>1.0381</v>
      </c>
      <c r="C1264">
        <v>1.2434000000000001</v>
      </c>
      <c r="D1264">
        <v>151.44</v>
      </c>
      <c r="G1264">
        <v>1.0381</v>
      </c>
      <c r="H1264">
        <f t="shared" si="115"/>
        <v>1.0402</v>
      </c>
      <c r="I1264">
        <f t="shared" si="115"/>
        <v>1.0377000000000001</v>
      </c>
      <c r="J1264">
        <f t="shared" si="115"/>
        <v>1.0344</v>
      </c>
      <c r="L1264">
        <f t="shared" si="114"/>
        <v>-2.0999999999999908E-3</v>
      </c>
      <c r="W1264">
        <f t="shared" si="116"/>
        <v>-7.6015727391873962E-3</v>
      </c>
      <c r="X1264">
        <f t="shared" si="117"/>
        <v>-1.1209745350871625E-2</v>
      </c>
      <c r="Y1264">
        <f t="shared" si="117"/>
        <v>-2.7140549273020195E-3</v>
      </c>
      <c r="Z1264">
        <f t="shared" si="117"/>
        <v>-2.7709756411909191E-3</v>
      </c>
      <c r="AE1264">
        <f>W1264-mu-theta*AE1263</f>
        <v>-1.0826671211623435E-2</v>
      </c>
      <c r="AF1264">
        <f t="shared" si="119"/>
        <v>-1.2302741367062007E-2</v>
      </c>
      <c r="AG1264">
        <f t="shared" si="119"/>
        <v>-3.4716284194160761E-3</v>
      </c>
      <c r="AK1264">
        <f t="shared" si="118"/>
        <v>1.1721680952459567E-4</v>
      </c>
    </row>
    <row r="1265" spans="1:37" x14ac:dyDescent="0.3">
      <c r="A1265" s="1">
        <v>45695</v>
      </c>
      <c r="B1265">
        <v>1.0327</v>
      </c>
      <c r="C1265">
        <v>1.2408999999999999</v>
      </c>
      <c r="D1265">
        <v>151.4</v>
      </c>
      <c r="G1265">
        <v>1.0327</v>
      </c>
      <c r="H1265">
        <f t="shared" si="115"/>
        <v>1.0381</v>
      </c>
      <c r="I1265">
        <f t="shared" si="115"/>
        <v>1.0402</v>
      </c>
      <c r="J1265">
        <f t="shared" si="115"/>
        <v>1.0377000000000001</v>
      </c>
      <c r="L1265">
        <f t="shared" si="114"/>
        <v>-5.4000000000000714E-3</v>
      </c>
      <c r="W1265">
        <f t="shared" si="116"/>
        <v>-2.6413100898040179E-4</v>
      </c>
      <c r="X1265">
        <f t="shared" si="117"/>
        <v>-7.6015727391873962E-3</v>
      </c>
      <c r="Y1265">
        <f t="shared" si="117"/>
        <v>-1.1209745350871625E-2</v>
      </c>
      <c r="Z1265">
        <f t="shared" si="117"/>
        <v>-2.7140549273020195E-3</v>
      </c>
      <c r="AE1265">
        <f>W1265-mu-theta*AE1264</f>
        <v>-3.1328607176310795E-3</v>
      </c>
      <c r="AF1265">
        <f t="shared" si="119"/>
        <v>-1.0826671211623435E-2</v>
      </c>
      <c r="AG1265">
        <f t="shared" si="119"/>
        <v>-1.2302741367062007E-2</v>
      </c>
      <c r="AK1265">
        <f t="shared" si="118"/>
        <v>9.8148162760759219E-6</v>
      </c>
    </row>
    <row r="1266" spans="1:37" x14ac:dyDescent="0.3">
      <c r="A1266" s="1">
        <v>45698</v>
      </c>
      <c r="B1266">
        <v>1.0306</v>
      </c>
      <c r="C1266">
        <v>1.2365999999999999</v>
      </c>
      <c r="D1266">
        <v>151.99</v>
      </c>
      <c r="G1266">
        <v>1.0306</v>
      </c>
      <c r="H1266">
        <f t="shared" si="115"/>
        <v>1.0327</v>
      </c>
      <c r="I1266">
        <f t="shared" si="115"/>
        <v>1.0381</v>
      </c>
      <c r="J1266">
        <f t="shared" si="115"/>
        <v>1.0402</v>
      </c>
      <c r="L1266">
        <f t="shared" si="114"/>
        <v>-2.0999999999999908E-3</v>
      </c>
      <c r="W1266">
        <f t="shared" si="116"/>
        <v>3.8969616908850952E-3</v>
      </c>
      <c r="X1266">
        <f t="shared" si="117"/>
        <v>-2.6413100898040179E-4</v>
      </c>
      <c r="Y1266">
        <f t="shared" si="117"/>
        <v>-7.6015727391873962E-3</v>
      </c>
      <c r="Z1266">
        <f t="shared" si="117"/>
        <v>-1.1209745350871625E-2</v>
      </c>
      <c r="AE1266">
        <f>W1266-mu-theta*AE1265</f>
        <v>2.8857546239873422E-3</v>
      </c>
      <c r="AF1266">
        <f t="shared" si="119"/>
        <v>-3.1328607176310795E-3</v>
      </c>
      <c r="AG1266">
        <f t="shared" si="119"/>
        <v>-1.0826671211623435E-2</v>
      </c>
      <c r="AK1266">
        <f t="shared" si="118"/>
        <v>8.3275797498643266E-6</v>
      </c>
    </row>
    <row r="1267" spans="1:37" x14ac:dyDescent="0.3">
      <c r="A1267" s="1">
        <v>45699</v>
      </c>
      <c r="B1267">
        <v>1.036</v>
      </c>
      <c r="C1267">
        <v>1.2443</v>
      </c>
      <c r="D1267">
        <v>152.47999999999999</v>
      </c>
      <c r="G1267">
        <v>1.036</v>
      </c>
      <c r="H1267">
        <f t="shared" si="115"/>
        <v>1.0306</v>
      </c>
      <c r="I1267">
        <f t="shared" si="115"/>
        <v>1.0327</v>
      </c>
      <c r="J1267">
        <f t="shared" si="115"/>
        <v>1.0381</v>
      </c>
      <c r="L1267">
        <f t="shared" si="114"/>
        <v>5.4000000000000714E-3</v>
      </c>
      <c r="W1267">
        <f t="shared" si="116"/>
        <v>3.2238963089675681E-3</v>
      </c>
      <c r="X1267">
        <f t="shared" si="117"/>
        <v>3.8969616908850952E-3</v>
      </c>
      <c r="Y1267">
        <f t="shared" si="117"/>
        <v>-2.6413100898040179E-4</v>
      </c>
      <c r="Z1267">
        <f t="shared" si="117"/>
        <v>-7.6015727391873962E-3</v>
      </c>
      <c r="AE1267">
        <f>W1267-mu-theta*AE1266</f>
        <v>3.6657682174081486E-3</v>
      </c>
      <c r="AF1267">
        <f t="shared" si="119"/>
        <v>2.8857546239873422E-3</v>
      </c>
      <c r="AG1267">
        <f t="shared" si="119"/>
        <v>-3.1328607176310795E-3</v>
      </c>
      <c r="AK1267">
        <f t="shared" si="118"/>
        <v>1.3437856623759714E-5</v>
      </c>
    </row>
    <row r="1268" spans="1:37" x14ac:dyDescent="0.3">
      <c r="A1268" s="1">
        <v>45700</v>
      </c>
      <c r="B1268">
        <v>1.0382</v>
      </c>
      <c r="C1268">
        <v>1.2442</v>
      </c>
      <c r="D1268">
        <v>154.41</v>
      </c>
      <c r="G1268">
        <v>1.0382</v>
      </c>
      <c r="H1268">
        <f t="shared" si="115"/>
        <v>1.036</v>
      </c>
      <c r="I1268">
        <f t="shared" si="115"/>
        <v>1.0306</v>
      </c>
      <c r="J1268">
        <f t="shared" si="115"/>
        <v>1.0327</v>
      </c>
      <c r="L1268">
        <f t="shared" si="114"/>
        <v>2.1999999999999797E-3</v>
      </c>
      <c r="W1268">
        <f t="shared" si="116"/>
        <v>1.2657397691500569E-2</v>
      </c>
      <c r="X1268">
        <f t="shared" si="117"/>
        <v>3.2238963089675681E-3</v>
      </c>
      <c r="Y1268">
        <f t="shared" si="117"/>
        <v>3.8969616908850952E-3</v>
      </c>
      <c r="Z1268">
        <f t="shared" si="117"/>
        <v>-2.6413100898040179E-4</v>
      </c>
      <c r="AE1268">
        <f>W1268-mu-theta*AE1267</f>
        <v>1.3287588887475665E-2</v>
      </c>
      <c r="AF1268">
        <f t="shared" si="119"/>
        <v>3.6657682174081486E-3</v>
      </c>
      <c r="AG1268">
        <f t="shared" si="119"/>
        <v>2.8857546239873422E-3</v>
      </c>
      <c r="AK1268">
        <f t="shared" si="118"/>
        <v>1.7656001844256679E-4</v>
      </c>
    </row>
    <row r="1269" spans="1:37" x14ac:dyDescent="0.3">
      <c r="A1269" s="1">
        <v>45701</v>
      </c>
      <c r="B1269">
        <v>1.0464</v>
      </c>
      <c r="C1269">
        <v>1.2565</v>
      </c>
      <c r="D1269">
        <v>152.79</v>
      </c>
      <c r="G1269">
        <v>1.0464</v>
      </c>
      <c r="H1269">
        <f t="shared" si="115"/>
        <v>1.0382</v>
      </c>
      <c r="I1269">
        <f t="shared" si="115"/>
        <v>1.036</v>
      </c>
      <c r="J1269">
        <f t="shared" si="115"/>
        <v>1.0306</v>
      </c>
      <c r="L1269">
        <f t="shared" si="114"/>
        <v>8.1999999999999851E-3</v>
      </c>
      <c r="W1269">
        <f t="shared" si="116"/>
        <v>-1.0491548474839742E-2</v>
      </c>
      <c r="X1269">
        <f t="shared" si="117"/>
        <v>1.2657397691500569E-2</v>
      </c>
      <c r="Y1269">
        <f t="shared" si="117"/>
        <v>3.2238963089675681E-3</v>
      </c>
      <c r="Z1269">
        <f t="shared" si="117"/>
        <v>3.8969616908850952E-3</v>
      </c>
      <c r="AE1269">
        <f>W1269-mu-theta*AE1268</f>
        <v>-7.5383536432159018E-3</v>
      </c>
      <c r="AF1269">
        <f t="shared" si="119"/>
        <v>1.3287588887475665E-2</v>
      </c>
      <c r="AG1269">
        <f t="shared" si="119"/>
        <v>3.6657682174081486E-3</v>
      </c>
      <c r="AK1269">
        <f t="shared" si="118"/>
        <v>5.6826775650186462E-5</v>
      </c>
    </row>
    <row r="1270" spans="1:37" x14ac:dyDescent="0.3">
      <c r="A1270" s="1">
        <v>45702</v>
      </c>
      <c r="B1270">
        <v>1.0490999999999999</v>
      </c>
      <c r="C1270">
        <v>1.2585</v>
      </c>
      <c r="D1270">
        <v>152.33000000000001</v>
      </c>
      <c r="G1270">
        <v>1.0490999999999999</v>
      </c>
      <c r="H1270">
        <f t="shared" si="115"/>
        <v>1.0464</v>
      </c>
      <c r="I1270">
        <f t="shared" si="115"/>
        <v>1.0382</v>
      </c>
      <c r="J1270">
        <f t="shared" si="115"/>
        <v>1.036</v>
      </c>
      <c r="L1270">
        <f t="shared" si="114"/>
        <v>2.6999999999999247E-3</v>
      </c>
      <c r="W1270">
        <f t="shared" si="116"/>
        <v>-3.0106682374499609E-3</v>
      </c>
      <c r="X1270">
        <f t="shared" si="117"/>
        <v>-1.0491548474839742E-2</v>
      </c>
      <c r="Y1270">
        <f t="shared" si="117"/>
        <v>1.2657397691500569E-2</v>
      </c>
      <c r="Z1270">
        <f t="shared" si="117"/>
        <v>3.2238963089675681E-3</v>
      </c>
      <c r="AE1270">
        <f>W1270-mu-theta*AE1269</f>
        <v>-5.0854968822051354E-3</v>
      </c>
      <c r="AF1270">
        <f t="shared" si="119"/>
        <v>-7.5383536432159018E-3</v>
      </c>
      <c r="AG1270">
        <f t="shared" si="119"/>
        <v>1.3287588887475665E-2</v>
      </c>
      <c r="AK1270">
        <f t="shared" si="118"/>
        <v>2.5862278538918154E-5</v>
      </c>
    </row>
    <row r="1271" spans="1:37" x14ac:dyDescent="0.3">
      <c r="A1271" s="1">
        <v>45705</v>
      </c>
      <c r="B1271">
        <v>1.0482</v>
      </c>
      <c r="C1271">
        <v>1.2623</v>
      </c>
      <c r="D1271">
        <v>151.5</v>
      </c>
      <c r="G1271">
        <v>1.0482</v>
      </c>
      <c r="H1271">
        <f t="shared" si="115"/>
        <v>1.0490999999999999</v>
      </c>
      <c r="I1271">
        <f t="shared" si="115"/>
        <v>1.0464</v>
      </c>
      <c r="J1271">
        <f t="shared" si="115"/>
        <v>1.0382</v>
      </c>
      <c r="L1271">
        <f t="shared" si="114"/>
        <v>-8.9999999999990088E-4</v>
      </c>
      <c r="W1271">
        <f t="shared" si="116"/>
        <v>-5.4486969080287037E-3</v>
      </c>
      <c r="X1271">
        <f t="shared" si="117"/>
        <v>-3.0106682374499609E-3</v>
      </c>
      <c r="Y1271">
        <f t="shared" si="117"/>
        <v>-1.0491548474839742E-2</v>
      </c>
      <c r="Z1271">
        <f t="shared" si="117"/>
        <v>1.2657397691500569E-2</v>
      </c>
      <c r="AE1271">
        <f>W1271-mu-theta*AE1270</f>
        <v>-6.931330440347468E-3</v>
      </c>
      <c r="AF1271">
        <f t="shared" si="119"/>
        <v>-5.0854968822051354E-3</v>
      </c>
      <c r="AG1271">
        <f t="shared" si="119"/>
        <v>-7.5383536432159018E-3</v>
      </c>
      <c r="AK1271">
        <f t="shared" si="118"/>
        <v>4.8043341673287421E-5</v>
      </c>
    </row>
    <row r="1272" spans="1:37" x14ac:dyDescent="0.3">
      <c r="A1272" s="1">
        <v>45706</v>
      </c>
      <c r="B1272">
        <v>1.0445</v>
      </c>
      <c r="C1272">
        <v>1.2611000000000001</v>
      </c>
      <c r="D1272">
        <v>152.05000000000001</v>
      </c>
      <c r="G1272">
        <v>1.0445</v>
      </c>
      <c r="H1272">
        <f t="shared" si="115"/>
        <v>1.0482</v>
      </c>
      <c r="I1272">
        <f t="shared" si="115"/>
        <v>1.0490999999999999</v>
      </c>
      <c r="J1272">
        <f t="shared" si="115"/>
        <v>1.0464</v>
      </c>
      <c r="L1272">
        <f t="shared" si="114"/>
        <v>-3.7000000000000366E-3</v>
      </c>
      <c r="W1272">
        <f t="shared" si="116"/>
        <v>3.6303630363037054E-3</v>
      </c>
      <c r="X1272">
        <f t="shared" si="117"/>
        <v>-5.4486969080287037E-3</v>
      </c>
      <c r="Y1272">
        <f t="shared" si="117"/>
        <v>-3.0106682374499609E-3</v>
      </c>
      <c r="Z1272">
        <f t="shared" si="117"/>
        <v>-1.0491548474839742E-2</v>
      </c>
      <c r="AE1272">
        <f>W1272-mu-theta*AE1271</f>
        <v>1.7020884747661947E-3</v>
      </c>
      <c r="AF1272">
        <f t="shared" si="119"/>
        <v>-6.931330440347468E-3</v>
      </c>
      <c r="AG1272">
        <f t="shared" si="119"/>
        <v>-5.0854968822051354E-3</v>
      </c>
      <c r="AK1272">
        <f t="shared" si="118"/>
        <v>2.8971051759319112E-6</v>
      </c>
    </row>
    <row r="1273" spans="1:37" x14ac:dyDescent="0.3">
      <c r="A1273" s="1">
        <v>45707</v>
      </c>
      <c r="B1273">
        <v>1.0421</v>
      </c>
      <c r="C1273">
        <v>1.2585</v>
      </c>
      <c r="D1273">
        <v>151.47</v>
      </c>
      <c r="G1273">
        <v>1.0421</v>
      </c>
      <c r="H1273">
        <f t="shared" si="115"/>
        <v>1.0445</v>
      </c>
      <c r="I1273">
        <f t="shared" si="115"/>
        <v>1.0482</v>
      </c>
      <c r="J1273">
        <f t="shared" si="115"/>
        <v>1.0490999999999999</v>
      </c>
      <c r="L1273">
        <f t="shared" si="114"/>
        <v>-2.3999999999999577E-3</v>
      </c>
      <c r="W1273">
        <f t="shared" si="116"/>
        <v>-3.8145346925354323E-3</v>
      </c>
      <c r="X1273">
        <f t="shared" si="117"/>
        <v>3.6303630363037054E-3</v>
      </c>
      <c r="Y1273">
        <f t="shared" si="117"/>
        <v>-5.4486969080287037E-3</v>
      </c>
      <c r="Z1273">
        <f t="shared" si="117"/>
        <v>-3.0106682374499609E-3</v>
      </c>
      <c r="AE1273">
        <f>W1273-mu-theta*AE1272</f>
        <v>-3.6584362216095399E-3</v>
      </c>
      <c r="AF1273">
        <f t="shared" si="119"/>
        <v>1.7020884747661947E-3</v>
      </c>
      <c r="AG1273">
        <f t="shared" si="119"/>
        <v>-6.931330440347468E-3</v>
      </c>
      <c r="AK1273">
        <f t="shared" si="118"/>
        <v>1.3384155587584687E-5</v>
      </c>
    </row>
    <row r="1274" spans="1:37" x14ac:dyDescent="0.3">
      <c r="A1274" s="1">
        <v>45708</v>
      </c>
      <c r="B1274">
        <v>1.05</v>
      </c>
      <c r="C1274">
        <v>1.2667999999999999</v>
      </c>
      <c r="D1274">
        <v>149.63</v>
      </c>
      <c r="G1274">
        <v>1.05</v>
      </c>
      <c r="H1274">
        <f t="shared" si="115"/>
        <v>1.0421</v>
      </c>
      <c r="I1274">
        <f t="shared" si="115"/>
        <v>1.0445</v>
      </c>
      <c r="J1274">
        <f t="shared" si="115"/>
        <v>1.0482</v>
      </c>
      <c r="L1274">
        <f t="shared" si="114"/>
        <v>7.9000000000000181E-3</v>
      </c>
      <c r="W1274">
        <f t="shared" si="116"/>
        <v>-1.2147619990757268E-2</v>
      </c>
      <c r="X1274">
        <f t="shared" si="117"/>
        <v>-3.8145346925354323E-3</v>
      </c>
      <c r="Y1274">
        <f t="shared" si="117"/>
        <v>3.6303630363037054E-3</v>
      </c>
      <c r="Z1274">
        <f t="shared" si="117"/>
        <v>-5.4486969080287037E-3</v>
      </c>
      <c r="AE1274">
        <f>W1274-mu-theta*AE1273</f>
        <v>-1.3285717159686128E-2</v>
      </c>
      <c r="AF1274">
        <f t="shared" si="119"/>
        <v>-3.6584362216095399E-3</v>
      </c>
      <c r="AG1274">
        <f t="shared" si="119"/>
        <v>1.7020884747661947E-3</v>
      </c>
      <c r="AK1274">
        <f t="shared" si="118"/>
        <v>1.7651028044717842E-4</v>
      </c>
    </row>
    <row r="1275" spans="1:37" x14ac:dyDescent="0.3">
      <c r="A1275" s="1">
        <v>45709</v>
      </c>
      <c r="B1275">
        <v>1.0458000000000001</v>
      </c>
      <c r="C1275">
        <v>1.2629999999999999</v>
      </c>
      <c r="D1275">
        <v>149.29</v>
      </c>
      <c r="G1275">
        <v>1.0458000000000001</v>
      </c>
      <c r="H1275">
        <f t="shared" si="115"/>
        <v>1.05</v>
      </c>
      <c r="I1275">
        <f t="shared" si="115"/>
        <v>1.0421</v>
      </c>
      <c r="J1275">
        <f t="shared" si="115"/>
        <v>1.0445</v>
      </c>
      <c r="L1275">
        <f t="shared" si="114"/>
        <v>-4.1999999999999815E-3</v>
      </c>
      <c r="W1275">
        <f t="shared" si="116"/>
        <v>-2.2722716032881336E-3</v>
      </c>
      <c r="X1275">
        <f t="shared" si="117"/>
        <v>-1.2147619990757268E-2</v>
      </c>
      <c r="Y1275">
        <f t="shared" si="117"/>
        <v>-3.8145346925354323E-3</v>
      </c>
      <c r="Z1275">
        <f t="shared" si="117"/>
        <v>3.6303630363037054E-3</v>
      </c>
      <c r="AE1275">
        <f>W1275-mu-theta*AE1274</f>
        <v>-5.7346906846110282E-3</v>
      </c>
      <c r="AF1275">
        <f t="shared" si="119"/>
        <v>-1.3285717159686128E-2</v>
      </c>
      <c r="AG1275">
        <f t="shared" si="119"/>
        <v>-3.6584362216095399E-3</v>
      </c>
      <c r="AK1275">
        <f t="shared" si="118"/>
        <v>3.2886677248164501E-5</v>
      </c>
    </row>
    <row r="1276" spans="1:37" x14ac:dyDescent="0.3">
      <c r="A1276" s="1">
        <v>45712</v>
      </c>
      <c r="B1276">
        <v>1.0466</v>
      </c>
      <c r="C1276">
        <v>1.2624</v>
      </c>
      <c r="D1276">
        <v>149.71</v>
      </c>
      <c r="G1276">
        <v>1.0466</v>
      </c>
      <c r="H1276">
        <f t="shared" si="115"/>
        <v>1.0458000000000001</v>
      </c>
      <c r="I1276">
        <f t="shared" si="115"/>
        <v>1.05</v>
      </c>
      <c r="J1276">
        <f t="shared" si="115"/>
        <v>1.0421</v>
      </c>
      <c r="L1276">
        <f t="shared" si="114"/>
        <v>7.9999999999991189E-4</v>
      </c>
      <c r="W1276">
        <f t="shared" si="116"/>
        <v>2.8133163641236246E-3</v>
      </c>
      <c r="X1276">
        <f t="shared" si="117"/>
        <v>-2.2722716032881336E-3</v>
      </c>
      <c r="Y1276">
        <f t="shared" si="117"/>
        <v>-1.2147619990757268E-2</v>
      </c>
      <c r="Z1276">
        <f t="shared" si="117"/>
        <v>-3.8145346925354323E-3</v>
      </c>
      <c r="AE1276">
        <f>W1276-mu-theta*AE1275</f>
        <v>1.1739474679957011E-3</v>
      </c>
      <c r="AF1276">
        <f t="shared" si="119"/>
        <v>-5.7346906846110282E-3</v>
      </c>
      <c r="AG1276">
        <f t="shared" si="119"/>
        <v>-1.3285717159686128E-2</v>
      </c>
      <c r="AK1276">
        <f t="shared" si="118"/>
        <v>1.3781526576135175E-6</v>
      </c>
    </row>
    <row r="1277" spans="1:37" x14ac:dyDescent="0.3">
      <c r="A1277" s="1">
        <v>45713</v>
      </c>
      <c r="B1277">
        <v>1.0512999999999999</v>
      </c>
      <c r="C1277">
        <v>1.2664</v>
      </c>
      <c r="D1277">
        <v>149.02000000000001</v>
      </c>
      <c r="G1277">
        <v>1.0512999999999999</v>
      </c>
      <c r="H1277">
        <f t="shared" si="115"/>
        <v>1.0466</v>
      </c>
      <c r="I1277">
        <f t="shared" si="115"/>
        <v>1.0458000000000001</v>
      </c>
      <c r="J1277">
        <f t="shared" si="115"/>
        <v>1.05</v>
      </c>
      <c r="L1277">
        <f t="shared" si="114"/>
        <v>4.6999999999999265E-3</v>
      </c>
      <c r="W1277">
        <f t="shared" si="116"/>
        <v>-4.6089105604167901E-3</v>
      </c>
      <c r="X1277">
        <f t="shared" si="117"/>
        <v>2.8133163641236246E-3</v>
      </c>
      <c r="Y1277">
        <f t="shared" si="117"/>
        <v>-2.2722716032881336E-3</v>
      </c>
      <c r="Z1277">
        <f t="shared" si="117"/>
        <v>-1.2147619990757268E-2</v>
      </c>
      <c r="AE1277">
        <f>W1277-mu-theta*AE1276</f>
        <v>-4.5803215828531807E-3</v>
      </c>
      <c r="AF1277">
        <f t="shared" si="119"/>
        <v>1.1739474679957011E-3</v>
      </c>
      <c r="AG1277">
        <f t="shared" si="119"/>
        <v>-5.7346906846110282E-3</v>
      </c>
      <c r="AK1277">
        <f t="shared" si="118"/>
        <v>2.0979345802350666E-5</v>
      </c>
    </row>
    <row r="1278" spans="1:37" x14ac:dyDescent="0.3">
      <c r="A1278" s="1">
        <v>45714</v>
      </c>
      <c r="B1278">
        <v>1.0483</v>
      </c>
      <c r="C1278">
        <v>1.2672000000000001</v>
      </c>
      <c r="D1278">
        <v>149.08000000000001</v>
      </c>
      <c r="G1278">
        <v>1.0483</v>
      </c>
      <c r="H1278">
        <f t="shared" si="115"/>
        <v>1.0512999999999999</v>
      </c>
      <c r="I1278">
        <f t="shared" si="115"/>
        <v>1.0466</v>
      </c>
      <c r="J1278">
        <f t="shared" si="115"/>
        <v>1.0458000000000001</v>
      </c>
      <c r="L1278">
        <f t="shared" si="114"/>
        <v>-2.9999999999998916E-3</v>
      </c>
      <c r="W1278">
        <f t="shared" si="116"/>
        <v>4.0263051939338525E-4</v>
      </c>
      <c r="X1278">
        <f t="shared" si="117"/>
        <v>-4.6089105604167901E-3</v>
      </c>
      <c r="Y1278">
        <f t="shared" si="117"/>
        <v>2.8133163641236246E-3</v>
      </c>
      <c r="Z1278">
        <f t="shared" si="117"/>
        <v>-2.2722716032881336E-3</v>
      </c>
      <c r="AE1278">
        <f>W1278-mu-theta*AE1277</f>
        <v>-9.5803814813786052E-4</v>
      </c>
      <c r="AF1278">
        <f t="shared" si="119"/>
        <v>-4.5803215828531807E-3</v>
      </c>
      <c r="AG1278">
        <f t="shared" si="119"/>
        <v>1.1739474679957011E-3</v>
      </c>
      <c r="AK1278">
        <f t="shared" si="118"/>
        <v>9.1783709328742116E-7</v>
      </c>
    </row>
    <row r="1279" spans="1:37" x14ac:dyDescent="0.3">
      <c r="A1279" s="1">
        <v>45715</v>
      </c>
      <c r="B1279">
        <v>1.0397000000000001</v>
      </c>
      <c r="C1279">
        <v>1.2597</v>
      </c>
      <c r="D1279">
        <v>149.80000000000001</v>
      </c>
      <c r="G1279">
        <v>1.0397000000000001</v>
      </c>
      <c r="H1279">
        <f t="shared" si="115"/>
        <v>1.0483</v>
      </c>
      <c r="I1279">
        <f t="shared" si="115"/>
        <v>1.0512999999999999</v>
      </c>
      <c r="J1279">
        <f t="shared" si="115"/>
        <v>1.0466</v>
      </c>
      <c r="L1279">
        <f t="shared" si="114"/>
        <v>-8.599999999999941E-3</v>
      </c>
      <c r="W1279">
        <f t="shared" si="116"/>
        <v>4.829621679635087E-3</v>
      </c>
      <c r="X1279">
        <f t="shared" si="117"/>
        <v>4.0263051939338525E-4</v>
      </c>
      <c r="Y1279">
        <f t="shared" si="117"/>
        <v>-4.6089105604167901E-3</v>
      </c>
      <c r="Z1279">
        <f t="shared" si="117"/>
        <v>2.8133163641236246E-3</v>
      </c>
      <c r="AE1279">
        <f>W1279-mu-theta*AE1278</f>
        <v>4.3434837144241192E-3</v>
      </c>
      <c r="AF1279">
        <f t="shared" si="119"/>
        <v>-9.5803814813786052E-4</v>
      </c>
      <c r="AG1279">
        <f t="shared" si="119"/>
        <v>-4.5803215828531807E-3</v>
      </c>
      <c r="AK1279">
        <f t="shared" si="118"/>
        <v>1.8865850777467542E-5</v>
      </c>
    </row>
    <row r="1280" spans="1:37" x14ac:dyDescent="0.3">
      <c r="A1280" s="1">
        <v>45716</v>
      </c>
      <c r="B1280">
        <v>1.0375000000000001</v>
      </c>
      <c r="C1280">
        <v>1.2577</v>
      </c>
      <c r="D1280">
        <v>150.6</v>
      </c>
      <c r="G1280">
        <v>1.0375000000000001</v>
      </c>
      <c r="H1280">
        <f t="shared" si="115"/>
        <v>1.0397000000000001</v>
      </c>
      <c r="I1280">
        <f t="shared" si="115"/>
        <v>1.0483</v>
      </c>
      <c r="J1280">
        <f t="shared" si="115"/>
        <v>1.0512999999999999</v>
      </c>
      <c r="L1280">
        <f t="shared" si="114"/>
        <v>-2.1999999999999797E-3</v>
      </c>
      <c r="W1280">
        <f t="shared" si="116"/>
        <v>5.3404539385846651E-3</v>
      </c>
      <c r="X1280">
        <f t="shared" si="117"/>
        <v>4.829621679635087E-3</v>
      </c>
      <c r="Y1280">
        <f t="shared" si="117"/>
        <v>4.0263051939338525E-4</v>
      </c>
      <c r="Z1280">
        <f t="shared" si="117"/>
        <v>-4.6089105604167901E-3</v>
      </c>
      <c r="AE1280">
        <f>W1280-mu-theta*AE1279</f>
        <v>6.1342665132455201E-3</v>
      </c>
      <c r="AF1280">
        <f t="shared" si="119"/>
        <v>4.3434837144241192E-3</v>
      </c>
      <c r="AG1280">
        <f t="shared" si="119"/>
        <v>-9.5803814813786052E-4</v>
      </c>
      <c r="AK1280">
        <f t="shared" si="118"/>
        <v>3.7629225655525348E-5</v>
      </c>
    </row>
    <row r="1281" spans="1:37" x14ac:dyDescent="0.3">
      <c r="A1281" s="1">
        <v>45719</v>
      </c>
      <c r="B1281">
        <v>1.0486</v>
      </c>
      <c r="C1281">
        <v>1.2699</v>
      </c>
      <c r="D1281">
        <v>149.5</v>
      </c>
      <c r="G1281">
        <v>1.0486</v>
      </c>
      <c r="H1281">
        <f t="shared" si="115"/>
        <v>1.0375000000000001</v>
      </c>
      <c r="I1281">
        <f t="shared" si="115"/>
        <v>1.0397000000000001</v>
      </c>
      <c r="J1281">
        <f t="shared" si="115"/>
        <v>1.0483</v>
      </c>
      <c r="L1281">
        <f t="shared" si="114"/>
        <v>1.1099999999999888E-2</v>
      </c>
      <c r="W1281">
        <f t="shared" si="116"/>
        <v>-7.3041168658698162E-3</v>
      </c>
      <c r="X1281">
        <f t="shared" si="117"/>
        <v>5.3404539385846651E-3</v>
      </c>
      <c r="Y1281">
        <f t="shared" si="117"/>
        <v>4.829621679635087E-3</v>
      </c>
      <c r="Z1281">
        <f t="shared" si="117"/>
        <v>4.0263051939338525E-4</v>
      </c>
      <c r="AE1281">
        <f>W1281-mu-theta*AE1280</f>
        <v>-6.077954209559585E-3</v>
      </c>
      <c r="AF1281">
        <f t="shared" si="119"/>
        <v>6.1342665132455201E-3</v>
      </c>
      <c r="AG1281">
        <f t="shared" si="119"/>
        <v>4.3434837144241192E-3</v>
      </c>
      <c r="AK1281">
        <f t="shared" si="118"/>
        <v>3.694152737350308E-5</v>
      </c>
    </row>
    <row r="1282" spans="1:37" x14ac:dyDescent="0.3">
      <c r="A1282" s="1">
        <v>45720</v>
      </c>
      <c r="B1282">
        <v>1.0624</v>
      </c>
      <c r="C1282">
        <v>1.2794000000000001</v>
      </c>
      <c r="D1282">
        <v>149.80000000000001</v>
      </c>
      <c r="G1282">
        <v>1.0624</v>
      </c>
      <c r="H1282">
        <f t="shared" si="115"/>
        <v>1.0486</v>
      </c>
      <c r="I1282">
        <f t="shared" si="115"/>
        <v>1.0375000000000001</v>
      </c>
      <c r="J1282">
        <f t="shared" si="115"/>
        <v>1.0397000000000001</v>
      </c>
      <c r="L1282">
        <f t="shared" si="114"/>
        <v>1.3800000000000034E-2</v>
      </c>
      <c r="W1282">
        <f t="shared" si="116"/>
        <v>2.0066889632107785E-3</v>
      </c>
      <c r="X1282">
        <f t="shared" si="117"/>
        <v>-7.3041168658698162E-3</v>
      </c>
      <c r="Y1282">
        <f t="shared" si="117"/>
        <v>5.3404539385846651E-3</v>
      </c>
      <c r="Z1282">
        <f t="shared" si="117"/>
        <v>4.829621679635087E-3</v>
      </c>
      <c r="AE1282">
        <f>W1282-mu-theta*AE1281</f>
        <v>2.8444568771287377E-4</v>
      </c>
      <c r="AF1282">
        <f t="shared" si="119"/>
        <v>-6.077954209559585E-3</v>
      </c>
      <c r="AG1282">
        <f t="shared" si="119"/>
        <v>6.1342665132455201E-3</v>
      </c>
      <c r="AK1282">
        <f t="shared" si="118"/>
        <v>8.0909349258449706E-8</v>
      </c>
    </row>
    <row r="1283" spans="1:37" x14ac:dyDescent="0.3">
      <c r="A1283" s="1">
        <v>45721</v>
      </c>
      <c r="B1283">
        <v>1.079</v>
      </c>
      <c r="C1283">
        <v>1.2892999999999999</v>
      </c>
      <c r="D1283">
        <v>148.88</v>
      </c>
      <c r="G1283">
        <v>1.079</v>
      </c>
      <c r="H1283">
        <f t="shared" si="115"/>
        <v>1.0624</v>
      </c>
      <c r="I1283">
        <f t="shared" si="115"/>
        <v>1.0486</v>
      </c>
      <c r="J1283">
        <f t="shared" si="115"/>
        <v>1.0375000000000001</v>
      </c>
      <c r="L1283">
        <f t="shared" si="114"/>
        <v>1.6599999999999948E-2</v>
      </c>
      <c r="W1283">
        <f t="shared" si="116"/>
        <v>-6.1415220293726024E-3</v>
      </c>
      <c r="X1283">
        <f t="shared" si="117"/>
        <v>2.0066889632107785E-3</v>
      </c>
      <c r="Y1283">
        <f t="shared" si="117"/>
        <v>-7.3041168658698162E-3</v>
      </c>
      <c r="Z1283">
        <f t="shared" si="117"/>
        <v>5.3404539385846651E-3</v>
      </c>
      <c r="AE1283">
        <f>W1283-mu-theta*AE1282</f>
        <v>-6.3276861573143914E-3</v>
      </c>
      <c r="AF1283">
        <f t="shared" si="119"/>
        <v>2.8444568771287377E-4</v>
      </c>
      <c r="AG1283">
        <f t="shared" si="119"/>
        <v>-6.077954209559585E-3</v>
      </c>
      <c r="AK1283">
        <f t="shared" si="118"/>
        <v>4.0039612105468167E-5</v>
      </c>
    </row>
    <row r="1284" spans="1:37" x14ac:dyDescent="0.3">
      <c r="A1284" s="1">
        <v>45722</v>
      </c>
      <c r="B1284">
        <v>1.0783</v>
      </c>
      <c r="C1284">
        <v>1.2882</v>
      </c>
      <c r="D1284">
        <v>147.94999999999999</v>
      </c>
      <c r="G1284">
        <v>1.0783</v>
      </c>
      <c r="H1284">
        <f t="shared" si="115"/>
        <v>1.079</v>
      </c>
      <c r="I1284">
        <f t="shared" si="115"/>
        <v>1.0624</v>
      </c>
      <c r="J1284">
        <f t="shared" si="115"/>
        <v>1.0486</v>
      </c>
      <c r="L1284">
        <f t="shared" si="114"/>
        <v>-6.9999999999992291E-4</v>
      </c>
      <c r="W1284">
        <f t="shared" si="116"/>
        <v>-6.2466415905427647E-3</v>
      </c>
      <c r="X1284">
        <f t="shared" si="117"/>
        <v>-6.1415220293726024E-3</v>
      </c>
      <c r="Y1284">
        <f t="shared" si="117"/>
        <v>2.0066889632107785E-3</v>
      </c>
      <c r="Z1284">
        <f t="shared" si="117"/>
        <v>-7.3041168658698162E-3</v>
      </c>
      <c r="AE1284">
        <f>W1284-mu-theta*AE1283</f>
        <v>-8.0291778441021686E-3</v>
      </c>
      <c r="AF1284">
        <f t="shared" si="119"/>
        <v>-6.3276861573143914E-3</v>
      </c>
      <c r="AG1284">
        <f t="shared" si="119"/>
        <v>2.8444568771287377E-4</v>
      </c>
      <c r="AK1284">
        <f t="shared" si="118"/>
        <v>6.4467696852221141E-5</v>
      </c>
    </row>
    <row r="1285" spans="1:37" x14ac:dyDescent="0.3">
      <c r="A1285" s="1">
        <v>45723</v>
      </c>
      <c r="B1285">
        <v>1.0831999999999999</v>
      </c>
      <c r="C1285">
        <v>1.292</v>
      </c>
      <c r="D1285">
        <v>148.03</v>
      </c>
      <c r="G1285">
        <v>1.0831999999999999</v>
      </c>
      <c r="H1285">
        <f t="shared" si="115"/>
        <v>1.0783</v>
      </c>
      <c r="I1285">
        <f t="shared" si="115"/>
        <v>1.079</v>
      </c>
      <c r="J1285">
        <f t="shared" si="115"/>
        <v>1.0624</v>
      </c>
      <c r="L1285">
        <f t="shared" si="114"/>
        <v>4.8999999999999044E-3</v>
      </c>
      <c r="W1285">
        <f t="shared" si="116"/>
        <v>5.407232173032275E-4</v>
      </c>
      <c r="X1285">
        <f t="shared" si="117"/>
        <v>-6.2466415905427647E-3</v>
      </c>
      <c r="Y1285">
        <f t="shared" si="117"/>
        <v>-6.1415220293726024E-3</v>
      </c>
      <c r="Z1285">
        <f t="shared" si="117"/>
        <v>2.0066889632107785E-3</v>
      </c>
      <c r="AE1285">
        <f>W1285-mu-theta*AE1284</f>
        <v>-1.6526054953933701E-3</v>
      </c>
      <c r="AF1285">
        <f t="shared" si="119"/>
        <v>-8.0291778441021686E-3</v>
      </c>
      <c r="AG1285">
        <f t="shared" si="119"/>
        <v>-6.3276861573143914E-3</v>
      </c>
      <c r="AK1285">
        <f t="shared" si="118"/>
        <v>2.7311049234043661E-6</v>
      </c>
    </row>
    <row r="1286" spans="1:37" x14ac:dyDescent="0.3">
      <c r="A1286" s="1">
        <v>45726</v>
      </c>
      <c r="B1286">
        <v>1.0831999999999999</v>
      </c>
      <c r="C1286">
        <v>1.2874000000000001</v>
      </c>
      <c r="D1286">
        <v>147.26</v>
      </c>
      <c r="G1286">
        <v>1.0831999999999999</v>
      </c>
      <c r="H1286">
        <f t="shared" si="115"/>
        <v>1.0831999999999999</v>
      </c>
      <c r="I1286">
        <f t="shared" si="115"/>
        <v>1.0783</v>
      </c>
      <c r="J1286">
        <f t="shared" si="115"/>
        <v>1.079</v>
      </c>
      <c r="L1286">
        <f t="shared" ref="L1286:L1349" si="120">G1286-H1286</f>
        <v>0</v>
      </c>
      <c r="W1286">
        <f t="shared" si="116"/>
        <v>-5.2016483145309071E-3</v>
      </c>
      <c r="X1286">
        <f t="shared" si="117"/>
        <v>5.407232173032275E-4</v>
      </c>
      <c r="Y1286">
        <f t="shared" si="117"/>
        <v>-6.2466415905427647E-3</v>
      </c>
      <c r="Z1286">
        <f t="shared" si="117"/>
        <v>-6.1415220293726024E-3</v>
      </c>
      <c r="AE1286">
        <f>W1286-mu-theta*AE1285</f>
        <v>-5.8554762137163078E-3</v>
      </c>
      <c r="AF1286">
        <f t="shared" si="119"/>
        <v>-1.6526054953933701E-3</v>
      </c>
      <c r="AG1286">
        <f t="shared" si="119"/>
        <v>-8.0291778441021686E-3</v>
      </c>
      <c r="AK1286">
        <f t="shared" si="118"/>
        <v>3.4286601689397467E-5</v>
      </c>
    </row>
    <row r="1287" spans="1:37" x14ac:dyDescent="0.3">
      <c r="A1287" s="1">
        <v>45727</v>
      </c>
      <c r="B1287">
        <v>1.0918000000000001</v>
      </c>
      <c r="C1287">
        <v>1.2946</v>
      </c>
      <c r="D1287">
        <v>147.77000000000001</v>
      </c>
      <c r="G1287">
        <v>1.0918000000000001</v>
      </c>
      <c r="H1287">
        <f t="shared" ref="H1287:J1350" si="121">G1286</f>
        <v>1.0831999999999999</v>
      </c>
      <c r="I1287">
        <f t="shared" si="121"/>
        <v>1.0831999999999999</v>
      </c>
      <c r="J1287">
        <f t="shared" si="121"/>
        <v>1.0783</v>
      </c>
      <c r="L1287">
        <f t="shared" si="120"/>
        <v>8.6000000000001631E-3</v>
      </c>
      <c r="W1287">
        <f t="shared" ref="W1287:W1350" si="122">(D1287-D1286)/D1286</f>
        <v>3.4632622572322381E-3</v>
      </c>
      <c r="X1287">
        <f t="shared" si="117"/>
        <v>-5.2016483145309071E-3</v>
      </c>
      <c r="Y1287">
        <f t="shared" si="117"/>
        <v>5.407232173032275E-4</v>
      </c>
      <c r="Z1287">
        <f t="shared" si="117"/>
        <v>-6.2466415905427647E-3</v>
      </c>
      <c r="AE1287">
        <f>W1287-mu-theta*AE1286</f>
        <v>1.7947320170233348E-3</v>
      </c>
      <c r="AF1287">
        <f t="shared" si="119"/>
        <v>-5.8554762137163078E-3</v>
      </c>
      <c r="AG1287">
        <f t="shared" si="119"/>
        <v>-1.6526054953933701E-3</v>
      </c>
      <c r="AK1287">
        <f t="shared" si="118"/>
        <v>3.221063012928648E-6</v>
      </c>
    </row>
    <row r="1288" spans="1:37" x14ac:dyDescent="0.3">
      <c r="A1288" s="1">
        <v>45728</v>
      </c>
      <c r="B1288">
        <v>1.0886</v>
      </c>
      <c r="C1288">
        <v>1.296</v>
      </c>
      <c r="D1288">
        <v>148.25</v>
      </c>
      <c r="G1288">
        <v>1.0886</v>
      </c>
      <c r="H1288">
        <f t="shared" si="121"/>
        <v>1.0918000000000001</v>
      </c>
      <c r="I1288">
        <f t="shared" si="121"/>
        <v>1.0831999999999999</v>
      </c>
      <c r="J1288">
        <f t="shared" si="121"/>
        <v>1.0831999999999999</v>
      </c>
      <c r="L1288">
        <f t="shared" si="120"/>
        <v>-3.2000000000000917E-3</v>
      </c>
      <c r="W1288">
        <f t="shared" si="122"/>
        <v>3.2482912634498864E-3</v>
      </c>
      <c r="X1288">
        <f t="shared" ref="X1288:Z1351" si="123">W1287</f>
        <v>3.4632622572322381E-3</v>
      </c>
      <c r="Y1288">
        <f t="shared" si="123"/>
        <v>-5.2016483145309071E-3</v>
      </c>
      <c r="Z1288">
        <f t="shared" si="123"/>
        <v>5.407232173032275E-4</v>
      </c>
      <c r="AE1288">
        <f>W1288-mu-theta*AE1287</f>
        <v>3.4267567367199624E-3</v>
      </c>
      <c r="AF1288">
        <f t="shared" si="119"/>
        <v>1.7947320170233348E-3</v>
      </c>
      <c r="AG1288">
        <f t="shared" si="119"/>
        <v>-5.8554762137163078E-3</v>
      </c>
      <c r="AK1288">
        <f t="shared" ref="AK1288:AK1351" si="124">POWER(AE1288,2)</f>
        <v>1.1742661732655646E-5</v>
      </c>
    </row>
    <row r="1289" spans="1:37" x14ac:dyDescent="0.3">
      <c r="A1289" s="1">
        <v>45729</v>
      </c>
      <c r="B1289">
        <v>1.0851999999999999</v>
      </c>
      <c r="C1289">
        <v>1.2946</v>
      </c>
      <c r="D1289">
        <v>147.81</v>
      </c>
      <c r="G1289">
        <v>1.0851999999999999</v>
      </c>
      <c r="H1289">
        <f t="shared" si="121"/>
        <v>1.0886</v>
      </c>
      <c r="I1289">
        <f t="shared" si="121"/>
        <v>1.0918000000000001</v>
      </c>
      <c r="J1289">
        <f t="shared" si="121"/>
        <v>1.0831999999999999</v>
      </c>
      <c r="L1289">
        <f t="shared" si="120"/>
        <v>-3.4000000000000696E-3</v>
      </c>
      <c r="W1289">
        <f t="shared" si="122"/>
        <v>-2.9679595278246053E-3</v>
      </c>
      <c r="X1289">
        <f t="shared" si="123"/>
        <v>3.2482912634498864E-3</v>
      </c>
      <c r="Y1289">
        <f t="shared" si="123"/>
        <v>3.4632622572322381E-3</v>
      </c>
      <c r="Z1289">
        <f t="shared" si="123"/>
        <v>-5.2016483145309071E-3</v>
      </c>
      <c r="AE1289">
        <f>W1289-mu-theta*AE1288</f>
        <v>-2.3954730592227504E-3</v>
      </c>
      <c r="AF1289">
        <f t="shared" ref="AF1289:AG1352" si="125">AE1288</f>
        <v>3.4267567367199624E-3</v>
      </c>
      <c r="AG1289">
        <f t="shared" si="125"/>
        <v>1.7947320170233348E-3</v>
      </c>
      <c r="AK1289">
        <f t="shared" si="124"/>
        <v>5.7382911774620025E-6</v>
      </c>
    </row>
    <row r="1290" spans="1:37" x14ac:dyDescent="0.3">
      <c r="A1290" s="1">
        <v>45730</v>
      </c>
      <c r="B1290">
        <v>1.0879000000000001</v>
      </c>
      <c r="C1290">
        <v>1.2931999999999999</v>
      </c>
      <c r="D1290">
        <v>148.62</v>
      </c>
      <c r="G1290">
        <v>1.0879000000000001</v>
      </c>
      <c r="H1290">
        <f t="shared" si="121"/>
        <v>1.0851999999999999</v>
      </c>
      <c r="I1290">
        <f t="shared" si="121"/>
        <v>1.0886</v>
      </c>
      <c r="J1290">
        <f t="shared" si="121"/>
        <v>1.0918000000000001</v>
      </c>
      <c r="L1290">
        <f t="shared" si="120"/>
        <v>2.7000000000001467E-3</v>
      </c>
      <c r="W1290">
        <f t="shared" si="122"/>
        <v>5.480008118530561E-3</v>
      </c>
      <c r="X1290">
        <f t="shared" si="123"/>
        <v>-2.9679595278246053E-3</v>
      </c>
      <c r="Y1290">
        <f t="shared" si="123"/>
        <v>3.2482912634498864E-3</v>
      </c>
      <c r="Z1290">
        <f t="shared" si="123"/>
        <v>3.4632622572322381E-3</v>
      </c>
      <c r="AE1290">
        <f>W1290-mu-theta*AE1289</f>
        <v>4.6468291265785288E-3</v>
      </c>
      <c r="AF1290">
        <f t="shared" si="125"/>
        <v>-2.3954730592227504E-3</v>
      </c>
      <c r="AG1290">
        <f t="shared" si="125"/>
        <v>3.4267567367199624E-3</v>
      </c>
      <c r="AK1290">
        <f t="shared" si="124"/>
        <v>2.1593020931618572E-5</v>
      </c>
    </row>
    <row r="1291" spans="1:37" x14ac:dyDescent="0.3">
      <c r="A1291" s="1">
        <v>45733</v>
      </c>
      <c r="B1291">
        <v>1.0921000000000001</v>
      </c>
      <c r="C1291">
        <v>1.2990999999999999</v>
      </c>
      <c r="D1291">
        <v>149.21</v>
      </c>
      <c r="G1291">
        <v>1.0921000000000001</v>
      </c>
      <c r="H1291">
        <f t="shared" si="121"/>
        <v>1.0879000000000001</v>
      </c>
      <c r="I1291">
        <f t="shared" si="121"/>
        <v>1.0851999999999999</v>
      </c>
      <c r="J1291">
        <f t="shared" si="121"/>
        <v>1.0886</v>
      </c>
      <c r="L1291">
        <f t="shared" si="120"/>
        <v>4.1999999999999815E-3</v>
      </c>
      <c r="W1291">
        <f t="shared" si="122"/>
        <v>3.9698560086125914E-3</v>
      </c>
      <c r="X1291">
        <f t="shared" si="123"/>
        <v>5.480008118530561E-3</v>
      </c>
      <c r="Y1291">
        <f t="shared" si="123"/>
        <v>-2.9679595278246053E-3</v>
      </c>
      <c r="Z1291">
        <f t="shared" si="123"/>
        <v>3.2482912634498864E-3</v>
      </c>
      <c r="AE1291">
        <f>W1291-mu-theta*AE1290</f>
        <v>4.8369055016754103E-3</v>
      </c>
      <c r="AF1291">
        <f t="shared" si="125"/>
        <v>4.6468291265785288E-3</v>
      </c>
      <c r="AG1291">
        <f t="shared" si="125"/>
        <v>-2.3954730592227504E-3</v>
      </c>
      <c r="AK1291">
        <f t="shared" si="124"/>
        <v>2.3395654832137854E-5</v>
      </c>
    </row>
    <row r="1292" spans="1:37" x14ac:dyDescent="0.3">
      <c r="A1292" s="1">
        <v>45734</v>
      </c>
      <c r="B1292">
        <v>1.0943000000000001</v>
      </c>
      <c r="C1292">
        <v>1.3</v>
      </c>
      <c r="D1292">
        <v>149.26</v>
      </c>
      <c r="G1292">
        <v>1.0943000000000001</v>
      </c>
      <c r="H1292">
        <f t="shared" si="121"/>
        <v>1.0921000000000001</v>
      </c>
      <c r="I1292">
        <f t="shared" si="121"/>
        <v>1.0879000000000001</v>
      </c>
      <c r="J1292">
        <f t="shared" si="121"/>
        <v>1.0851999999999999</v>
      </c>
      <c r="L1292">
        <f t="shared" si="120"/>
        <v>2.1999999999999797E-3</v>
      </c>
      <c r="W1292">
        <f t="shared" si="122"/>
        <v>3.3509818376772969E-4</v>
      </c>
      <c r="X1292">
        <f t="shared" si="123"/>
        <v>3.9698560086125914E-3</v>
      </c>
      <c r="Y1292">
        <f t="shared" si="123"/>
        <v>5.480008118530561E-3</v>
      </c>
      <c r="Z1292">
        <f t="shared" si="123"/>
        <v>-2.9679595278246053E-3</v>
      </c>
      <c r="AE1292">
        <f>W1292-mu-theta*AE1291</f>
        <v>1.2480379636631226E-3</v>
      </c>
      <c r="AF1292">
        <f t="shared" si="125"/>
        <v>4.8369055016754103E-3</v>
      </c>
      <c r="AG1292">
        <f t="shared" si="125"/>
        <v>4.6468291265785288E-3</v>
      </c>
      <c r="AK1292">
        <f t="shared" si="124"/>
        <v>1.5575987587443938E-6</v>
      </c>
    </row>
    <row r="1293" spans="1:37" x14ac:dyDescent="0.3">
      <c r="A1293" s="1">
        <v>45735</v>
      </c>
      <c r="B1293">
        <v>1.0901000000000001</v>
      </c>
      <c r="C1293">
        <v>1.3</v>
      </c>
      <c r="D1293">
        <v>148.68</v>
      </c>
      <c r="G1293">
        <v>1.0901000000000001</v>
      </c>
      <c r="H1293">
        <f t="shared" si="121"/>
        <v>1.0943000000000001</v>
      </c>
      <c r="I1293">
        <f t="shared" si="121"/>
        <v>1.0921000000000001</v>
      </c>
      <c r="J1293">
        <f t="shared" si="121"/>
        <v>1.0879000000000001</v>
      </c>
      <c r="L1293">
        <f t="shared" si="120"/>
        <v>-4.1999999999999815E-3</v>
      </c>
      <c r="W1293">
        <f t="shared" si="122"/>
        <v>-3.8858367948545096E-3</v>
      </c>
      <c r="X1293">
        <f t="shared" si="123"/>
        <v>3.3509818376772969E-4</v>
      </c>
      <c r="Y1293">
        <f t="shared" si="123"/>
        <v>3.9698560086125914E-3</v>
      </c>
      <c r="Z1293">
        <f t="shared" si="123"/>
        <v>5.480008118530561E-3</v>
      </c>
      <c r="AE1293">
        <f>W1293-mu-theta*AE1292</f>
        <v>-3.8393600913911785E-3</v>
      </c>
      <c r="AF1293">
        <f t="shared" si="125"/>
        <v>1.2480379636631226E-3</v>
      </c>
      <c r="AG1293">
        <f t="shared" si="125"/>
        <v>4.8369055016754103E-3</v>
      </c>
      <c r="AK1293">
        <f t="shared" si="124"/>
        <v>1.4740685911367278E-5</v>
      </c>
    </row>
    <row r="1294" spans="1:37" x14ac:dyDescent="0.3">
      <c r="A1294" s="1">
        <v>45736</v>
      </c>
      <c r="B1294">
        <v>1.0851</v>
      </c>
      <c r="C1294">
        <v>1.2963</v>
      </c>
      <c r="D1294">
        <v>148.78</v>
      </c>
      <c r="G1294">
        <v>1.0851</v>
      </c>
      <c r="H1294">
        <f t="shared" si="121"/>
        <v>1.0901000000000001</v>
      </c>
      <c r="I1294">
        <f t="shared" si="121"/>
        <v>1.0943000000000001</v>
      </c>
      <c r="J1294">
        <f t="shared" si="121"/>
        <v>1.0921000000000001</v>
      </c>
      <c r="L1294">
        <f t="shared" si="120"/>
        <v>-5.0000000000001155E-3</v>
      </c>
      <c r="W1294">
        <f t="shared" si="122"/>
        <v>6.7258541834809191E-4</v>
      </c>
      <c r="X1294">
        <f t="shared" si="123"/>
        <v>-3.8858367948545096E-3</v>
      </c>
      <c r="Y1294">
        <f t="shared" si="123"/>
        <v>3.3509818376772969E-4</v>
      </c>
      <c r="Z1294">
        <f t="shared" si="123"/>
        <v>3.9698560086125914E-3</v>
      </c>
      <c r="AE1294">
        <f>W1294-mu-theta*AE1293</f>
        <v>-5.0919234094822939E-4</v>
      </c>
      <c r="AF1294">
        <f t="shared" si="125"/>
        <v>-3.8393600913911785E-3</v>
      </c>
      <c r="AG1294">
        <f t="shared" si="125"/>
        <v>1.2480379636631226E-3</v>
      </c>
      <c r="AK1294">
        <f t="shared" si="124"/>
        <v>2.592768400803379E-7</v>
      </c>
    </row>
    <row r="1295" spans="1:37" x14ac:dyDescent="0.3">
      <c r="A1295" s="1">
        <v>45737</v>
      </c>
      <c r="B1295">
        <v>1.0813999999999999</v>
      </c>
      <c r="C1295">
        <v>1.2918000000000001</v>
      </c>
      <c r="D1295">
        <v>149.31</v>
      </c>
      <c r="G1295">
        <v>1.0813999999999999</v>
      </c>
      <c r="H1295">
        <f t="shared" si="121"/>
        <v>1.0851</v>
      </c>
      <c r="I1295">
        <f t="shared" si="121"/>
        <v>1.0901000000000001</v>
      </c>
      <c r="J1295">
        <f t="shared" si="121"/>
        <v>1.0943000000000001</v>
      </c>
      <c r="L1295">
        <f t="shared" si="120"/>
        <v>-3.7000000000000366E-3</v>
      </c>
      <c r="W1295">
        <f t="shared" si="122"/>
        <v>3.5623067616615211E-3</v>
      </c>
      <c r="X1295">
        <f t="shared" si="123"/>
        <v>6.7258541834809191E-4</v>
      </c>
      <c r="Y1295">
        <f t="shared" si="123"/>
        <v>-3.8858367948545096E-3</v>
      </c>
      <c r="Z1295">
        <f t="shared" si="123"/>
        <v>3.3509818376772969E-4</v>
      </c>
      <c r="AE1295">
        <f>W1295-mu-theta*AE1294</f>
        <v>3.1845339882058772E-3</v>
      </c>
      <c r="AF1295">
        <f t="shared" si="125"/>
        <v>-5.0919234094822939E-4</v>
      </c>
      <c r="AG1295">
        <f t="shared" si="125"/>
        <v>-3.8393600913911785E-3</v>
      </c>
      <c r="AK1295">
        <f t="shared" si="124"/>
        <v>1.014125672203843E-5</v>
      </c>
    </row>
    <row r="1296" spans="1:37" x14ac:dyDescent="0.3">
      <c r="A1296" s="1">
        <v>45740</v>
      </c>
      <c r="B1296">
        <v>1.08</v>
      </c>
      <c r="C1296">
        <v>1.2919</v>
      </c>
      <c r="D1296">
        <v>150.69</v>
      </c>
      <c r="G1296">
        <v>1.08</v>
      </c>
      <c r="H1296">
        <f t="shared" si="121"/>
        <v>1.0813999999999999</v>
      </c>
      <c r="I1296">
        <f t="shared" si="121"/>
        <v>1.0851</v>
      </c>
      <c r="J1296">
        <f t="shared" si="121"/>
        <v>1.0901000000000001</v>
      </c>
      <c r="L1296">
        <f t="shared" si="120"/>
        <v>-1.3999999999998458E-3</v>
      </c>
      <c r="W1296">
        <f t="shared" si="122"/>
        <v>9.2425155716294657E-3</v>
      </c>
      <c r="X1296">
        <f t="shared" si="123"/>
        <v>3.5623067616615211E-3</v>
      </c>
      <c r="Y1296">
        <f t="shared" si="123"/>
        <v>6.7258541834809191E-4</v>
      </c>
      <c r="Z1296">
        <f t="shared" si="123"/>
        <v>-3.8858367948545096E-3</v>
      </c>
      <c r="AE1296">
        <f>W1296-mu-theta*AE1295</f>
        <v>9.7565220139733486E-3</v>
      </c>
      <c r="AF1296">
        <f t="shared" si="125"/>
        <v>3.1845339882058772E-3</v>
      </c>
      <c r="AG1296">
        <f t="shared" si="125"/>
        <v>-5.0919234094822939E-4</v>
      </c>
      <c r="AK1296">
        <f t="shared" si="124"/>
        <v>9.5189721809146565E-5</v>
      </c>
    </row>
    <row r="1297" spans="1:37" x14ac:dyDescent="0.3">
      <c r="A1297" s="1">
        <v>45741</v>
      </c>
      <c r="B1297">
        <v>1.0790999999999999</v>
      </c>
      <c r="C1297">
        <v>1.2943</v>
      </c>
      <c r="D1297">
        <v>149.9</v>
      </c>
      <c r="G1297">
        <v>1.0790999999999999</v>
      </c>
      <c r="H1297">
        <f t="shared" si="121"/>
        <v>1.08</v>
      </c>
      <c r="I1297">
        <f t="shared" si="121"/>
        <v>1.0813999999999999</v>
      </c>
      <c r="J1297">
        <f t="shared" si="121"/>
        <v>1.0851</v>
      </c>
      <c r="L1297">
        <f t="shared" si="120"/>
        <v>-9.0000000000012292E-4</v>
      </c>
      <c r="W1297">
        <f t="shared" si="122"/>
        <v>-5.2425509323776763E-3</v>
      </c>
      <c r="X1297">
        <f t="shared" si="123"/>
        <v>9.2425155716294657E-3</v>
      </c>
      <c r="Y1297">
        <f t="shared" si="123"/>
        <v>3.5623067616615211E-3</v>
      </c>
      <c r="Z1297">
        <f t="shared" si="123"/>
        <v>6.7258541834809191E-4</v>
      </c>
      <c r="AE1297">
        <f>W1297-mu-theta*AE1296</f>
        <v>-3.1418643178714573E-3</v>
      </c>
      <c r="AF1297">
        <f t="shared" si="125"/>
        <v>9.7565220139733486E-3</v>
      </c>
      <c r="AG1297">
        <f t="shared" si="125"/>
        <v>3.1845339882058772E-3</v>
      </c>
      <c r="AK1297">
        <f t="shared" si="124"/>
        <v>9.8713113919138776E-6</v>
      </c>
    </row>
    <row r="1298" spans="1:37" x14ac:dyDescent="0.3">
      <c r="A1298" s="1">
        <v>45742</v>
      </c>
      <c r="B1298">
        <v>1.0751999999999999</v>
      </c>
      <c r="C1298">
        <v>1.2885</v>
      </c>
      <c r="D1298">
        <v>150.58000000000001</v>
      </c>
      <c r="G1298">
        <v>1.0751999999999999</v>
      </c>
      <c r="H1298">
        <f t="shared" si="121"/>
        <v>1.0790999999999999</v>
      </c>
      <c r="I1298">
        <f t="shared" si="121"/>
        <v>1.08</v>
      </c>
      <c r="J1298">
        <f t="shared" si="121"/>
        <v>1.0813999999999999</v>
      </c>
      <c r="L1298">
        <f t="shared" si="120"/>
        <v>-3.9000000000000146E-3</v>
      </c>
      <c r="W1298">
        <f t="shared" si="122"/>
        <v>4.5363575717145216E-3</v>
      </c>
      <c r="X1298">
        <f t="shared" si="123"/>
        <v>-5.2425509323776763E-3</v>
      </c>
      <c r="Y1298">
        <f t="shared" si="123"/>
        <v>9.2425155716294657E-3</v>
      </c>
      <c r="Z1298">
        <f t="shared" si="123"/>
        <v>3.5623067616615211E-3</v>
      </c>
      <c r="AE1298">
        <f>W1298-mu-theta*AE1297</f>
        <v>3.5229767586195033E-3</v>
      </c>
      <c r="AF1298">
        <f t="shared" si="125"/>
        <v>-3.1418643178714573E-3</v>
      </c>
      <c r="AG1298">
        <f t="shared" si="125"/>
        <v>9.7565220139733486E-3</v>
      </c>
      <c r="AK1298">
        <f t="shared" si="124"/>
        <v>1.2411365241773182E-5</v>
      </c>
    </row>
    <row r="1299" spans="1:37" x14ac:dyDescent="0.3">
      <c r="A1299" s="1">
        <v>45743</v>
      </c>
      <c r="B1299">
        <v>1.0801000000000001</v>
      </c>
      <c r="C1299">
        <v>1.2945</v>
      </c>
      <c r="D1299">
        <v>151.05000000000001</v>
      </c>
      <c r="G1299">
        <v>1.0801000000000001</v>
      </c>
      <c r="H1299">
        <f t="shared" si="121"/>
        <v>1.0751999999999999</v>
      </c>
      <c r="I1299">
        <f t="shared" si="121"/>
        <v>1.0790999999999999</v>
      </c>
      <c r="J1299">
        <f t="shared" si="121"/>
        <v>1.08</v>
      </c>
      <c r="L1299">
        <f t="shared" si="120"/>
        <v>4.9000000000001265E-3</v>
      </c>
      <c r="W1299">
        <f t="shared" si="122"/>
        <v>3.1212644441492815E-3</v>
      </c>
      <c r="X1299">
        <f t="shared" si="123"/>
        <v>4.5363575717145216E-3</v>
      </c>
      <c r="Y1299">
        <f t="shared" si="123"/>
        <v>-5.2425509323776763E-3</v>
      </c>
      <c r="Z1299">
        <f t="shared" si="123"/>
        <v>9.2425155716294657E-3</v>
      </c>
      <c r="AE1299">
        <f>W1299-mu-theta*AE1298</f>
        <v>3.7169813873524958E-3</v>
      </c>
      <c r="AF1299">
        <f t="shared" si="125"/>
        <v>3.5229767586195033E-3</v>
      </c>
      <c r="AG1299">
        <f t="shared" si="125"/>
        <v>-3.1418643178714573E-3</v>
      </c>
      <c r="AK1299">
        <f t="shared" si="124"/>
        <v>1.3815950633924885E-5</v>
      </c>
    </row>
    <row r="1300" spans="1:37" x14ac:dyDescent="0.3">
      <c r="A1300" s="1">
        <v>45744</v>
      </c>
      <c r="B1300">
        <v>1.0827</v>
      </c>
      <c r="C1300">
        <v>1.2938000000000001</v>
      </c>
      <c r="D1300">
        <v>149.81</v>
      </c>
      <c r="G1300">
        <v>1.0827</v>
      </c>
      <c r="H1300">
        <f t="shared" si="121"/>
        <v>1.0801000000000001</v>
      </c>
      <c r="I1300">
        <f t="shared" si="121"/>
        <v>1.0751999999999999</v>
      </c>
      <c r="J1300">
        <f t="shared" si="121"/>
        <v>1.0790999999999999</v>
      </c>
      <c r="L1300">
        <f t="shared" si="120"/>
        <v>2.5999999999999357E-3</v>
      </c>
      <c r="W1300">
        <f t="shared" si="122"/>
        <v>-8.2092022509103538E-3</v>
      </c>
      <c r="X1300">
        <f t="shared" si="123"/>
        <v>3.1212644441492815E-3</v>
      </c>
      <c r="Y1300">
        <f t="shared" si="123"/>
        <v>4.5363575717145216E-3</v>
      </c>
      <c r="Z1300">
        <f t="shared" si="123"/>
        <v>-5.2425509323776763E-3</v>
      </c>
      <c r="AE1300">
        <f>W1300-mu-theta*AE1299</f>
        <v>-7.566646619548938E-3</v>
      </c>
      <c r="AF1300">
        <f t="shared" si="125"/>
        <v>3.7169813873524958E-3</v>
      </c>
      <c r="AG1300">
        <f t="shared" si="125"/>
        <v>3.5229767586195033E-3</v>
      </c>
      <c r="AK1300">
        <f t="shared" si="124"/>
        <v>5.7254141065131369E-5</v>
      </c>
    </row>
    <row r="1301" spans="1:37" x14ac:dyDescent="0.3">
      <c r="A1301" s="1">
        <v>45747</v>
      </c>
      <c r="B1301">
        <v>1.0817000000000001</v>
      </c>
      <c r="C1301">
        <v>1.2918000000000001</v>
      </c>
      <c r="D1301">
        <v>149.94999999999999</v>
      </c>
      <c r="G1301">
        <v>1.0817000000000001</v>
      </c>
      <c r="H1301">
        <f t="shared" si="121"/>
        <v>1.0827</v>
      </c>
      <c r="I1301">
        <f t="shared" si="121"/>
        <v>1.0801000000000001</v>
      </c>
      <c r="J1301">
        <f t="shared" si="121"/>
        <v>1.0751999999999999</v>
      </c>
      <c r="L1301">
        <f t="shared" si="120"/>
        <v>-9.9999999999988987E-4</v>
      </c>
      <c r="W1301">
        <f t="shared" si="122"/>
        <v>9.3451705493616147E-4</v>
      </c>
      <c r="X1301">
        <f t="shared" si="123"/>
        <v>-8.2092022509103538E-3</v>
      </c>
      <c r="Y1301">
        <f t="shared" si="123"/>
        <v>3.1212644441492815E-3</v>
      </c>
      <c r="Z1301">
        <f t="shared" si="123"/>
        <v>4.5363575717145216E-3</v>
      </c>
      <c r="AE1301">
        <f>W1301-mu-theta*AE1300</f>
        <v>-1.1471423850643904E-3</v>
      </c>
      <c r="AF1301">
        <f t="shared" si="125"/>
        <v>-7.566646619548938E-3</v>
      </c>
      <c r="AG1301">
        <f t="shared" si="125"/>
        <v>3.7169813873524958E-3</v>
      </c>
      <c r="AK1301">
        <f t="shared" si="124"/>
        <v>1.3159356516112181E-6</v>
      </c>
    </row>
    <row r="1302" spans="1:37" x14ac:dyDescent="0.3">
      <c r="A1302" s="1">
        <v>45748</v>
      </c>
      <c r="B1302">
        <v>1.0792999999999999</v>
      </c>
      <c r="C1302">
        <v>1.2919</v>
      </c>
      <c r="D1302">
        <v>149.61000000000001</v>
      </c>
      <c r="G1302">
        <v>1.0792999999999999</v>
      </c>
      <c r="H1302">
        <f t="shared" si="121"/>
        <v>1.0817000000000001</v>
      </c>
      <c r="I1302">
        <f t="shared" si="121"/>
        <v>1.0827</v>
      </c>
      <c r="J1302">
        <f t="shared" si="121"/>
        <v>1.0801000000000001</v>
      </c>
      <c r="L1302">
        <f t="shared" si="120"/>
        <v>-2.4000000000001798E-3</v>
      </c>
      <c r="W1302">
        <f t="shared" si="122"/>
        <v>-2.267422474157886E-3</v>
      </c>
      <c r="X1302">
        <f t="shared" si="123"/>
        <v>9.3451705493616147E-4</v>
      </c>
      <c r="Y1302">
        <f t="shared" si="123"/>
        <v>-8.2092022509103538E-3</v>
      </c>
      <c r="Z1302">
        <f t="shared" si="123"/>
        <v>3.1212644441492815E-3</v>
      </c>
      <c r="AE1302">
        <f>W1302-mu-theta*AE1301</f>
        <v>-2.7992160221281021E-3</v>
      </c>
      <c r="AF1302">
        <f t="shared" si="125"/>
        <v>-1.1471423850643904E-3</v>
      </c>
      <c r="AG1302">
        <f t="shared" si="125"/>
        <v>-7.566646619548938E-3</v>
      </c>
      <c r="AK1302">
        <f t="shared" si="124"/>
        <v>7.8356103385386749E-6</v>
      </c>
    </row>
    <row r="1303" spans="1:37" x14ac:dyDescent="0.3">
      <c r="A1303" s="1">
        <v>45749</v>
      </c>
      <c r="B1303">
        <v>1.0854999999999999</v>
      </c>
      <c r="C1303">
        <v>1.3005</v>
      </c>
      <c r="D1303">
        <v>149.24</v>
      </c>
      <c r="G1303">
        <v>1.0854999999999999</v>
      </c>
      <c r="H1303">
        <f t="shared" si="121"/>
        <v>1.0792999999999999</v>
      </c>
      <c r="I1303">
        <f t="shared" si="121"/>
        <v>1.0817000000000001</v>
      </c>
      <c r="J1303">
        <f t="shared" si="121"/>
        <v>1.0827</v>
      </c>
      <c r="L1303">
        <f t="shared" si="120"/>
        <v>6.1999999999999833E-3</v>
      </c>
      <c r="W1303">
        <f t="shared" si="122"/>
        <v>-2.4730967181338446E-3</v>
      </c>
      <c r="X1303">
        <f t="shared" si="123"/>
        <v>-2.267422474157886E-3</v>
      </c>
      <c r="Y1303">
        <f t="shared" si="123"/>
        <v>9.3451705493616147E-4</v>
      </c>
      <c r="Z1303">
        <f t="shared" si="123"/>
        <v>-8.2092022509103538E-3</v>
      </c>
      <c r="AE1303">
        <f>W1303-mu-theta*AE1302</f>
        <v>-3.4037516871236145E-3</v>
      </c>
      <c r="AF1303">
        <f t="shared" si="125"/>
        <v>-2.7992160221281021E-3</v>
      </c>
      <c r="AG1303">
        <f t="shared" si="125"/>
        <v>-1.1471423850643904E-3</v>
      </c>
      <c r="AK1303">
        <f t="shared" si="124"/>
        <v>1.1585525547596852E-5</v>
      </c>
    </row>
    <row r="1304" spans="1:37" x14ac:dyDescent="0.3">
      <c r="A1304" s="1">
        <v>45750</v>
      </c>
      <c r="B1304">
        <v>1.105</v>
      </c>
      <c r="C1304">
        <v>1.3096000000000001</v>
      </c>
      <c r="D1304">
        <v>146.06</v>
      </c>
      <c r="G1304">
        <v>1.105</v>
      </c>
      <c r="H1304">
        <f t="shared" si="121"/>
        <v>1.0854999999999999</v>
      </c>
      <c r="I1304">
        <f t="shared" si="121"/>
        <v>1.0792999999999999</v>
      </c>
      <c r="J1304">
        <f t="shared" si="121"/>
        <v>1.0817000000000001</v>
      </c>
      <c r="L1304">
        <f t="shared" si="120"/>
        <v>1.9500000000000073E-2</v>
      </c>
      <c r="W1304">
        <f t="shared" si="122"/>
        <v>-2.130796033235062E-2</v>
      </c>
      <c r="X1304">
        <f t="shared" si="123"/>
        <v>-2.4730967181338446E-3</v>
      </c>
      <c r="Y1304">
        <f t="shared" si="123"/>
        <v>-2.267422474157886E-3</v>
      </c>
      <c r="Z1304">
        <f t="shared" si="123"/>
        <v>9.3451705493616147E-4</v>
      </c>
      <c r="AE1304">
        <f>W1304-mu-theta*AE1303</f>
        <v>-2.2384568816357839E-2</v>
      </c>
      <c r="AF1304">
        <f t="shared" si="125"/>
        <v>-3.4037516871236145E-3</v>
      </c>
      <c r="AG1304">
        <f t="shared" si="125"/>
        <v>-2.7992160221281021E-3</v>
      </c>
      <c r="AK1304">
        <f t="shared" si="124"/>
        <v>5.0106892109425981E-4</v>
      </c>
    </row>
    <row r="1305" spans="1:37" x14ac:dyDescent="0.3">
      <c r="A1305" s="1">
        <v>45751</v>
      </c>
      <c r="B1305">
        <v>1.0954999999999999</v>
      </c>
      <c r="C1305">
        <v>1.2889999999999999</v>
      </c>
      <c r="D1305">
        <v>146.9</v>
      </c>
      <c r="G1305">
        <v>1.0954999999999999</v>
      </c>
      <c r="H1305">
        <f t="shared" si="121"/>
        <v>1.105</v>
      </c>
      <c r="I1305">
        <f t="shared" si="121"/>
        <v>1.0854999999999999</v>
      </c>
      <c r="J1305">
        <f t="shared" si="121"/>
        <v>1.0792999999999999</v>
      </c>
      <c r="L1305">
        <f t="shared" si="120"/>
        <v>-9.5000000000000639E-3</v>
      </c>
      <c r="W1305">
        <f t="shared" si="122"/>
        <v>5.7510612077228771E-3</v>
      </c>
      <c r="X1305">
        <f t="shared" si="123"/>
        <v>-2.130796033235062E-2</v>
      </c>
      <c r="Y1305">
        <f t="shared" si="123"/>
        <v>-2.4730967181338446E-3</v>
      </c>
      <c r="Z1305">
        <f t="shared" si="123"/>
        <v>-2.267422474157886E-3</v>
      </c>
      <c r="AE1305">
        <f>W1305-mu-theta*AE1304</f>
        <v>9.189930573705405E-5</v>
      </c>
      <c r="AF1305">
        <f t="shared" si="125"/>
        <v>-2.2384568816357839E-2</v>
      </c>
      <c r="AG1305">
        <f t="shared" si="125"/>
        <v>-3.4037516871236145E-3</v>
      </c>
      <c r="AK1305">
        <f t="shared" si="124"/>
        <v>8.4454823949525361E-9</v>
      </c>
    </row>
    <row r="1306" spans="1:37" x14ac:dyDescent="0.3">
      <c r="A1306" s="1">
        <v>45754</v>
      </c>
      <c r="B1306">
        <v>1.0904</v>
      </c>
      <c r="C1306">
        <v>1.2718</v>
      </c>
      <c r="D1306">
        <v>147.84</v>
      </c>
      <c r="G1306">
        <v>1.0904</v>
      </c>
      <c r="H1306">
        <f t="shared" si="121"/>
        <v>1.0954999999999999</v>
      </c>
      <c r="I1306">
        <f t="shared" si="121"/>
        <v>1.105</v>
      </c>
      <c r="J1306">
        <f t="shared" si="121"/>
        <v>1.0854999999999999</v>
      </c>
      <c r="L1306">
        <f t="shared" si="120"/>
        <v>-5.0999999999998824E-3</v>
      </c>
      <c r="W1306">
        <f t="shared" si="122"/>
        <v>6.3989108236895686E-3</v>
      </c>
      <c r="X1306">
        <f t="shared" si="123"/>
        <v>5.7510612077228771E-3</v>
      </c>
      <c r="Y1306">
        <f t="shared" si="123"/>
        <v>-2.130796033235062E-2</v>
      </c>
      <c r="Z1306">
        <f t="shared" si="123"/>
        <v>-2.4730967181338446E-3</v>
      </c>
      <c r="AE1306">
        <f>W1306-mu-theta*AE1305</f>
        <v>6.1662600732364809E-3</v>
      </c>
      <c r="AF1306">
        <f t="shared" si="125"/>
        <v>9.189930573705405E-5</v>
      </c>
      <c r="AG1306">
        <f t="shared" si="125"/>
        <v>-2.2384568816357839E-2</v>
      </c>
      <c r="AK1306">
        <f t="shared" si="124"/>
        <v>3.8022763290790372E-5</v>
      </c>
    </row>
    <row r="1307" spans="1:37" x14ac:dyDescent="0.3">
      <c r="A1307" s="1">
        <v>45755</v>
      </c>
      <c r="B1307">
        <v>1.0955999999999999</v>
      </c>
      <c r="C1307">
        <v>1.2765</v>
      </c>
      <c r="D1307">
        <v>146.28</v>
      </c>
      <c r="G1307">
        <v>1.0955999999999999</v>
      </c>
      <c r="H1307">
        <f t="shared" si="121"/>
        <v>1.0904</v>
      </c>
      <c r="I1307">
        <f t="shared" si="121"/>
        <v>1.0954999999999999</v>
      </c>
      <c r="J1307">
        <f t="shared" si="121"/>
        <v>1.105</v>
      </c>
      <c r="L1307">
        <f t="shared" si="120"/>
        <v>5.1999999999998714E-3</v>
      </c>
      <c r="W1307">
        <f t="shared" si="122"/>
        <v>-1.0551948051948068E-2</v>
      </c>
      <c r="X1307">
        <f t="shared" si="123"/>
        <v>6.3989108236895686E-3</v>
      </c>
      <c r="Y1307">
        <f t="shared" si="123"/>
        <v>5.7510612077228771E-3</v>
      </c>
      <c r="Z1307">
        <f t="shared" si="123"/>
        <v>-2.130796033235062E-2</v>
      </c>
      <c r="AE1307">
        <f>W1307-mu-theta*AE1306</f>
        <v>-9.3180611656064494E-3</v>
      </c>
      <c r="AF1307">
        <f t="shared" si="125"/>
        <v>6.1662600732364809E-3</v>
      </c>
      <c r="AG1307">
        <f t="shared" si="125"/>
        <v>9.189930573705405E-5</v>
      </c>
      <c r="AK1307">
        <f t="shared" si="124"/>
        <v>8.6826263885983023E-5</v>
      </c>
    </row>
    <row r="1308" spans="1:37" x14ac:dyDescent="0.3">
      <c r="A1308" s="1">
        <v>45756</v>
      </c>
      <c r="B1308">
        <v>1.095</v>
      </c>
      <c r="C1308">
        <v>1.2754000000000001</v>
      </c>
      <c r="D1308">
        <v>146.79</v>
      </c>
      <c r="G1308">
        <v>1.095</v>
      </c>
      <c r="H1308">
        <f t="shared" si="121"/>
        <v>1.0955999999999999</v>
      </c>
      <c r="I1308">
        <f t="shared" si="121"/>
        <v>1.0904</v>
      </c>
      <c r="J1308">
        <f t="shared" si="121"/>
        <v>1.0954999999999999</v>
      </c>
      <c r="L1308">
        <f t="shared" si="120"/>
        <v>-5.9999999999993392E-4</v>
      </c>
      <c r="W1308">
        <f t="shared" si="122"/>
        <v>3.4864643150122432E-3</v>
      </c>
      <c r="X1308">
        <f t="shared" si="123"/>
        <v>-1.0551948051948068E-2</v>
      </c>
      <c r="Y1308">
        <f t="shared" si="123"/>
        <v>6.3989108236895686E-3</v>
      </c>
      <c r="Z1308">
        <f t="shared" si="123"/>
        <v>5.7510612077228771E-3</v>
      </c>
      <c r="AE1308">
        <f>W1308-mu-theta*AE1307</f>
        <v>9.8195950119626474E-4</v>
      </c>
      <c r="AF1308">
        <f t="shared" si="125"/>
        <v>-9.3180611656064494E-3</v>
      </c>
      <c r="AG1308">
        <f t="shared" si="125"/>
        <v>6.1662600732364809E-3</v>
      </c>
      <c r="AK1308">
        <f t="shared" si="124"/>
        <v>9.6424446198961701E-7</v>
      </c>
    </row>
    <row r="1309" spans="1:37" x14ac:dyDescent="0.3">
      <c r="A1309" s="1">
        <v>45757</v>
      </c>
      <c r="B1309">
        <v>1.1201000000000001</v>
      </c>
      <c r="C1309">
        <v>1.2967</v>
      </c>
      <c r="D1309">
        <v>144.43</v>
      </c>
      <c r="G1309">
        <v>1.1201000000000001</v>
      </c>
      <c r="H1309">
        <f t="shared" si="121"/>
        <v>1.095</v>
      </c>
      <c r="I1309">
        <f t="shared" si="121"/>
        <v>1.0955999999999999</v>
      </c>
      <c r="J1309">
        <f t="shared" si="121"/>
        <v>1.0904</v>
      </c>
      <c r="L1309">
        <f t="shared" si="120"/>
        <v>2.5100000000000122E-2</v>
      </c>
      <c r="W1309">
        <f t="shared" si="122"/>
        <v>-1.6077389467947307E-2</v>
      </c>
      <c r="X1309">
        <f t="shared" si="123"/>
        <v>3.4864643150122432E-3</v>
      </c>
      <c r="Y1309">
        <f t="shared" si="123"/>
        <v>-1.0551948051948068E-2</v>
      </c>
      <c r="Z1309">
        <f t="shared" si="123"/>
        <v>6.3989108236895686E-3</v>
      </c>
      <c r="AE1309">
        <f>W1309-mu-theta*AE1308</f>
        <v>-1.6095152294285358E-2</v>
      </c>
      <c r="AF1309">
        <f t="shared" si="125"/>
        <v>9.8195950119626474E-4</v>
      </c>
      <c r="AG1309">
        <f t="shared" si="125"/>
        <v>-9.3180611656064494E-3</v>
      </c>
      <c r="AK1309">
        <f t="shared" si="124"/>
        <v>2.590539273762392E-4</v>
      </c>
    </row>
    <row r="1310" spans="1:37" x14ac:dyDescent="0.3">
      <c r="A1310" s="1">
        <v>45760</v>
      </c>
      <c r="B1310">
        <v>1.1335999999999999</v>
      </c>
      <c r="C1310">
        <v>1.3079000000000001</v>
      </c>
      <c r="D1310">
        <v>143.94999999999999</v>
      </c>
      <c r="G1310">
        <v>1.1335999999999999</v>
      </c>
      <c r="H1310">
        <f t="shared" si="121"/>
        <v>1.1201000000000001</v>
      </c>
      <c r="I1310">
        <f t="shared" si="121"/>
        <v>1.095</v>
      </c>
      <c r="J1310">
        <f t="shared" si="121"/>
        <v>1.0955999999999999</v>
      </c>
      <c r="L1310">
        <f t="shared" si="120"/>
        <v>1.3499999999999845E-2</v>
      </c>
      <c r="W1310">
        <f t="shared" si="122"/>
        <v>-3.3234092640034491E-3</v>
      </c>
      <c r="X1310">
        <f t="shared" si="123"/>
        <v>-1.6077389467947307E-2</v>
      </c>
      <c r="Y1310">
        <f t="shared" si="123"/>
        <v>3.4864643150122432E-3</v>
      </c>
      <c r="Z1310">
        <f t="shared" si="123"/>
        <v>-1.0551948051948068E-2</v>
      </c>
      <c r="AE1310">
        <f>W1310-mu-theta*AE1309</f>
        <v>-7.4641124513787523E-3</v>
      </c>
      <c r="AF1310">
        <f t="shared" si="125"/>
        <v>-1.6095152294285358E-2</v>
      </c>
      <c r="AG1310">
        <f t="shared" si="125"/>
        <v>9.8195950119626474E-4</v>
      </c>
      <c r="AK1310">
        <f t="shared" si="124"/>
        <v>5.5712974686827327E-5</v>
      </c>
    </row>
    <row r="1311" spans="1:37" x14ac:dyDescent="0.3">
      <c r="A1311" s="1">
        <v>45761</v>
      </c>
      <c r="B1311">
        <v>1.1349</v>
      </c>
      <c r="C1311">
        <v>1.3189</v>
      </c>
      <c r="D1311">
        <v>142.97999999999999</v>
      </c>
      <c r="G1311">
        <v>1.1349</v>
      </c>
      <c r="H1311">
        <f t="shared" si="121"/>
        <v>1.1335999999999999</v>
      </c>
      <c r="I1311">
        <f t="shared" si="121"/>
        <v>1.1201000000000001</v>
      </c>
      <c r="J1311">
        <f t="shared" si="121"/>
        <v>1.095</v>
      </c>
      <c r="L1311">
        <f t="shared" si="120"/>
        <v>1.3000000000000789E-3</v>
      </c>
      <c r="W1311">
        <f t="shared" si="122"/>
        <v>-6.73845085098992E-3</v>
      </c>
      <c r="X1311">
        <f t="shared" si="123"/>
        <v>-3.3234092640034491E-3</v>
      </c>
      <c r="Y1311">
        <f t="shared" si="123"/>
        <v>-1.6077389467947307E-2</v>
      </c>
      <c r="Z1311">
        <f t="shared" si="123"/>
        <v>3.4864643150122432E-3</v>
      </c>
      <c r="AE1311">
        <f>W1311-mu-theta*AE1310</f>
        <v>-8.7953553871521015E-3</v>
      </c>
      <c r="AF1311">
        <f t="shared" si="125"/>
        <v>-7.4641124513787523E-3</v>
      </c>
      <c r="AG1311">
        <f t="shared" si="125"/>
        <v>-1.6095152294285358E-2</v>
      </c>
      <c r="AK1311">
        <f t="shared" si="124"/>
        <v>7.7358276386305498E-5</v>
      </c>
    </row>
    <row r="1312" spans="1:37" x14ac:dyDescent="0.3">
      <c r="A1312" s="1">
        <v>45762</v>
      </c>
      <c r="B1312">
        <v>1.1282000000000001</v>
      </c>
      <c r="C1312">
        <v>1.3227</v>
      </c>
      <c r="D1312">
        <v>143.22999999999999</v>
      </c>
      <c r="G1312">
        <v>1.1282000000000001</v>
      </c>
      <c r="H1312">
        <f t="shared" si="121"/>
        <v>1.1349</v>
      </c>
      <c r="I1312">
        <f t="shared" si="121"/>
        <v>1.1335999999999999</v>
      </c>
      <c r="J1312">
        <f t="shared" si="121"/>
        <v>1.1201000000000001</v>
      </c>
      <c r="L1312">
        <f t="shared" si="120"/>
        <v>-6.6999999999999282E-3</v>
      </c>
      <c r="W1312">
        <f t="shared" si="122"/>
        <v>1.7484962931878585E-3</v>
      </c>
      <c r="X1312">
        <f t="shared" si="123"/>
        <v>-6.73845085098992E-3</v>
      </c>
      <c r="Y1312">
        <f t="shared" si="123"/>
        <v>-3.3234092640034491E-3</v>
      </c>
      <c r="Z1312">
        <f t="shared" si="123"/>
        <v>-1.6077389467947307E-2</v>
      </c>
      <c r="AE1312">
        <f>W1312-mu-theta*AE1311</f>
        <v>-6.2981125865862022E-4</v>
      </c>
      <c r="AF1312">
        <f t="shared" si="125"/>
        <v>-8.7953553871521015E-3</v>
      </c>
      <c r="AG1312">
        <f t="shared" si="125"/>
        <v>-7.4641124513787523E-3</v>
      </c>
      <c r="AK1312">
        <f t="shared" si="124"/>
        <v>3.9666222153315543E-7</v>
      </c>
    </row>
    <row r="1313" spans="1:37" x14ac:dyDescent="0.3">
      <c r="A1313" s="1">
        <v>45763</v>
      </c>
      <c r="B1313">
        <v>1.1394</v>
      </c>
      <c r="C1313">
        <v>1.3245</v>
      </c>
      <c r="D1313">
        <v>141.91</v>
      </c>
      <c r="G1313">
        <v>1.1394</v>
      </c>
      <c r="H1313">
        <f t="shared" si="121"/>
        <v>1.1282000000000001</v>
      </c>
      <c r="I1313">
        <f t="shared" si="121"/>
        <v>1.1349</v>
      </c>
      <c r="J1313">
        <f t="shared" si="121"/>
        <v>1.1335999999999999</v>
      </c>
      <c r="L1313">
        <f t="shared" si="120"/>
        <v>1.1199999999999877E-2</v>
      </c>
      <c r="W1313">
        <f t="shared" si="122"/>
        <v>-9.2159463799482873E-3</v>
      </c>
      <c r="X1313">
        <f t="shared" si="123"/>
        <v>1.7484962931878585E-3</v>
      </c>
      <c r="Y1313">
        <f t="shared" si="123"/>
        <v>-6.73845085098992E-3</v>
      </c>
      <c r="Z1313">
        <f t="shared" si="123"/>
        <v>-3.3234092640034491E-3</v>
      </c>
      <c r="AE1313">
        <f>W1313-mu-theta*AE1312</f>
        <v>-9.6228402723664685E-3</v>
      </c>
      <c r="AF1313">
        <f t="shared" si="125"/>
        <v>-6.2981125865862022E-4</v>
      </c>
      <c r="AG1313">
        <f t="shared" si="125"/>
        <v>-8.7953553871521015E-3</v>
      </c>
      <c r="AK1313">
        <f t="shared" si="124"/>
        <v>9.2599054907477964E-5</v>
      </c>
    </row>
    <row r="1314" spans="1:37" x14ac:dyDescent="0.3">
      <c r="A1314" s="1">
        <v>45764</v>
      </c>
      <c r="B1314">
        <v>1.1366000000000001</v>
      </c>
      <c r="C1314">
        <v>1.3265</v>
      </c>
      <c r="D1314">
        <v>142.43</v>
      </c>
      <c r="G1314">
        <v>1.1366000000000001</v>
      </c>
      <c r="H1314">
        <f t="shared" si="121"/>
        <v>1.1394</v>
      </c>
      <c r="I1314">
        <f t="shared" si="121"/>
        <v>1.1282000000000001</v>
      </c>
      <c r="J1314">
        <f t="shared" si="121"/>
        <v>1.1349</v>
      </c>
      <c r="L1314">
        <f t="shared" si="120"/>
        <v>-2.7999999999999137E-3</v>
      </c>
      <c r="W1314">
        <f t="shared" si="122"/>
        <v>3.664294271016914E-3</v>
      </c>
      <c r="X1314">
        <f t="shared" si="123"/>
        <v>-9.2159463799482873E-3</v>
      </c>
      <c r="Y1314">
        <f t="shared" si="123"/>
        <v>1.7484962931878585E-3</v>
      </c>
      <c r="Z1314">
        <f t="shared" si="123"/>
        <v>-6.73845085098992E-3</v>
      </c>
      <c r="AE1314">
        <f>W1314-mu-theta*AE1313</f>
        <v>1.0862064007970862E-3</v>
      </c>
      <c r="AF1314">
        <f t="shared" si="125"/>
        <v>-9.6228402723664685E-3</v>
      </c>
      <c r="AG1314">
        <f t="shared" si="125"/>
        <v>-6.2981125865862022E-4</v>
      </c>
      <c r="AK1314">
        <f t="shared" si="124"/>
        <v>1.1798443451325604E-6</v>
      </c>
    </row>
    <row r="1315" spans="1:37" x14ac:dyDescent="0.3">
      <c r="A1315" s="1">
        <v>45767</v>
      </c>
      <c r="B1315">
        <v>1.1371</v>
      </c>
      <c r="C1315">
        <v>1.325</v>
      </c>
      <c r="D1315">
        <v>142.09</v>
      </c>
      <c r="G1315">
        <v>1.1371</v>
      </c>
      <c r="H1315">
        <f t="shared" si="121"/>
        <v>1.1366000000000001</v>
      </c>
      <c r="I1315">
        <f t="shared" si="121"/>
        <v>1.1394</v>
      </c>
      <c r="J1315">
        <f t="shared" si="121"/>
        <v>1.1282000000000001</v>
      </c>
      <c r="L1315">
        <f t="shared" si="120"/>
        <v>4.9999999999994493E-4</v>
      </c>
      <c r="W1315">
        <f t="shared" si="122"/>
        <v>-2.3871375412483561E-3</v>
      </c>
      <c r="X1315">
        <f t="shared" si="123"/>
        <v>3.664294271016914E-3</v>
      </c>
      <c r="Y1315">
        <f t="shared" si="123"/>
        <v>-9.2159463799482873E-3</v>
      </c>
      <c r="Z1315">
        <f t="shared" si="123"/>
        <v>1.7484962931878585E-3</v>
      </c>
      <c r="AE1315">
        <f>W1315-mu-theta*AE1314</f>
        <v>-2.3797319576688136E-3</v>
      </c>
      <c r="AF1315">
        <f t="shared" si="125"/>
        <v>1.0862064007970862E-3</v>
      </c>
      <c r="AG1315">
        <f t="shared" si="125"/>
        <v>-9.6228402723664685E-3</v>
      </c>
      <c r="AK1315">
        <f t="shared" si="124"/>
        <v>5.6631241903502438E-6</v>
      </c>
    </row>
    <row r="1316" spans="1:37" x14ac:dyDescent="0.3">
      <c r="A1316" s="1">
        <v>45768</v>
      </c>
      <c r="B1316">
        <v>1.1514</v>
      </c>
      <c r="C1316">
        <v>1.3365</v>
      </c>
      <c r="D1316">
        <v>140.80000000000001</v>
      </c>
      <c r="G1316">
        <v>1.1514</v>
      </c>
      <c r="H1316">
        <f t="shared" si="121"/>
        <v>1.1371</v>
      </c>
      <c r="I1316">
        <f t="shared" si="121"/>
        <v>1.1366000000000001</v>
      </c>
      <c r="J1316">
        <f t="shared" si="121"/>
        <v>1.1394</v>
      </c>
      <c r="L1316">
        <f t="shared" si="120"/>
        <v>1.4299999999999979E-2</v>
      </c>
      <c r="W1316">
        <f t="shared" si="122"/>
        <v>-9.0787529030895344E-3</v>
      </c>
      <c r="X1316">
        <f t="shared" si="123"/>
        <v>-2.3871375412483561E-3</v>
      </c>
      <c r="Y1316">
        <f t="shared" si="123"/>
        <v>3.664294271016914E-3</v>
      </c>
      <c r="Z1316">
        <f t="shared" si="123"/>
        <v>-9.2159463799482873E-3</v>
      </c>
      <c r="AE1316">
        <f>W1316-mu-theta*AE1315</f>
        <v>-9.9081315086705472E-3</v>
      </c>
      <c r="AF1316">
        <f t="shared" si="125"/>
        <v>-2.3797319576688136E-3</v>
      </c>
      <c r="AG1316">
        <f t="shared" si="125"/>
        <v>1.0862064007970862E-3</v>
      </c>
      <c r="AK1316">
        <f t="shared" si="124"/>
        <v>9.8171069993110096E-5</v>
      </c>
    </row>
    <row r="1317" spans="1:37" x14ac:dyDescent="0.3">
      <c r="A1317" s="1">
        <v>45769</v>
      </c>
      <c r="B1317">
        <v>1.1419999999999999</v>
      </c>
      <c r="C1317">
        <v>1.3333999999999999</v>
      </c>
      <c r="D1317">
        <v>141.52000000000001</v>
      </c>
      <c r="G1317">
        <v>1.1419999999999999</v>
      </c>
      <c r="H1317">
        <f t="shared" si="121"/>
        <v>1.1514</v>
      </c>
      <c r="I1317">
        <f t="shared" si="121"/>
        <v>1.1371</v>
      </c>
      <c r="J1317">
        <f t="shared" si="121"/>
        <v>1.1366000000000001</v>
      </c>
      <c r="L1317">
        <f t="shared" si="120"/>
        <v>-9.400000000000075E-3</v>
      </c>
      <c r="W1317">
        <f t="shared" si="122"/>
        <v>5.1136363636363549E-3</v>
      </c>
      <c r="X1317">
        <f t="shared" si="123"/>
        <v>-9.0787529030895344E-3</v>
      </c>
      <c r="Y1317">
        <f t="shared" si="123"/>
        <v>-2.3871375412483561E-3</v>
      </c>
      <c r="Z1317">
        <f t="shared" si="123"/>
        <v>3.664294271016914E-3</v>
      </c>
      <c r="AE1317">
        <f>W1317-mu-theta*AE1316</f>
        <v>2.4666704087090464E-3</v>
      </c>
      <c r="AF1317">
        <f t="shared" si="125"/>
        <v>-9.9081315086705472E-3</v>
      </c>
      <c r="AG1317">
        <f t="shared" si="125"/>
        <v>-2.3797319576688136E-3</v>
      </c>
      <c r="AK1317">
        <f t="shared" si="124"/>
        <v>6.0844629052008539E-6</v>
      </c>
    </row>
    <row r="1318" spans="1:37" x14ac:dyDescent="0.3">
      <c r="A1318" s="1">
        <v>45770</v>
      </c>
      <c r="B1318">
        <v>1.1313</v>
      </c>
      <c r="C1318">
        <v>1.3254999999999999</v>
      </c>
      <c r="D1318">
        <v>143.4</v>
      </c>
      <c r="G1318">
        <v>1.1313</v>
      </c>
      <c r="H1318">
        <f t="shared" si="121"/>
        <v>1.1419999999999999</v>
      </c>
      <c r="I1318">
        <f t="shared" si="121"/>
        <v>1.1514</v>
      </c>
      <c r="J1318">
        <f t="shared" si="121"/>
        <v>1.1371</v>
      </c>
      <c r="L1318">
        <f t="shared" si="120"/>
        <v>-1.0699999999999932E-2</v>
      </c>
      <c r="W1318">
        <f t="shared" si="122"/>
        <v>1.3284341435839423E-2</v>
      </c>
      <c r="X1318">
        <f t="shared" si="123"/>
        <v>5.1136363636363549E-3</v>
      </c>
      <c r="Y1318">
        <f t="shared" si="123"/>
        <v>-9.0787529030895344E-3</v>
      </c>
      <c r="Z1318">
        <f t="shared" si="123"/>
        <v>-2.3871375412483561E-3</v>
      </c>
      <c r="AE1318">
        <f>W1318-mu-theta*AE1317</f>
        <v>1.3625033516769495E-2</v>
      </c>
      <c r="AF1318">
        <f t="shared" si="125"/>
        <v>2.4666704087090464E-3</v>
      </c>
      <c r="AG1318">
        <f t="shared" si="125"/>
        <v>-9.9081315086705472E-3</v>
      </c>
      <c r="AK1318">
        <f t="shared" si="124"/>
        <v>1.8564153833309211E-4</v>
      </c>
    </row>
    <row r="1319" spans="1:37" x14ac:dyDescent="0.3">
      <c r="A1319" s="1">
        <v>45771</v>
      </c>
      <c r="B1319">
        <v>1.1388</v>
      </c>
      <c r="C1319">
        <v>1.3341000000000001</v>
      </c>
      <c r="D1319">
        <v>142.66</v>
      </c>
      <c r="G1319">
        <v>1.1388</v>
      </c>
      <c r="H1319">
        <f t="shared" si="121"/>
        <v>1.1313</v>
      </c>
      <c r="I1319">
        <f t="shared" si="121"/>
        <v>1.1419999999999999</v>
      </c>
      <c r="J1319">
        <f t="shared" si="121"/>
        <v>1.1514</v>
      </c>
      <c r="L1319">
        <f t="shared" si="120"/>
        <v>7.5000000000000622E-3</v>
      </c>
      <c r="W1319">
        <f t="shared" si="122"/>
        <v>-5.160390516039115E-3</v>
      </c>
      <c r="X1319">
        <f t="shared" si="123"/>
        <v>1.3284341435839423E-2</v>
      </c>
      <c r="Y1319">
        <f t="shared" si="123"/>
        <v>5.1136363636363549E-3</v>
      </c>
      <c r="Z1319">
        <f t="shared" si="123"/>
        <v>-9.0787529030895344E-3</v>
      </c>
      <c r="AE1319">
        <f>W1319-mu-theta*AE1318</f>
        <v>-2.1257261655415458E-3</v>
      </c>
      <c r="AF1319">
        <f t="shared" si="125"/>
        <v>1.3625033516769495E-2</v>
      </c>
      <c r="AG1319">
        <f t="shared" si="125"/>
        <v>2.4666704087090464E-3</v>
      </c>
      <c r="AK1319">
        <f t="shared" si="124"/>
        <v>4.5187117308679636E-6</v>
      </c>
    </row>
    <row r="1320" spans="1:37" x14ac:dyDescent="0.3">
      <c r="A1320" s="1">
        <v>45774</v>
      </c>
      <c r="B1320">
        <v>1.1357999999999999</v>
      </c>
      <c r="C1320">
        <v>1.3285</v>
      </c>
      <c r="D1320">
        <v>143.49</v>
      </c>
      <c r="G1320">
        <v>1.1357999999999999</v>
      </c>
      <c r="H1320">
        <f t="shared" si="121"/>
        <v>1.1388</v>
      </c>
      <c r="I1320">
        <f t="shared" si="121"/>
        <v>1.1313</v>
      </c>
      <c r="J1320">
        <f t="shared" si="121"/>
        <v>1.1419999999999999</v>
      </c>
      <c r="L1320">
        <f t="shared" si="120"/>
        <v>-3.0000000000001137E-3</v>
      </c>
      <c r="W1320">
        <f t="shared" si="122"/>
        <v>5.8180288798542869E-3</v>
      </c>
      <c r="X1320">
        <f t="shared" si="123"/>
        <v>-5.160390516039115E-3</v>
      </c>
      <c r="Y1320">
        <f t="shared" si="123"/>
        <v>1.3284341435839423E-2</v>
      </c>
      <c r="Z1320">
        <f t="shared" si="123"/>
        <v>5.1136363636363549E-3</v>
      </c>
      <c r="AE1320">
        <f>W1320-mu-theta*AE1319</f>
        <v>5.0499750899002244E-3</v>
      </c>
      <c r="AF1320">
        <f t="shared" si="125"/>
        <v>-2.1257261655415458E-3</v>
      </c>
      <c r="AG1320">
        <f t="shared" si="125"/>
        <v>1.3625033516769495E-2</v>
      </c>
      <c r="AK1320">
        <f t="shared" si="124"/>
        <v>2.5502248408612779E-5</v>
      </c>
    </row>
    <row r="1321" spans="1:37" x14ac:dyDescent="0.3">
      <c r="A1321" s="1">
        <v>45775</v>
      </c>
      <c r="B1321">
        <v>1.1420999999999999</v>
      </c>
      <c r="C1321">
        <v>1.3431999999999999</v>
      </c>
      <c r="D1321">
        <v>142.01</v>
      </c>
      <c r="G1321">
        <v>1.1420999999999999</v>
      </c>
      <c r="H1321">
        <f t="shared" si="121"/>
        <v>1.1357999999999999</v>
      </c>
      <c r="I1321">
        <f t="shared" si="121"/>
        <v>1.1388</v>
      </c>
      <c r="J1321">
        <f t="shared" si="121"/>
        <v>1.1313</v>
      </c>
      <c r="L1321">
        <f t="shared" si="120"/>
        <v>6.2999999999999723E-3</v>
      </c>
      <c r="W1321">
        <f t="shared" si="122"/>
        <v>-1.0314307617255684E-2</v>
      </c>
      <c r="X1321">
        <f t="shared" si="123"/>
        <v>5.8180288798542869E-3</v>
      </c>
      <c r="Y1321">
        <f t="shared" si="123"/>
        <v>-5.160390516039115E-3</v>
      </c>
      <c r="Z1321">
        <f t="shared" si="123"/>
        <v>1.3284341435839423E-2</v>
      </c>
      <c r="AE1321">
        <f>W1321-mu-theta*AE1320</f>
        <v>-9.3499262812281759E-3</v>
      </c>
      <c r="AF1321">
        <f t="shared" si="125"/>
        <v>5.0499750899002244E-3</v>
      </c>
      <c r="AG1321">
        <f t="shared" si="125"/>
        <v>-2.1257261655415458E-3</v>
      </c>
      <c r="AK1321">
        <f t="shared" si="124"/>
        <v>8.7421121464401351E-5</v>
      </c>
    </row>
    <row r="1322" spans="1:37" x14ac:dyDescent="0.3">
      <c r="A1322" s="1">
        <v>45776</v>
      </c>
      <c r="B1322">
        <v>1.1385000000000001</v>
      </c>
      <c r="C1322">
        <v>1.3402000000000001</v>
      </c>
      <c r="D1322">
        <v>142.34</v>
      </c>
      <c r="G1322">
        <v>1.1385000000000001</v>
      </c>
      <c r="H1322">
        <f t="shared" si="121"/>
        <v>1.1420999999999999</v>
      </c>
      <c r="I1322">
        <f t="shared" si="121"/>
        <v>1.1357999999999999</v>
      </c>
      <c r="J1322">
        <f t="shared" si="121"/>
        <v>1.1388</v>
      </c>
      <c r="L1322">
        <f t="shared" si="120"/>
        <v>-3.5999999999998256E-3</v>
      </c>
      <c r="W1322">
        <f t="shared" si="122"/>
        <v>2.3237800154919551E-3</v>
      </c>
      <c r="X1322">
        <f t="shared" si="123"/>
        <v>-1.0314307617255684E-2</v>
      </c>
      <c r="Y1322">
        <f t="shared" si="123"/>
        <v>5.8180288798542869E-3</v>
      </c>
      <c r="Z1322">
        <f t="shared" si="123"/>
        <v>-5.160390516039115E-3</v>
      </c>
      <c r="AE1322">
        <f>W1322-mu-theta*AE1321</f>
        <v>-1.8841801793160898E-4</v>
      </c>
      <c r="AF1322">
        <f t="shared" si="125"/>
        <v>-9.3499262812281759E-3</v>
      </c>
      <c r="AG1322">
        <f t="shared" si="125"/>
        <v>5.0499750899002244E-3</v>
      </c>
      <c r="AK1322">
        <f t="shared" si="124"/>
        <v>3.5501349481276124E-8</v>
      </c>
    </row>
    <row r="1323" spans="1:37" x14ac:dyDescent="0.3">
      <c r="A1323" s="1">
        <v>45777</v>
      </c>
      <c r="B1323">
        <v>1.1327</v>
      </c>
      <c r="C1323">
        <v>1.3326</v>
      </c>
      <c r="D1323">
        <v>143.06</v>
      </c>
      <c r="G1323">
        <v>1.1327</v>
      </c>
      <c r="H1323">
        <f t="shared" si="121"/>
        <v>1.1385000000000001</v>
      </c>
      <c r="I1323">
        <f t="shared" si="121"/>
        <v>1.1420999999999999</v>
      </c>
      <c r="J1323">
        <f t="shared" si="121"/>
        <v>1.1357999999999999</v>
      </c>
      <c r="L1323">
        <f t="shared" si="120"/>
        <v>-5.8000000000000274E-3</v>
      </c>
      <c r="W1323">
        <f t="shared" si="122"/>
        <v>5.0583110861317886E-3</v>
      </c>
      <c r="X1323">
        <f t="shared" si="123"/>
        <v>2.3237800154919551E-3</v>
      </c>
      <c r="Y1323">
        <f t="shared" si="123"/>
        <v>-1.0314307617255684E-2</v>
      </c>
      <c r="Z1323">
        <f t="shared" si="123"/>
        <v>5.8180288798542869E-3</v>
      </c>
      <c r="AE1323">
        <f>W1323-mu-theta*AE1322</f>
        <v>4.7579831065609956E-3</v>
      </c>
      <c r="AF1323">
        <f t="shared" si="125"/>
        <v>-1.8841801793160898E-4</v>
      </c>
      <c r="AG1323">
        <f t="shared" si="125"/>
        <v>-9.3499262812281759E-3</v>
      </c>
      <c r="AK1323">
        <f t="shared" si="124"/>
        <v>2.2638403242319824E-5</v>
      </c>
    </row>
    <row r="1324" spans="1:37" x14ac:dyDescent="0.3">
      <c r="A1324" s="1">
        <v>45778</v>
      </c>
      <c r="B1324">
        <v>1.1286</v>
      </c>
      <c r="C1324">
        <v>1.3279000000000001</v>
      </c>
      <c r="D1324">
        <v>145.43</v>
      </c>
      <c r="G1324">
        <v>1.1286</v>
      </c>
      <c r="H1324">
        <f t="shared" si="121"/>
        <v>1.1327</v>
      </c>
      <c r="I1324">
        <f t="shared" si="121"/>
        <v>1.1385000000000001</v>
      </c>
      <c r="J1324">
        <f t="shared" si="121"/>
        <v>1.1420999999999999</v>
      </c>
      <c r="L1324">
        <f t="shared" si="120"/>
        <v>-4.0999999999999925E-3</v>
      </c>
      <c r="W1324">
        <f t="shared" si="122"/>
        <v>1.6566475604641442E-2</v>
      </c>
      <c r="X1324">
        <f t="shared" si="123"/>
        <v>5.0583110861317886E-3</v>
      </c>
      <c r="Y1324">
        <f t="shared" si="123"/>
        <v>2.3237800154919551E-3</v>
      </c>
      <c r="Z1324">
        <f t="shared" si="123"/>
        <v>-1.0314307617255684E-2</v>
      </c>
      <c r="AE1324">
        <f>W1324-mu-theta*AE1323</f>
        <v>1.7460361089401692E-2</v>
      </c>
      <c r="AF1324">
        <f t="shared" si="125"/>
        <v>4.7579831065609956E-3</v>
      </c>
      <c r="AG1324">
        <f t="shared" si="125"/>
        <v>-1.8841801793160898E-4</v>
      </c>
      <c r="AK1324">
        <f t="shared" si="124"/>
        <v>3.0486420937229263E-4</v>
      </c>
    </row>
    <row r="1325" spans="1:37" x14ac:dyDescent="0.3">
      <c r="A1325" s="1">
        <v>45781</v>
      </c>
      <c r="B1325">
        <v>1.1287</v>
      </c>
      <c r="C1325">
        <v>1.3231999999999999</v>
      </c>
      <c r="D1325">
        <v>144.71</v>
      </c>
      <c r="G1325">
        <v>1.1287</v>
      </c>
      <c r="H1325">
        <f t="shared" si="121"/>
        <v>1.1286</v>
      </c>
      <c r="I1325">
        <f t="shared" si="121"/>
        <v>1.1327</v>
      </c>
      <c r="J1325">
        <f t="shared" si="121"/>
        <v>1.1385000000000001</v>
      </c>
      <c r="L1325">
        <f t="shared" si="120"/>
        <v>9.9999999999988987E-5</v>
      </c>
      <c r="W1325">
        <f t="shared" si="122"/>
        <v>-4.9508354534827667E-3</v>
      </c>
      <c r="X1325">
        <f t="shared" si="123"/>
        <v>1.6566475604641442E-2</v>
      </c>
      <c r="Y1325">
        <f t="shared" si="123"/>
        <v>5.0583110861317886E-3</v>
      </c>
      <c r="Z1325">
        <f t="shared" si="123"/>
        <v>2.3237800154919551E-3</v>
      </c>
      <c r="AE1325">
        <f>W1325-mu-theta*AE1324</f>
        <v>-9.9020498902041218E-4</v>
      </c>
      <c r="AF1325">
        <f t="shared" si="125"/>
        <v>1.7460361089401692E-2</v>
      </c>
      <c r="AG1325">
        <f t="shared" si="125"/>
        <v>4.7579831065609956E-3</v>
      </c>
      <c r="AK1325">
        <f t="shared" si="124"/>
        <v>9.8050592028091451E-7</v>
      </c>
    </row>
    <row r="1326" spans="1:37" x14ac:dyDescent="0.3">
      <c r="A1326" s="1">
        <v>45782</v>
      </c>
      <c r="B1326">
        <v>1.1314</v>
      </c>
      <c r="C1326">
        <v>1.3290999999999999</v>
      </c>
      <c r="D1326">
        <v>143.69999999999999</v>
      </c>
      <c r="G1326">
        <v>1.1314</v>
      </c>
      <c r="H1326">
        <f t="shared" si="121"/>
        <v>1.1287</v>
      </c>
      <c r="I1326">
        <f t="shared" si="121"/>
        <v>1.1286</v>
      </c>
      <c r="J1326">
        <f t="shared" si="121"/>
        <v>1.1327</v>
      </c>
      <c r="L1326">
        <f t="shared" si="120"/>
        <v>2.6999999999999247E-3</v>
      </c>
      <c r="W1326">
        <f t="shared" si="122"/>
        <v>-6.9794761937669774E-3</v>
      </c>
      <c r="X1326">
        <f t="shared" si="123"/>
        <v>-4.9508354534827667E-3</v>
      </c>
      <c r="Y1326">
        <f t="shared" si="123"/>
        <v>1.6566475604641442E-2</v>
      </c>
      <c r="Z1326">
        <f t="shared" si="123"/>
        <v>5.0583110861317886E-3</v>
      </c>
      <c r="AE1326">
        <f>W1326-mu-theta*AE1325</f>
        <v>-7.4733802243495398E-3</v>
      </c>
      <c r="AF1326">
        <f t="shared" si="125"/>
        <v>-9.9020498902041218E-4</v>
      </c>
      <c r="AG1326">
        <f t="shared" si="125"/>
        <v>1.7460361089401692E-2</v>
      </c>
      <c r="AK1326">
        <f t="shared" si="124"/>
        <v>5.5851411977698779E-5</v>
      </c>
    </row>
    <row r="1327" spans="1:37" x14ac:dyDescent="0.3">
      <c r="A1327" s="1">
        <v>45783</v>
      </c>
      <c r="B1327">
        <v>1.1369</v>
      </c>
      <c r="C1327">
        <v>1.3368</v>
      </c>
      <c r="D1327">
        <v>142.41</v>
      </c>
      <c r="G1327">
        <v>1.1369</v>
      </c>
      <c r="H1327">
        <f t="shared" si="121"/>
        <v>1.1314</v>
      </c>
      <c r="I1327">
        <f t="shared" si="121"/>
        <v>1.1287</v>
      </c>
      <c r="J1327">
        <f t="shared" si="121"/>
        <v>1.1286</v>
      </c>
      <c r="L1327">
        <f t="shared" si="120"/>
        <v>5.5000000000000604E-3</v>
      </c>
      <c r="W1327">
        <f t="shared" si="122"/>
        <v>-8.9770354906053736E-3</v>
      </c>
      <c r="X1327">
        <f t="shared" si="123"/>
        <v>-6.9794761937669774E-3</v>
      </c>
      <c r="Y1327">
        <f t="shared" si="123"/>
        <v>-4.9508354534827667E-3</v>
      </c>
      <c r="Z1327">
        <f t="shared" si="123"/>
        <v>1.6566475604641442E-2</v>
      </c>
      <c r="AE1327">
        <f>W1327-mu-theta*AE1326</f>
        <v>-1.1036177552392251E-2</v>
      </c>
      <c r="AF1327">
        <f t="shared" si="125"/>
        <v>-7.4733802243495398E-3</v>
      </c>
      <c r="AG1327">
        <f t="shared" si="125"/>
        <v>-9.9020498902041218E-4</v>
      </c>
      <c r="AK1327">
        <f t="shared" si="124"/>
        <v>1.2179721496792662E-4</v>
      </c>
    </row>
    <row r="1328" spans="1:37" x14ac:dyDescent="0.3">
      <c r="A1328" s="1">
        <v>45784</v>
      </c>
      <c r="B1328">
        <v>1.1299999999999999</v>
      </c>
      <c r="C1328">
        <v>1.3294999999999999</v>
      </c>
      <c r="D1328">
        <v>143.80000000000001</v>
      </c>
      <c r="G1328">
        <v>1.1299999999999999</v>
      </c>
      <c r="H1328">
        <f t="shared" si="121"/>
        <v>1.1369</v>
      </c>
      <c r="I1328">
        <f t="shared" si="121"/>
        <v>1.1314</v>
      </c>
      <c r="J1328">
        <f t="shared" si="121"/>
        <v>1.1287</v>
      </c>
      <c r="L1328">
        <f t="shared" si="120"/>
        <v>-6.9000000000001283E-3</v>
      </c>
      <c r="W1328">
        <f t="shared" si="122"/>
        <v>9.7605505231375244E-3</v>
      </c>
      <c r="X1328">
        <f t="shared" si="123"/>
        <v>-8.9770354906053736E-3</v>
      </c>
      <c r="Y1328">
        <f t="shared" si="123"/>
        <v>-6.9794761937669774E-3</v>
      </c>
      <c r="Z1328">
        <f t="shared" si="123"/>
        <v>-4.9508354534827667E-3</v>
      </c>
      <c r="AE1328">
        <f>W1328-mu-theta*AE1327</f>
        <v>6.8412395359548697E-3</v>
      </c>
      <c r="AF1328">
        <f t="shared" si="125"/>
        <v>-1.1036177552392251E-2</v>
      </c>
      <c r="AG1328">
        <f t="shared" si="125"/>
        <v>-7.4733802243495398E-3</v>
      </c>
      <c r="AK1328">
        <f t="shared" si="124"/>
        <v>4.6802558388311999E-5</v>
      </c>
    </row>
    <row r="1329" spans="1:37" x14ac:dyDescent="0.3">
      <c r="A1329" s="1">
        <v>45785</v>
      </c>
      <c r="B1329">
        <v>1.1227</v>
      </c>
      <c r="C1329">
        <v>1.3244</v>
      </c>
      <c r="D1329">
        <v>145.91</v>
      </c>
      <c r="G1329">
        <v>1.1227</v>
      </c>
      <c r="H1329">
        <f t="shared" si="121"/>
        <v>1.1299999999999999</v>
      </c>
      <c r="I1329">
        <f t="shared" si="121"/>
        <v>1.1369</v>
      </c>
      <c r="J1329">
        <f t="shared" si="121"/>
        <v>1.1314</v>
      </c>
      <c r="L1329">
        <f t="shared" si="120"/>
        <v>-7.2999999999998622E-3</v>
      </c>
      <c r="W1329">
        <f t="shared" si="122"/>
        <v>1.4673157162725905E-2</v>
      </c>
      <c r="X1329">
        <f t="shared" si="123"/>
        <v>9.7605505231375244E-3</v>
      </c>
      <c r="Y1329">
        <f t="shared" si="123"/>
        <v>-8.9770354906053736E-3</v>
      </c>
      <c r="Z1329">
        <f t="shared" si="123"/>
        <v>-6.9794761937669774E-3</v>
      </c>
      <c r="AE1329">
        <f>W1329-mu-theta*AE1328</f>
        <v>1.6070004864868308E-2</v>
      </c>
      <c r="AF1329">
        <f t="shared" si="125"/>
        <v>6.8412395359548697E-3</v>
      </c>
      <c r="AG1329">
        <f t="shared" si="125"/>
        <v>-1.1036177552392251E-2</v>
      </c>
      <c r="AK1329">
        <f t="shared" si="124"/>
        <v>2.582450563568911E-4</v>
      </c>
    </row>
    <row r="1330" spans="1:37" x14ac:dyDescent="0.3">
      <c r="A1330" s="1">
        <v>45788</v>
      </c>
      <c r="B1330">
        <v>1.1216999999999999</v>
      </c>
      <c r="C1330">
        <v>1.3225</v>
      </c>
      <c r="D1330">
        <v>145.80000000000001</v>
      </c>
      <c r="G1330">
        <v>1.1216999999999999</v>
      </c>
      <c r="H1330">
        <f t="shared" si="121"/>
        <v>1.1227</v>
      </c>
      <c r="I1330">
        <f t="shared" si="121"/>
        <v>1.1299999999999999</v>
      </c>
      <c r="J1330">
        <f t="shared" si="121"/>
        <v>1.1369</v>
      </c>
      <c r="L1330">
        <f t="shared" si="120"/>
        <v>-1.0000000000001119E-3</v>
      </c>
      <c r="W1330">
        <f t="shared" si="122"/>
        <v>-7.5388938386666588E-4</v>
      </c>
      <c r="X1330">
        <f t="shared" si="123"/>
        <v>1.4673157162725905E-2</v>
      </c>
      <c r="Y1330">
        <f t="shared" si="123"/>
        <v>9.7605505231375244E-3</v>
      </c>
      <c r="Z1330">
        <f t="shared" si="123"/>
        <v>-8.9770354906053736E-3</v>
      </c>
      <c r="AE1330">
        <f>W1330-mu-theta*AE1329</f>
        <v>2.8710662977050145E-3</v>
      </c>
      <c r="AF1330">
        <f t="shared" si="125"/>
        <v>1.6070004864868308E-2</v>
      </c>
      <c r="AG1330">
        <f t="shared" si="125"/>
        <v>6.8412395359548697E-3</v>
      </c>
      <c r="AK1330">
        <f t="shared" si="124"/>
        <v>8.2430216858175794E-6</v>
      </c>
    </row>
    <row r="1331" spans="1:37" x14ac:dyDescent="0.3">
      <c r="A1331" s="1">
        <v>45789</v>
      </c>
      <c r="B1331">
        <v>1.1085</v>
      </c>
      <c r="C1331">
        <v>1.3171999999999999</v>
      </c>
      <c r="D1331">
        <v>148.44999999999999</v>
      </c>
      <c r="G1331">
        <v>1.1085</v>
      </c>
      <c r="H1331">
        <f t="shared" si="121"/>
        <v>1.1216999999999999</v>
      </c>
      <c r="I1331">
        <f t="shared" si="121"/>
        <v>1.1227</v>
      </c>
      <c r="J1331">
        <f t="shared" si="121"/>
        <v>1.1299999999999999</v>
      </c>
      <c r="L1331">
        <f t="shared" si="120"/>
        <v>-1.3199999999999878E-2</v>
      </c>
      <c r="W1331">
        <f t="shared" si="122"/>
        <v>1.8175582990397648E-2</v>
      </c>
      <c r="X1331">
        <f t="shared" si="123"/>
        <v>-7.5388938386666588E-4</v>
      </c>
      <c r="Y1331">
        <f t="shared" si="123"/>
        <v>1.4673157162725905E-2</v>
      </c>
      <c r="Z1331">
        <f t="shared" si="123"/>
        <v>9.7605505231375244E-3</v>
      </c>
      <c r="AE1331">
        <f>W1331-mu-theta*AE1330</f>
        <v>1.8613908684818506E-2</v>
      </c>
      <c r="AF1331">
        <f t="shared" si="125"/>
        <v>2.8710662977050145E-3</v>
      </c>
      <c r="AG1331">
        <f t="shared" si="125"/>
        <v>1.6070004864868308E-2</v>
      </c>
      <c r="AK1331">
        <f t="shared" si="124"/>
        <v>3.4647759652676178E-4</v>
      </c>
    </row>
    <row r="1332" spans="1:37" x14ac:dyDescent="0.3">
      <c r="A1332" s="1">
        <v>45790</v>
      </c>
      <c r="B1332">
        <v>1.1184000000000001</v>
      </c>
      <c r="C1332">
        <v>1.3304</v>
      </c>
      <c r="D1332">
        <v>147.47</v>
      </c>
      <c r="G1332">
        <v>1.1184000000000001</v>
      </c>
      <c r="H1332">
        <f t="shared" si="121"/>
        <v>1.1085</v>
      </c>
      <c r="I1332">
        <f t="shared" si="121"/>
        <v>1.1216999999999999</v>
      </c>
      <c r="J1332">
        <f t="shared" si="121"/>
        <v>1.1227</v>
      </c>
      <c r="L1332">
        <f t="shared" si="120"/>
        <v>9.9000000000000199E-3</v>
      </c>
      <c r="W1332">
        <f t="shared" si="122"/>
        <v>-6.601549343213135E-3</v>
      </c>
      <c r="X1332">
        <f t="shared" si="123"/>
        <v>1.8175582990397648E-2</v>
      </c>
      <c r="Y1332">
        <f t="shared" si="123"/>
        <v>-7.5388938386666588E-4</v>
      </c>
      <c r="Z1332">
        <f t="shared" si="123"/>
        <v>1.4673157162725905E-2</v>
      </c>
      <c r="AE1332">
        <f>W1332-mu-theta*AE1331</f>
        <v>-2.3624169870679118E-3</v>
      </c>
      <c r="AF1332">
        <f t="shared" si="125"/>
        <v>1.8613908684818506E-2</v>
      </c>
      <c r="AG1332">
        <f t="shared" si="125"/>
        <v>2.8710662977050145E-3</v>
      </c>
      <c r="AK1332">
        <f t="shared" si="124"/>
        <v>5.58101402078703E-6</v>
      </c>
    </row>
    <row r="1333" spans="1:37" x14ac:dyDescent="0.3">
      <c r="A1333" s="1">
        <v>45791</v>
      </c>
      <c r="B1333">
        <v>1.1175999999999999</v>
      </c>
      <c r="C1333">
        <v>1.3259000000000001</v>
      </c>
      <c r="D1333">
        <v>146.71</v>
      </c>
      <c r="G1333">
        <v>1.1175999999999999</v>
      </c>
      <c r="H1333">
        <f t="shared" si="121"/>
        <v>1.1184000000000001</v>
      </c>
      <c r="I1333">
        <f t="shared" si="121"/>
        <v>1.1085</v>
      </c>
      <c r="J1333">
        <f t="shared" si="121"/>
        <v>1.1216999999999999</v>
      </c>
      <c r="L1333">
        <f t="shared" si="120"/>
        <v>-8.0000000000013394E-4</v>
      </c>
      <c r="W1333">
        <f t="shared" si="122"/>
        <v>-5.1535905607919636E-3</v>
      </c>
      <c r="X1333">
        <f t="shared" si="123"/>
        <v>-6.601549343213135E-3</v>
      </c>
      <c r="Y1333">
        <f t="shared" si="123"/>
        <v>1.8175582990397648E-2</v>
      </c>
      <c r="Z1333">
        <f t="shared" si="123"/>
        <v>-7.5388938386666588E-4</v>
      </c>
      <c r="AE1333">
        <f>W1333-mu-theta*AE1332</f>
        <v>-5.9787887995758522E-3</v>
      </c>
      <c r="AF1333">
        <f t="shared" si="125"/>
        <v>-2.3624169870679118E-3</v>
      </c>
      <c r="AG1333">
        <f t="shared" si="125"/>
        <v>1.8613908684818506E-2</v>
      </c>
      <c r="AK1333">
        <f t="shared" si="124"/>
        <v>3.5745915509933662E-5</v>
      </c>
    </row>
    <row r="1334" spans="1:37" x14ac:dyDescent="0.3">
      <c r="A1334" s="1">
        <v>45792</v>
      </c>
      <c r="B1334">
        <v>1.1187</v>
      </c>
      <c r="C1334">
        <v>1.3297000000000001</v>
      </c>
      <c r="D1334">
        <v>145.66</v>
      </c>
      <c r="G1334">
        <v>1.1187</v>
      </c>
      <c r="H1334">
        <f t="shared" si="121"/>
        <v>1.1175999999999999</v>
      </c>
      <c r="I1334">
        <f t="shared" si="121"/>
        <v>1.1184000000000001</v>
      </c>
      <c r="J1334">
        <f t="shared" si="121"/>
        <v>1.1085</v>
      </c>
      <c r="L1334">
        <f t="shared" si="120"/>
        <v>1.1000000000001009E-3</v>
      </c>
      <c r="W1334">
        <f t="shared" si="122"/>
        <v>-7.1569763478972889E-3</v>
      </c>
      <c r="X1334">
        <f t="shared" si="123"/>
        <v>-5.1535905607919636E-3</v>
      </c>
      <c r="Y1334">
        <f t="shared" si="123"/>
        <v>-6.601549343213135E-3</v>
      </c>
      <c r="Z1334">
        <f t="shared" si="123"/>
        <v>1.8175582990397648E-2</v>
      </c>
      <c r="AE1334">
        <f>W1334-mu-theta*AE1333</f>
        <v>-8.8552780414615957E-3</v>
      </c>
      <c r="AF1334">
        <f t="shared" si="125"/>
        <v>-5.9787887995758522E-3</v>
      </c>
      <c r="AG1334">
        <f t="shared" si="125"/>
        <v>-2.3624169870679118E-3</v>
      </c>
      <c r="AK1334">
        <f t="shared" si="124"/>
        <v>7.8415949191591917E-5</v>
      </c>
    </row>
    <row r="1335" spans="1:37" x14ac:dyDescent="0.3">
      <c r="A1335" s="1">
        <v>45795</v>
      </c>
      <c r="B1335">
        <v>1.1169</v>
      </c>
      <c r="C1335">
        <v>1.325</v>
      </c>
      <c r="D1335">
        <v>145.26</v>
      </c>
      <c r="G1335">
        <v>1.1169</v>
      </c>
      <c r="H1335">
        <f t="shared" si="121"/>
        <v>1.1187</v>
      </c>
      <c r="I1335">
        <f t="shared" si="121"/>
        <v>1.1175999999999999</v>
      </c>
      <c r="J1335">
        <f t="shared" si="121"/>
        <v>1.1184000000000001</v>
      </c>
      <c r="L1335">
        <f t="shared" si="120"/>
        <v>-1.8000000000000238E-3</v>
      </c>
      <c r="W1335">
        <f t="shared" si="122"/>
        <v>-2.746121103940723E-3</v>
      </c>
      <c r="X1335">
        <f t="shared" si="123"/>
        <v>-7.1569763478972889E-3</v>
      </c>
      <c r="Y1335">
        <f t="shared" si="123"/>
        <v>-5.1535905607919636E-3</v>
      </c>
      <c r="Z1335">
        <f t="shared" si="123"/>
        <v>-6.601549343213135E-3</v>
      </c>
      <c r="AE1335">
        <f>W1335-mu-theta*AE1334</f>
        <v>-5.1388958287466521E-3</v>
      </c>
      <c r="AF1335">
        <f t="shared" si="125"/>
        <v>-8.8552780414615957E-3</v>
      </c>
      <c r="AG1335">
        <f t="shared" si="125"/>
        <v>-5.9787887995758522E-3</v>
      </c>
      <c r="AK1335">
        <f t="shared" si="124"/>
        <v>2.6408250338709742E-5</v>
      </c>
    </row>
    <row r="1336" spans="1:37" x14ac:dyDescent="0.3">
      <c r="A1336" s="1">
        <v>45796</v>
      </c>
      <c r="B1336">
        <v>1.1236999999999999</v>
      </c>
      <c r="C1336">
        <v>1.3357000000000001</v>
      </c>
      <c r="D1336">
        <v>144.85</v>
      </c>
      <c r="G1336">
        <v>1.1236999999999999</v>
      </c>
      <c r="H1336">
        <f t="shared" si="121"/>
        <v>1.1169</v>
      </c>
      <c r="I1336">
        <f t="shared" si="121"/>
        <v>1.1187</v>
      </c>
      <c r="J1336">
        <f t="shared" si="121"/>
        <v>1.1175999999999999</v>
      </c>
      <c r="L1336">
        <f t="shared" si="120"/>
        <v>6.7999999999999172E-3</v>
      </c>
      <c r="W1336">
        <f t="shared" si="122"/>
        <v>-2.8225251273578176E-3</v>
      </c>
      <c r="X1336">
        <f t="shared" si="123"/>
        <v>-2.746121103940723E-3</v>
      </c>
      <c r="Y1336">
        <f t="shared" si="123"/>
        <v>-7.1569763478972889E-3</v>
      </c>
      <c r="Z1336">
        <f t="shared" si="123"/>
        <v>-5.1535905607919636E-3</v>
      </c>
      <c r="AE1336">
        <f>W1336-mu-theta*AE1335</f>
        <v>-4.3180508088039972E-3</v>
      </c>
      <c r="AF1336">
        <f t="shared" si="125"/>
        <v>-5.1388958287466521E-3</v>
      </c>
      <c r="AG1336">
        <f t="shared" si="125"/>
        <v>-8.8552780414615957E-3</v>
      </c>
      <c r="AK1336">
        <f t="shared" si="124"/>
        <v>1.8645562787412855E-5</v>
      </c>
    </row>
    <row r="1337" spans="1:37" x14ac:dyDescent="0.3">
      <c r="A1337" s="1">
        <v>45797</v>
      </c>
      <c r="B1337">
        <v>1.1282000000000001</v>
      </c>
      <c r="C1337">
        <v>1.3392999999999999</v>
      </c>
      <c r="D1337">
        <v>144.53</v>
      </c>
      <c r="G1337">
        <v>1.1282000000000001</v>
      </c>
      <c r="H1337">
        <f t="shared" si="121"/>
        <v>1.1236999999999999</v>
      </c>
      <c r="I1337">
        <f t="shared" si="121"/>
        <v>1.1169</v>
      </c>
      <c r="J1337">
        <f t="shared" si="121"/>
        <v>1.1187</v>
      </c>
      <c r="L1337">
        <f t="shared" si="120"/>
        <v>4.5000000000001705E-3</v>
      </c>
      <c r="W1337">
        <f t="shared" si="122"/>
        <v>-2.2091819123230458E-3</v>
      </c>
      <c r="X1337">
        <f t="shared" si="123"/>
        <v>-2.8225251273578176E-3</v>
      </c>
      <c r="Y1337">
        <f t="shared" si="123"/>
        <v>-2.746121103940723E-3</v>
      </c>
      <c r="Z1337">
        <f t="shared" si="123"/>
        <v>-7.1569763478972889E-3</v>
      </c>
      <c r="AE1337">
        <f>W1337-mu-theta*AE1336</f>
        <v>-3.5065303432242328E-3</v>
      </c>
      <c r="AF1337">
        <f t="shared" si="125"/>
        <v>-4.3180508088039972E-3</v>
      </c>
      <c r="AG1337">
        <f t="shared" si="125"/>
        <v>-5.1388958287466521E-3</v>
      </c>
      <c r="AK1337">
        <f t="shared" si="124"/>
        <v>1.2295755047952255E-5</v>
      </c>
    </row>
    <row r="1338" spans="1:37" x14ac:dyDescent="0.3">
      <c r="A1338" s="1">
        <v>45798</v>
      </c>
      <c r="B1338">
        <v>1.1329</v>
      </c>
      <c r="C1338">
        <v>1.3418000000000001</v>
      </c>
      <c r="D1338">
        <v>143.66999999999999</v>
      </c>
      <c r="G1338">
        <v>1.1329</v>
      </c>
      <c r="H1338">
        <f t="shared" si="121"/>
        <v>1.1282000000000001</v>
      </c>
      <c r="I1338">
        <f t="shared" si="121"/>
        <v>1.1236999999999999</v>
      </c>
      <c r="J1338">
        <f t="shared" si="121"/>
        <v>1.1169</v>
      </c>
      <c r="L1338">
        <f t="shared" si="120"/>
        <v>4.6999999999999265E-3</v>
      </c>
      <c r="W1338">
        <f t="shared" si="122"/>
        <v>-5.9503217325123751E-3</v>
      </c>
      <c r="X1338">
        <f t="shared" si="123"/>
        <v>-2.2091819123230458E-3</v>
      </c>
      <c r="Y1338">
        <f t="shared" si="123"/>
        <v>-2.8225251273578176E-3</v>
      </c>
      <c r="Z1338">
        <f t="shared" si="123"/>
        <v>-2.746121103940723E-3</v>
      </c>
      <c r="AE1338">
        <f>W1338-mu-theta*AE1337</f>
        <v>-7.051744147268852E-3</v>
      </c>
      <c r="AF1338">
        <f t="shared" si="125"/>
        <v>-3.5065303432242328E-3</v>
      </c>
      <c r="AG1338">
        <f t="shared" si="125"/>
        <v>-4.3180508088039972E-3</v>
      </c>
      <c r="AK1338">
        <f t="shared" si="124"/>
        <v>4.9727095518540512E-5</v>
      </c>
    </row>
    <row r="1339" spans="1:37" x14ac:dyDescent="0.3">
      <c r="A1339" s="1">
        <v>45799</v>
      </c>
      <c r="B1339">
        <v>1.1279999999999999</v>
      </c>
      <c r="C1339">
        <v>1.3418000000000001</v>
      </c>
      <c r="D1339">
        <v>144</v>
      </c>
      <c r="G1339">
        <v>1.1279999999999999</v>
      </c>
      <c r="H1339">
        <f t="shared" si="121"/>
        <v>1.1329</v>
      </c>
      <c r="I1339">
        <f t="shared" si="121"/>
        <v>1.1282000000000001</v>
      </c>
      <c r="J1339">
        <f t="shared" si="121"/>
        <v>1.1236999999999999</v>
      </c>
      <c r="L1339">
        <f t="shared" si="120"/>
        <v>-4.9000000000001265E-3</v>
      </c>
      <c r="W1339">
        <f t="shared" si="122"/>
        <v>2.2969304656505363E-3</v>
      </c>
      <c r="X1339">
        <f t="shared" si="123"/>
        <v>-5.9503217325123751E-3</v>
      </c>
      <c r="Y1339">
        <f t="shared" si="123"/>
        <v>-2.2091819123230458E-3</v>
      </c>
      <c r="Z1339">
        <f t="shared" si="123"/>
        <v>-2.8225251273578176E-3</v>
      </c>
      <c r="AE1339">
        <f>W1339-mu-theta*AE1338</f>
        <v>3.3958432935062119E-4</v>
      </c>
      <c r="AF1339">
        <f t="shared" si="125"/>
        <v>-7.051744147268852E-3</v>
      </c>
      <c r="AG1339">
        <f t="shared" si="125"/>
        <v>-3.5065303432242328E-3</v>
      </c>
      <c r="AK1339">
        <f t="shared" si="124"/>
        <v>1.1531751674051116E-7</v>
      </c>
    </row>
    <row r="1340" spans="1:37" x14ac:dyDescent="0.3">
      <c r="A1340" s="1">
        <v>45802</v>
      </c>
      <c r="B1340">
        <v>1.1361000000000001</v>
      </c>
      <c r="C1340">
        <v>1.3499000000000001</v>
      </c>
      <c r="D1340">
        <v>142.36000000000001</v>
      </c>
      <c r="G1340">
        <v>1.1361000000000001</v>
      </c>
      <c r="H1340">
        <f t="shared" si="121"/>
        <v>1.1279999999999999</v>
      </c>
      <c r="I1340">
        <f t="shared" si="121"/>
        <v>1.1329</v>
      </c>
      <c r="J1340">
        <f t="shared" si="121"/>
        <v>1.1282000000000001</v>
      </c>
      <c r="L1340">
        <f t="shared" si="120"/>
        <v>8.1000000000002181E-3</v>
      </c>
      <c r="W1340">
        <f t="shared" si="122"/>
        <v>-1.1388888888888794E-2</v>
      </c>
      <c r="X1340">
        <f t="shared" si="123"/>
        <v>2.2969304656505363E-3</v>
      </c>
      <c r="Y1340">
        <f t="shared" si="123"/>
        <v>-5.9503217325123751E-3</v>
      </c>
      <c r="Z1340">
        <f t="shared" si="123"/>
        <v>-2.2091819123230458E-3</v>
      </c>
      <c r="AE1340">
        <f>W1340-mu-theta*AE1339</f>
        <v>-1.1561740851765223E-2</v>
      </c>
      <c r="AF1340">
        <f t="shared" si="125"/>
        <v>3.3958432935062119E-4</v>
      </c>
      <c r="AG1340">
        <f t="shared" si="125"/>
        <v>-7.051744147268852E-3</v>
      </c>
      <c r="AK1340">
        <f t="shared" si="124"/>
        <v>1.3367385152337683E-4</v>
      </c>
    </row>
    <row r="1341" spans="1:37" x14ac:dyDescent="0.3">
      <c r="A1341" s="1">
        <v>45803</v>
      </c>
      <c r="B1341">
        <v>1.1386000000000001</v>
      </c>
      <c r="C1341">
        <v>1.3562000000000001</v>
      </c>
      <c r="D1341">
        <v>142.84</v>
      </c>
      <c r="G1341">
        <v>1.1386000000000001</v>
      </c>
      <c r="H1341">
        <f t="shared" si="121"/>
        <v>1.1361000000000001</v>
      </c>
      <c r="I1341">
        <f t="shared" si="121"/>
        <v>1.1279999999999999</v>
      </c>
      <c r="J1341">
        <f t="shared" si="121"/>
        <v>1.1329</v>
      </c>
      <c r="L1341">
        <f t="shared" si="120"/>
        <v>2.4999999999999467E-3</v>
      </c>
      <c r="W1341">
        <f t="shared" si="122"/>
        <v>3.3717336330429176E-3</v>
      </c>
      <c r="X1341">
        <f t="shared" si="123"/>
        <v>-1.1388888888888794E-2</v>
      </c>
      <c r="Y1341">
        <f t="shared" si="123"/>
        <v>2.2969304656505363E-3</v>
      </c>
      <c r="Z1341">
        <f t="shared" si="123"/>
        <v>-5.9503217325123751E-3</v>
      </c>
      <c r="AE1341">
        <f>W1341-mu-theta*AE1340</f>
        <v>3.2553549039653464E-4</v>
      </c>
      <c r="AF1341">
        <f t="shared" si="125"/>
        <v>-1.1561740851765223E-2</v>
      </c>
      <c r="AG1341">
        <f t="shared" si="125"/>
        <v>3.3958432935062119E-4</v>
      </c>
      <c r="AK1341">
        <f t="shared" si="124"/>
        <v>1.059733555077123E-7</v>
      </c>
    </row>
    <row r="1342" spans="1:37" x14ac:dyDescent="0.3">
      <c r="A1342" s="1">
        <v>45804</v>
      </c>
      <c r="B1342">
        <v>1.1328</v>
      </c>
      <c r="C1342">
        <v>1.3508</v>
      </c>
      <c r="D1342">
        <v>144.31</v>
      </c>
      <c r="G1342">
        <v>1.1328</v>
      </c>
      <c r="H1342">
        <f t="shared" si="121"/>
        <v>1.1386000000000001</v>
      </c>
      <c r="I1342">
        <f t="shared" si="121"/>
        <v>1.1361000000000001</v>
      </c>
      <c r="J1342">
        <f t="shared" si="121"/>
        <v>1.1279999999999999</v>
      </c>
      <c r="L1342">
        <f t="shared" si="120"/>
        <v>-5.8000000000000274E-3</v>
      </c>
      <c r="W1342">
        <f t="shared" si="122"/>
        <v>1.0291234948193775E-2</v>
      </c>
      <c r="X1342">
        <f t="shared" si="123"/>
        <v>3.3717336330429176E-3</v>
      </c>
      <c r="Y1342">
        <f t="shared" si="123"/>
        <v>-1.1388888888888794E-2</v>
      </c>
      <c r="Z1342">
        <f t="shared" si="123"/>
        <v>2.2969304656505363E-3</v>
      </c>
      <c r="AE1342">
        <f>W1342-mu-theta*AE1341</f>
        <v>1.0114991163219839E-2</v>
      </c>
      <c r="AF1342">
        <f t="shared" si="125"/>
        <v>3.2553549039653464E-4</v>
      </c>
      <c r="AG1342">
        <f t="shared" si="125"/>
        <v>-1.1561740851765223E-2</v>
      </c>
      <c r="AK1342">
        <f t="shared" si="124"/>
        <v>1.0231304623201543E-4</v>
      </c>
    </row>
    <row r="1343" spans="1:37" x14ac:dyDescent="0.3">
      <c r="A1343" s="1">
        <v>45805</v>
      </c>
      <c r="B1343">
        <v>1.1294999999999999</v>
      </c>
      <c r="C1343">
        <v>1.3467</v>
      </c>
      <c r="D1343">
        <v>144.81</v>
      </c>
      <c r="G1343">
        <v>1.1294999999999999</v>
      </c>
      <c r="H1343">
        <f t="shared" si="121"/>
        <v>1.1328</v>
      </c>
      <c r="I1343">
        <f t="shared" si="121"/>
        <v>1.1386000000000001</v>
      </c>
      <c r="J1343">
        <f t="shared" si="121"/>
        <v>1.1361000000000001</v>
      </c>
      <c r="L1343">
        <f t="shared" si="120"/>
        <v>-3.3000000000000806E-3</v>
      </c>
      <c r="W1343">
        <f t="shared" si="122"/>
        <v>3.4647633566627398E-3</v>
      </c>
      <c r="X1343">
        <f t="shared" si="123"/>
        <v>1.0291234948193775E-2</v>
      </c>
      <c r="Y1343">
        <f t="shared" si="123"/>
        <v>3.3717336330429176E-3</v>
      </c>
      <c r="Z1343">
        <f t="shared" si="123"/>
        <v>-1.1388888888888794E-2</v>
      </c>
      <c r="AE1343">
        <f>W1343-mu-theta*AE1342</f>
        <v>5.6519954562202473E-3</v>
      </c>
      <c r="AF1343">
        <f t="shared" si="125"/>
        <v>1.0114991163219839E-2</v>
      </c>
      <c r="AG1343">
        <f t="shared" si="125"/>
        <v>3.2553549039653464E-4</v>
      </c>
      <c r="AK1343">
        <f t="shared" si="124"/>
        <v>3.1945052637134323E-5</v>
      </c>
    </row>
    <row r="1344" spans="1:37" x14ac:dyDescent="0.3">
      <c r="A1344" s="1">
        <v>45806</v>
      </c>
      <c r="B1344">
        <v>1.1365000000000001</v>
      </c>
      <c r="C1344">
        <v>1.3488</v>
      </c>
      <c r="D1344">
        <v>144.21</v>
      </c>
      <c r="G1344">
        <v>1.1365000000000001</v>
      </c>
      <c r="H1344">
        <f t="shared" si="121"/>
        <v>1.1294999999999999</v>
      </c>
      <c r="I1344">
        <f t="shared" si="121"/>
        <v>1.1328</v>
      </c>
      <c r="J1344">
        <f t="shared" si="121"/>
        <v>1.1386000000000001</v>
      </c>
      <c r="L1344">
        <f t="shared" si="120"/>
        <v>7.0000000000001172E-3</v>
      </c>
      <c r="W1344">
        <f t="shared" si="122"/>
        <v>-4.1433602651750178E-3</v>
      </c>
      <c r="X1344">
        <f t="shared" si="123"/>
        <v>3.4647633566627398E-3</v>
      </c>
      <c r="Y1344">
        <f t="shared" si="123"/>
        <v>1.0291234948193775E-2</v>
      </c>
      <c r="Z1344">
        <f t="shared" si="123"/>
        <v>3.3717336330429176E-3</v>
      </c>
      <c r="AE1344">
        <f>W1344-mu-theta*AE1343</f>
        <v>-3.0336326846423945E-3</v>
      </c>
      <c r="AF1344">
        <f t="shared" si="125"/>
        <v>5.6519954562202473E-3</v>
      </c>
      <c r="AG1344">
        <f t="shared" si="125"/>
        <v>1.0114991163219839E-2</v>
      </c>
      <c r="AK1344">
        <f t="shared" si="124"/>
        <v>9.2029272653306212E-6</v>
      </c>
    </row>
    <row r="1345" spans="1:37" x14ac:dyDescent="0.3">
      <c r="A1345" s="1">
        <v>45809</v>
      </c>
      <c r="B1345">
        <v>1.1341000000000001</v>
      </c>
      <c r="C1345">
        <v>1.345</v>
      </c>
      <c r="D1345">
        <v>143.94999999999999</v>
      </c>
      <c r="G1345">
        <v>1.1341000000000001</v>
      </c>
      <c r="H1345">
        <f t="shared" si="121"/>
        <v>1.1365000000000001</v>
      </c>
      <c r="I1345">
        <f t="shared" si="121"/>
        <v>1.1294999999999999</v>
      </c>
      <c r="J1345">
        <f t="shared" si="121"/>
        <v>1.1328</v>
      </c>
      <c r="L1345">
        <f t="shared" si="120"/>
        <v>-2.3999999999999577E-3</v>
      </c>
      <c r="W1345">
        <f t="shared" si="122"/>
        <v>-1.80292628805228E-3</v>
      </c>
      <c r="X1345">
        <f t="shared" si="123"/>
        <v>-4.1433602651750178E-3</v>
      </c>
      <c r="Y1345">
        <f t="shared" si="123"/>
        <v>3.4647633566627398E-3</v>
      </c>
      <c r="Z1345">
        <f t="shared" si="123"/>
        <v>1.0291234948193775E-2</v>
      </c>
      <c r="AE1345">
        <f>W1345-mu-theta*AE1344</f>
        <v>-2.7901766538957228E-3</v>
      </c>
      <c r="AF1345">
        <f t="shared" si="125"/>
        <v>-3.0336326846423945E-3</v>
      </c>
      <c r="AG1345">
        <f t="shared" si="125"/>
        <v>5.6519954562202473E-3</v>
      </c>
      <c r="AK1345">
        <f t="shared" si="124"/>
        <v>7.785085759944733E-6</v>
      </c>
    </row>
    <row r="1346" spans="1:37" x14ac:dyDescent="0.3">
      <c r="A1346" s="1">
        <v>45810</v>
      </c>
      <c r="B1346">
        <v>1.1438999999999999</v>
      </c>
      <c r="C1346">
        <v>1.3534999999999999</v>
      </c>
      <c r="D1346">
        <v>142.71</v>
      </c>
      <c r="G1346">
        <v>1.1438999999999999</v>
      </c>
      <c r="H1346">
        <f t="shared" si="121"/>
        <v>1.1341000000000001</v>
      </c>
      <c r="I1346">
        <f t="shared" si="121"/>
        <v>1.1365000000000001</v>
      </c>
      <c r="J1346">
        <f t="shared" si="121"/>
        <v>1.1294999999999999</v>
      </c>
      <c r="L1346">
        <f t="shared" si="120"/>
        <v>9.7999999999998089E-3</v>
      </c>
      <c r="W1346">
        <f t="shared" si="122"/>
        <v>-8.6141021187911126E-3</v>
      </c>
      <c r="X1346">
        <f t="shared" si="123"/>
        <v>-1.80292628805228E-3</v>
      </c>
      <c r="Y1346">
        <f t="shared" si="123"/>
        <v>-4.1433602651750178E-3</v>
      </c>
      <c r="Z1346">
        <f t="shared" si="123"/>
        <v>3.4647633566627398E-3</v>
      </c>
      <c r="AE1346">
        <f>W1346-mu-theta*AE1345</f>
        <v>-9.5425747060895339E-3</v>
      </c>
      <c r="AF1346">
        <f t="shared" si="125"/>
        <v>-2.7901766538957228E-3</v>
      </c>
      <c r="AG1346">
        <f t="shared" si="125"/>
        <v>-3.0336326846423945E-3</v>
      </c>
      <c r="AK1346">
        <f t="shared" si="124"/>
        <v>9.1060732021299749E-5</v>
      </c>
    </row>
    <row r="1347" spans="1:37" x14ac:dyDescent="0.3">
      <c r="A1347" s="1">
        <v>45811</v>
      </c>
      <c r="B1347">
        <v>1.1373</v>
      </c>
      <c r="C1347">
        <v>1.3514999999999999</v>
      </c>
      <c r="D1347">
        <v>143.96</v>
      </c>
      <c r="G1347">
        <v>1.1373</v>
      </c>
      <c r="H1347">
        <f t="shared" si="121"/>
        <v>1.1438999999999999</v>
      </c>
      <c r="I1347">
        <f t="shared" si="121"/>
        <v>1.1341000000000001</v>
      </c>
      <c r="J1347">
        <f t="shared" si="121"/>
        <v>1.1365000000000001</v>
      </c>
      <c r="L1347">
        <f t="shared" si="120"/>
        <v>-6.5999999999999392E-3</v>
      </c>
      <c r="W1347">
        <f t="shared" si="122"/>
        <v>8.7590217924462185E-3</v>
      </c>
      <c r="X1347">
        <f t="shared" si="123"/>
        <v>-8.6141021187911126E-3</v>
      </c>
      <c r="Y1347">
        <f t="shared" si="123"/>
        <v>-1.80292628805228E-3</v>
      </c>
      <c r="Z1347">
        <f t="shared" si="123"/>
        <v>-4.1433602651750178E-3</v>
      </c>
      <c r="AE1347">
        <f>W1347-mu-theta*AE1346</f>
        <v>6.2003125002182656E-3</v>
      </c>
      <c r="AF1347">
        <f t="shared" si="125"/>
        <v>-9.5425747060895339E-3</v>
      </c>
      <c r="AG1347">
        <f t="shared" si="125"/>
        <v>-2.7901766538957228E-3</v>
      </c>
      <c r="AK1347">
        <f t="shared" si="124"/>
        <v>3.8443875100362879E-5</v>
      </c>
    </row>
    <row r="1348" spans="1:37" x14ac:dyDescent="0.3">
      <c r="A1348" s="1">
        <v>45812</v>
      </c>
      <c r="B1348">
        <v>1.1416999999999999</v>
      </c>
      <c r="C1348">
        <v>1.3555999999999999</v>
      </c>
      <c r="D1348">
        <v>142.76</v>
      </c>
      <c r="G1348">
        <v>1.1416999999999999</v>
      </c>
      <c r="H1348">
        <f t="shared" si="121"/>
        <v>1.1373</v>
      </c>
      <c r="I1348">
        <f t="shared" si="121"/>
        <v>1.1438999999999999</v>
      </c>
      <c r="J1348">
        <f t="shared" si="121"/>
        <v>1.1341000000000001</v>
      </c>
      <c r="L1348">
        <f t="shared" si="120"/>
        <v>4.3999999999999595E-3</v>
      </c>
      <c r="W1348">
        <f t="shared" si="122"/>
        <v>-8.3356487913310434E-3</v>
      </c>
      <c r="X1348">
        <f t="shared" si="123"/>
        <v>8.7590217924462185E-3</v>
      </c>
      <c r="Y1348">
        <f t="shared" si="123"/>
        <v>-8.6141021187911126E-3</v>
      </c>
      <c r="Z1348">
        <f t="shared" si="123"/>
        <v>-1.80292628805228E-3</v>
      </c>
      <c r="AE1348">
        <f>W1348-mu-theta*AE1347</f>
        <v>-7.0935406011017488E-3</v>
      </c>
      <c r="AF1348">
        <f t="shared" si="125"/>
        <v>6.2003125002182656E-3</v>
      </c>
      <c r="AG1348">
        <f t="shared" si="125"/>
        <v>-9.5425747060895339E-3</v>
      </c>
      <c r="AK1348">
        <f t="shared" si="124"/>
        <v>5.031831825947896E-5</v>
      </c>
    </row>
    <row r="1349" spans="1:37" x14ac:dyDescent="0.3">
      <c r="A1349" s="1">
        <v>45813</v>
      </c>
      <c r="B1349">
        <v>1.1443000000000001</v>
      </c>
      <c r="C1349">
        <v>1.3575999999999999</v>
      </c>
      <c r="D1349">
        <v>143.47</v>
      </c>
      <c r="G1349">
        <v>1.1443000000000001</v>
      </c>
      <c r="H1349">
        <f t="shared" si="121"/>
        <v>1.1416999999999999</v>
      </c>
      <c r="I1349">
        <f t="shared" si="121"/>
        <v>1.1373</v>
      </c>
      <c r="J1349">
        <f t="shared" si="121"/>
        <v>1.1438999999999999</v>
      </c>
      <c r="L1349">
        <f t="shared" si="120"/>
        <v>2.6000000000001577E-3</v>
      </c>
      <c r="W1349">
        <f t="shared" si="122"/>
        <v>4.9733818996918469E-3</v>
      </c>
      <c r="X1349">
        <f t="shared" si="123"/>
        <v>-8.3356487913310434E-3</v>
      </c>
      <c r="Y1349">
        <f t="shared" si="123"/>
        <v>8.7590217924462185E-3</v>
      </c>
      <c r="Z1349">
        <f t="shared" si="123"/>
        <v>-8.6141021187911126E-3</v>
      </c>
      <c r="AE1349">
        <f>W1349-mu-theta*AE1348</f>
        <v>3.0059448130884104E-3</v>
      </c>
      <c r="AF1349">
        <f t="shared" si="125"/>
        <v>-7.0935406011017488E-3</v>
      </c>
      <c r="AG1349">
        <f t="shared" si="125"/>
        <v>6.2003125002182656E-3</v>
      </c>
      <c r="AK1349">
        <f t="shared" si="124"/>
        <v>9.0357042193331185E-6</v>
      </c>
    </row>
    <row r="1350" spans="1:37" x14ac:dyDescent="0.3">
      <c r="A1350" s="1">
        <v>45816</v>
      </c>
      <c r="B1350">
        <v>1.1391</v>
      </c>
      <c r="C1350">
        <v>1.3522000000000001</v>
      </c>
      <c r="D1350">
        <v>144.80000000000001</v>
      </c>
      <c r="G1350">
        <v>1.1391</v>
      </c>
      <c r="H1350">
        <f t="shared" si="121"/>
        <v>1.1443000000000001</v>
      </c>
      <c r="I1350">
        <f t="shared" si="121"/>
        <v>1.1416999999999999</v>
      </c>
      <c r="J1350">
        <f t="shared" si="121"/>
        <v>1.1373</v>
      </c>
      <c r="L1350">
        <f t="shared" ref="L1350:L1413" si="126">G1350-H1350</f>
        <v>-5.2000000000000934E-3</v>
      </c>
      <c r="W1350">
        <f t="shared" si="122"/>
        <v>9.270230710253102E-3</v>
      </c>
      <c r="X1350">
        <f t="shared" si="123"/>
        <v>4.9733818996918469E-3</v>
      </c>
      <c r="Y1350">
        <f t="shared" si="123"/>
        <v>-8.3356487913310434E-3</v>
      </c>
      <c r="Z1350">
        <f t="shared" si="123"/>
        <v>8.7590217924462185E-3</v>
      </c>
      <c r="AE1350">
        <f>W1350-mu-theta*AE1349</f>
        <v>9.7411202293751688E-3</v>
      </c>
      <c r="AF1350">
        <f t="shared" si="125"/>
        <v>3.0059448130884104E-3</v>
      </c>
      <c r="AG1350">
        <f t="shared" si="125"/>
        <v>-7.0935406011017488E-3</v>
      </c>
      <c r="AK1350">
        <f t="shared" si="124"/>
        <v>9.4889423323142144E-5</v>
      </c>
    </row>
    <row r="1351" spans="1:37" x14ac:dyDescent="0.3">
      <c r="A1351" s="1">
        <v>45817</v>
      </c>
      <c r="B1351">
        <v>1.1422000000000001</v>
      </c>
      <c r="C1351">
        <v>1.3554999999999999</v>
      </c>
      <c r="D1351">
        <v>144.54</v>
      </c>
      <c r="G1351">
        <v>1.1422000000000001</v>
      </c>
      <c r="H1351">
        <f t="shared" ref="H1351:J1414" si="127">G1350</f>
        <v>1.1391</v>
      </c>
      <c r="I1351">
        <f t="shared" si="127"/>
        <v>1.1443000000000001</v>
      </c>
      <c r="J1351">
        <f t="shared" si="127"/>
        <v>1.1416999999999999</v>
      </c>
      <c r="L1351">
        <f t="shared" si="126"/>
        <v>3.1000000000001027E-3</v>
      </c>
      <c r="W1351">
        <f t="shared" ref="W1351:W1414" si="128">(D1351-D1350)/D1350</f>
        <v>-1.795580110497371E-3</v>
      </c>
      <c r="X1351">
        <f t="shared" si="123"/>
        <v>9.270230710253102E-3</v>
      </c>
      <c r="Y1351">
        <f t="shared" si="123"/>
        <v>4.9733818996918469E-3</v>
      </c>
      <c r="Z1351">
        <f t="shared" si="123"/>
        <v>-8.3356487913310434E-3</v>
      </c>
      <c r="AE1351">
        <f>W1351-mu-theta*AE1350</f>
        <v>3.0138803919393465E-4</v>
      </c>
      <c r="AF1351">
        <f t="shared" si="125"/>
        <v>9.7411202293751688E-3</v>
      </c>
      <c r="AG1351">
        <f t="shared" si="125"/>
        <v>3.0059448130884104E-3</v>
      </c>
      <c r="AK1351">
        <f t="shared" si="124"/>
        <v>9.0834750169164681E-8</v>
      </c>
    </row>
    <row r="1352" spans="1:37" x14ac:dyDescent="0.3">
      <c r="A1352" s="1">
        <v>45818</v>
      </c>
      <c r="B1352">
        <v>1.1426000000000001</v>
      </c>
      <c r="C1352">
        <v>1.3493999999999999</v>
      </c>
      <c r="D1352">
        <v>144.83000000000001</v>
      </c>
      <c r="G1352">
        <v>1.1426000000000001</v>
      </c>
      <c r="H1352">
        <f t="shared" si="127"/>
        <v>1.1422000000000001</v>
      </c>
      <c r="I1352">
        <f t="shared" si="127"/>
        <v>1.1391</v>
      </c>
      <c r="J1352">
        <f t="shared" si="127"/>
        <v>1.1443000000000001</v>
      </c>
      <c r="L1352">
        <f t="shared" si="126"/>
        <v>3.9999999999995595E-4</v>
      </c>
      <c r="W1352">
        <f t="shared" si="128"/>
        <v>2.0063650200637917E-3</v>
      </c>
      <c r="X1352">
        <f t="shared" ref="X1352:Z1415" si="129">W1351</f>
        <v>-1.795580110497371E-3</v>
      </c>
      <c r="Y1352">
        <f t="shared" si="129"/>
        <v>9.270230710253102E-3</v>
      </c>
      <c r="Z1352">
        <f t="shared" si="129"/>
        <v>4.9733818996918469E-3</v>
      </c>
      <c r="AE1352">
        <f>W1352-mu-theta*AE1351</f>
        <v>1.8242912971956889E-3</v>
      </c>
      <c r="AF1352">
        <f t="shared" si="125"/>
        <v>3.0138803919393465E-4</v>
      </c>
      <c r="AG1352">
        <f t="shared" si="125"/>
        <v>9.7411202293751688E-3</v>
      </c>
      <c r="AK1352">
        <f t="shared" ref="AK1352:AK1415" si="130">POWER(AE1352,2)</f>
        <v>3.3280387370239291E-6</v>
      </c>
    </row>
    <row r="1353" spans="1:37" x14ac:dyDescent="0.3">
      <c r="A1353" s="1">
        <v>45819</v>
      </c>
      <c r="B1353">
        <v>1.1491</v>
      </c>
      <c r="C1353">
        <v>1.3552</v>
      </c>
      <c r="D1353">
        <v>144.53</v>
      </c>
      <c r="G1353">
        <v>1.1491</v>
      </c>
      <c r="H1353">
        <f t="shared" si="127"/>
        <v>1.1426000000000001</v>
      </c>
      <c r="I1353">
        <f t="shared" si="127"/>
        <v>1.1422000000000001</v>
      </c>
      <c r="J1353">
        <f t="shared" si="127"/>
        <v>1.1391</v>
      </c>
      <c r="L1353">
        <f t="shared" si="126"/>
        <v>6.4999999999999503E-3</v>
      </c>
      <c r="W1353">
        <f t="shared" si="128"/>
        <v>-2.0713940481945133E-3</v>
      </c>
      <c r="X1353">
        <f t="shared" si="129"/>
        <v>2.0063650200637917E-3</v>
      </c>
      <c r="Y1353">
        <f t="shared" si="129"/>
        <v>-1.795580110497371E-3</v>
      </c>
      <c r="Z1353">
        <f t="shared" si="129"/>
        <v>9.270230710253102E-3</v>
      </c>
      <c r="AE1353">
        <f>W1353-mu-theta*AE1352</f>
        <v>-1.8857920549598581E-3</v>
      </c>
      <c r="AF1353">
        <f t="shared" ref="AF1353:AG1416" si="131">AE1352</f>
        <v>1.8242912971956889E-3</v>
      </c>
      <c r="AG1353">
        <f t="shared" si="131"/>
        <v>3.0138803919393465E-4</v>
      </c>
      <c r="AK1353">
        <f t="shared" si="130"/>
        <v>3.5562116745497245E-6</v>
      </c>
    </row>
    <row r="1354" spans="1:37" x14ac:dyDescent="0.3">
      <c r="A1354" s="1">
        <v>45820</v>
      </c>
      <c r="B1354">
        <v>1.1580999999999999</v>
      </c>
      <c r="C1354">
        <v>1.3609</v>
      </c>
      <c r="D1354">
        <v>143.46</v>
      </c>
      <c r="G1354">
        <v>1.1580999999999999</v>
      </c>
      <c r="H1354">
        <f t="shared" si="127"/>
        <v>1.1491</v>
      </c>
      <c r="I1354">
        <f t="shared" si="127"/>
        <v>1.1426000000000001</v>
      </c>
      <c r="J1354">
        <f t="shared" si="127"/>
        <v>1.1422000000000001</v>
      </c>
      <c r="L1354">
        <f t="shared" si="126"/>
        <v>8.999999999999897E-3</v>
      </c>
      <c r="W1354">
        <f t="shared" si="128"/>
        <v>-7.4033072718466281E-3</v>
      </c>
      <c r="X1354">
        <f t="shared" si="129"/>
        <v>-2.0713940481945133E-3</v>
      </c>
      <c r="Y1354">
        <f t="shared" si="129"/>
        <v>2.0063650200637917E-3</v>
      </c>
      <c r="Z1354">
        <f t="shared" si="129"/>
        <v>-1.795580110497371E-3</v>
      </c>
      <c r="AE1354">
        <f>W1354-mu-theta*AE1353</f>
        <v>-8.1134335831758476E-3</v>
      </c>
      <c r="AF1354">
        <f t="shared" si="131"/>
        <v>-1.8857920549598581E-3</v>
      </c>
      <c r="AG1354">
        <f t="shared" si="131"/>
        <v>1.8242912971956889E-3</v>
      </c>
      <c r="AK1354">
        <f t="shared" si="130"/>
        <v>6.5827804508605668E-5</v>
      </c>
    </row>
    <row r="1355" spans="1:37" x14ac:dyDescent="0.3">
      <c r="A1355" s="1">
        <v>45823</v>
      </c>
      <c r="B1355">
        <v>1.1535</v>
      </c>
      <c r="C1355">
        <v>1.3553999999999999</v>
      </c>
      <c r="D1355">
        <v>143.88</v>
      </c>
      <c r="G1355">
        <v>1.1535</v>
      </c>
      <c r="H1355">
        <f t="shared" si="127"/>
        <v>1.1580999999999999</v>
      </c>
      <c r="I1355">
        <f t="shared" si="127"/>
        <v>1.1491</v>
      </c>
      <c r="J1355">
        <f t="shared" si="127"/>
        <v>1.1426000000000001</v>
      </c>
      <c r="L1355">
        <f t="shared" si="126"/>
        <v>-4.5999999999999375E-3</v>
      </c>
      <c r="W1355">
        <f t="shared" si="128"/>
        <v>2.9276453366791264E-3</v>
      </c>
      <c r="X1355">
        <f t="shared" si="129"/>
        <v>-7.4033072718466281E-3</v>
      </c>
      <c r="Y1355">
        <f t="shared" si="129"/>
        <v>-2.0713940481945133E-3</v>
      </c>
      <c r="Z1355">
        <f t="shared" si="129"/>
        <v>2.0063650200637917E-3</v>
      </c>
      <c r="AE1355">
        <f>W1355-mu-theta*AE1354</f>
        <v>7.1397469547399657E-4</v>
      </c>
      <c r="AF1355">
        <f t="shared" si="131"/>
        <v>-8.1134335831758476E-3</v>
      </c>
      <c r="AG1355">
        <f t="shared" si="131"/>
        <v>-1.8857920549598581E-3</v>
      </c>
      <c r="AK1355">
        <f t="shared" si="130"/>
        <v>5.0975986577718615E-7</v>
      </c>
    </row>
    <row r="1356" spans="1:37" x14ac:dyDescent="0.3">
      <c r="A1356" s="1">
        <v>45824</v>
      </c>
      <c r="B1356">
        <v>1.1566000000000001</v>
      </c>
      <c r="C1356">
        <v>1.3575999999999999</v>
      </c>
      <c r="D1356">
        <v>144.72</v>
      </c>
      <c r="G1356">
        <v>1.1566000000000001</v>
      </c>
      <c r="H1356">
        <f t="shared" si="127"/>
        <v>1.1535</v>
      </c>
      <c r="I1356">
        <f t="shared" si="127"/>
        <v>1.1580999999999999</v>
      </c>
      <c r="J1356">
        <f t="shared" si="127"/>
        <v>1.1491</v>
      </c>
      <c r="L1356">
        <f t="shared" si="126"/>
        <v>3.1000000000001027E-3</v>
      </c>
      <c r="W1356">
        <f t="shared" si="128"/>
        <v>5.8381984987489815E-3</v>
      </c>
      <c r="X1356">
        <f t="shared" si="129"/>
        <v>2.9276453366791264E-3</v>
      </c>
      <c r="Y1356">
        <f t="shared" si="129"/>
        <v>-7.4033072718466281E-3</v>
      </c>
      <c r="Z1356">
        <f t="shared" si="129"/>
        <v>-2.0713940481945133E-3</v>
      </c>
      <c r="AE1356">
        <f>W1356-mu-theta*AE1355</f>
        <v>5.7557358926771367E-3</v>
      </c>
      <c r="AF1356">
        <f t="shared" si="131"/>
        <v>7.1397469547399657E-4</v>
      </c>
      <c r="AG1356">
        <f t="shared" si="131"/>
        <v>-8.1134335831758476E-3</v>
      </c>
      <c r="AK1356">
        <f t="shared" si="130"/>
        <v>3.3128495666251877E-5</v>
      </c>
    </row>
    <row r="1357" spans="1:37" x14ac:dyDescent="0.3">
      <c r="A1357" s="1">
        <v>45825</v>
      </c>
      <c r="B1357">
        <v>1.1478999999999999</v>
      </c>
      <c r="C1357">
        <v>1.343</v>
      </c>
      <c r="D1357">
        <v>145.18</v>
      </c>
      <c r="G1357">
        <v>1.1478999999999999</v>
      </c>
      <c r="H1357">
        <f t="shared" si="127"/>
        <v>1.1566000000000001</v>
      </c>
      <c r="I1357">
        <f t="shared" si="127"/>
        <v>1.1535</v>
      </c>
      <c r="J1357">
        <f t="shared" si="127"/>
        <v>1.1580999999999999</v>
      </c>
      <c r="L1357">
        <f t="shared" si="126"/>
        <v>-8.7000000000001521E-3</v>
      </c>
      <c r="W1357">
        <f t="shared" si="128"/>
        <v>3.1785516860144275E-3</v>
      </c>
      <c r="X1357">
        <f t="shared" si="129"/>
        <v>5.8381984987489815E-3</v>
      </c>
      <c r="Y1357">
        <f t="shared" si="129"/>
        <v>2.9276453366791264E-3</v>
      </c>
      <c r="Z1357">
        <f t="shared" si="129"/>
        <v>-7.4033072718466281E-3</v>
      </c>
      <c r="AE1357">
        <f>W1357-mu-theta*AE1356</f>
        <v>4.3133254006745376E-3</v>
      </c>
      <c r="AF1357">
        <f t="shared" si="131"/>
        <v>5.7557358926771367E-3</v>
      </c>
      <c r="AG1357">
        <f t="shared" si="131"/>
        <v>7.1397469547399657E-4</v>
      </c>
      <c r="AK1357">
        <f t="shared" si="130"/>
        <v>1.8604776012104161E-5</v>
      </c>
    </row>
    <row r="1358" spans="1:37" x14ac:dyDescent="0.3">
      <c r="A1358" s="1">
        <v>45826</v>
      </c>
      <c r="B1358">
        <v>1.1483000000000001</v>
      </c>
      <c r="C1358">
        <v>1.3426</v>
      </c>
      <c r="D1358">
        <v>145.12</v>
      </c>
      <c r="G1358">
        <v>1.1483000000000001</v>
      </c>
      <c r="H1358">
        <f t="shared" si="127"/>
        <v>1.1478999999999999</v>
      </c>
      <c r="I1358">
        <f t="shared" si="127"/>
        <v>1.1566000000000001</v>
      </c>
      <c r="J1358">
        <f t="shared" si="127"/>
        <v>1.1535</v>
      </c>
      <c r="L1358">
        <f t="shared" si="126"/>
        <v>4.0000000000017799E-4</v>
      </c>
      <c r="W1358">
        <f t="shared" si="128"/>
        <v>-4.1328006612482624E-4</v>
      </c>
      <c r="X1358">
        <f t="shared" si="129"/>
        <v>3.1785516860144275E-3</v>
      </c>
      <c r="Y1358">
        <f t="shared" si="129"/>
        <v>5.8381984987489815E-3</v>
      </c>
      <c r="Z1358">
        <f t="shared" si="129"/>
        <v>2.9276453366791264E-3</v>
      </c>
      <c r="AE1358">
        <f>W1358-mu-theta*AE1357</f>
        <v>3.732513634297544E-4</v>
      </c>
      <c r="AF1358">
        <f t="shared" si="131"/>
        <v>4.3133254006745376E-3</v>
      </c>
      <c r="AG1358">
        <f t="shared" si="131"/>
        <v>5.7557358926771367E-3</v>
      </c>
      <c r="AK1358">
        <f t="shared" si="130"/>
        <v>1.393165803021706E-7</v>
      </c>
    </row>
    <row r="1359" spans="1:37" x14ac:dyDescent="0.3">
      <c r="A1359" s="1">
        <v>45827</v>
      </c>
      <c r="B1359">
        <v>1.1494</v>
      </c>
      <c r="C1359">
        <v>1.3454999999999999</v>
      </c>
      <c r="D1359">
        <v>145.44999999999999</v>
      </c>
      <c r="G1359">
        <v>1.1494</v>
      </c>
      <c r="H1359">
        <f t="shared" si="127"/>
        <v>1.1483000000000001</v>
      </c>
      <c r="I1359">
        <f t="shared" si="127"/>
        <v>1.1478999999999999</v>
      </c>
      <c r="J1359">
        <f t="shared" si="127"/>
        <v>1.1566000000000001</v>
      </c>
      <c r="L1359">
        <f t="shared" si="126"/>
        <v>1.0999999999998789E-3</v>
      </c>
      <c r="W1359">
        <f t="shared" si="128"/>
        <v>2.273980154354907E-3</v>
      </c>
      <c r="X1359">
        <f t="shared" si="129"/>
        <v>-4.1328006612482624E-4</v>
      </c>
      <c r="Y1359">
        <f t="shared" si="129"/>
        <v>3.1785516860144275E-3</v>
      </c>
      <c r="Z1359">
        <f t="shared" si="129"/>
        <v>5.8381984987489815E-3</v>
      </c>
      <c r="AE1359">
        <f>W1359-mu-theta*AE1358</f>
        <v>2.1092564496584111E-3</v>
      </c>
      <c r="AF1359">
        <f t="shared" si="131"/>
        <v>3.732513634297544E-4</v>
      </c>
      <c r="AG1359">
        <f t="shared" si="131"/>
        <v>4.3133254006745376E-3</v>
      </c>
      <c r="AK1359">
        <f t="shared" si="130"/>
        <v>4.4489627704256056E-6</v>
      </c>
    </row>
    <row r="1360" spans="1:37" x14ac:dyDescent="0.3">
      <c r="A1360" s="1">
        <v>45830</v>
      </c>
      <c r="B1360">
        <v>1.1478999999999999</v>
      </c>
      <c r="C1360">
        <v>1.3413999999999999</v>
      </c>
      <c r="D1360">
        <v>145.91999999999999</v>
      </c>
      <c r="G1360">
        <v>1.1478999999999999</v>
      </c>
      <c r="H1360">
        <f t="shared" si="127"/>
        <v>1.1494</v>
      </c>
      <c r="I1360">
        <f t="shared" si="127"/>
        <v>1.1483000000000001</v>
      </c>
      <c r="J1360">
        <f t="shared" si="127"/>
        <v>1.1478999999999999</v>
      </c>
      <c r="L1360">
        <f t="shared" si="126"/>
        <v>-1.5000000000000568E-3</v>
      </c>
      <c r="W1360">
        <f t="shared" si="128"/>
        <v>3.2313509797181087E-3</v>
      </c>
      <c r="X1360">
        <f t="shared" si="129"/>
        <v>2.273980154354907E-3</v>
      </c>
      <c r="Y1360">
        <f t="shared" si="129"/>
        <v>-4.1328006612482624E-4</v>
      </c>
      <c r="Z1360">
        <f t="shared" si="129"/>
        <v>3.1785516860144275E-3</v>
      </c>
      <c r="AE1360">
        <f>W1360-mu-theta*AE1359</f>
        <v>3.4857523309852244E-3</v>
      </c>
      <c r="AF1360">
        <f t="shared" si="131"/>
        <v>2.1092564496584111E-3</v>
      </c>
      <c r="AG1360">
        <f t="shared" si="131"/>
        <v>3.732513634297544E-4</v>
      </c>
      <c r="AK1360">
        <f t="shared" si="130"/>
        <v>1.2150469312968925E-5</v>
      </c>
    </row>
    <row r="1361" spans="1:37" x14ac:dyDescent="0.3">
      <c r="A1361" s="1">
        <v>45831</v>
      </c>
      <c r="B1361">
        <v>1.1576</v>
      </c>
      <c r="C1361">
        <v>1.3507</v>
      </c>
      <c r="D1361">
        <v>146.13999999999999</v>
      </c>
      <c r="G1361">
        <v>1.1576</v>
      </c>
      <c r="H1361">
        <f t="shared" si="127"/>
        <v>1.1478999999999999</v>
      </c>
      <c r="I1361">
        <f t="shared" si="127"/>
        <v>1.1494</v>
      </c>
      <c r="J1361">
        <f t="shared" si="127"/>
        <v>1.1483000000000001</v>
      </c>
      <c r="L1361">
        <f t="shared" si="126"/>
        <v>9.7000000000000419E-3</v>
      </c>
      <c r="W1361">
        <f t="shared" si="128"/>
        <v>1.5076754385964836E-3</v>
      </c>
      <c r="X1361">
        <f t="shared" si="129"/>
        <v>3.2313509797181087E-3</v>
      </c>
      <c r="Y1361">
        <f t="shared" si="129"/>
        <v>2.273980154354907E-3</v>
      </c>
      <c r="Z1361">
        <f t="shared" si="129"/>
        <v>-4.1328006612482624E-4</v>
      </c>
      <c r="AE1361">
        <f>W1361-mu-theta*AE1360</f>
        <v>2.0944052593314545E-3</v>
      </c>
      <c r="AF1361">
        <f t="shared" si="131"/>
        <v>3.4857523309852244E-3</v>
      </c>
      <c r="AG1361">
        <f t="shared" si="131"/>
        <v>2.1092564496584111E-3</v>
      </c>
      <c r="AK1361">
        <f t="shared" si="130"/>
        <v>4.3865333903152568E-6</v>
      </c>
    </row>
    <row r="1362" spans="1:37" x14ac:dyDescent="0.3">
      <c r="A1362" s="1">
        <v>45832</v>
      </c>
      <c r="B1362">
        <v>1.1608000000000001</v>
      </c>
      <c r="C1362">
        <v>1.3613999999999999</v>
      </c>
      <c r="D1362">
        <v>144.94</v>
      </c>
      <c r="G1362">
        <v>1.1608000000000001</v>
      </c>
      <c r="H1362">
        <f t="shared" si="127"/>
        <v>1.1576</v>
      </c>
      <c r="I1362">
        <f t="shared" si="127"/>
        <v>1.1478999999999999</v>
      </c>
      <c r="J1362">
        <f t="shared" si="127"/>
        <v>1.1494</v>
      </c>
      <c r="L1362">
        <f t="shared" si="126"/>
        <v>3.2000000000000917E-3</v>
      </c>
      <c r="W1362">
        <f t="shared" si="128"/>
        <v>-8.2113042288216014E-3</v>
      </c>
      <c r="X1362">
        <f t="shared" si="129"/>
        <v>1.5076754385964836E-3</v>
      </c>
      <c r="Y1362">
        <f t="shared" si="129"/>
        <v>3.2313509797181087E-3</v>
      </c>
      <c r="Z1362">
        <f t="shared" si="129"/>
        <v>2.273980154354907E-3</v>
      </c>
      <c r="AE1362">
        <f>W1362-mu-theta*AE1361</f>
        <v>-7.960488411966964E-3</v>
      </c>
      <c r="AF1362">
        <f t="shared" si="131"/>
        <v>2.0944052593314545E-3</v>
      </c>
      <c r="AG1362">
        <f t="shared" si="131"/>
        <v>3.4857523309852244E-3</v>
      </c>
      <c r="AK1362">
        <f t="shared" si="130"/>
        <v>6.336937575706031E-5</v>
      </c>
    </row>
    <row r="1363" spans="1:37" x14ac:dyDescent="0.3">
      <c r="A1363" s="1">
        <v>45833</v>
      </c>
      <c r="B1363">
        <v>1.1657999999999999</v>
      </c>
      <c r="C1363">
        <v>1.3662000000000001</v>
      </c>
      <c r="D1363">
        <v>145.19</v>
      </c>
      <c r="G1363">
        <v>1.1657999999999999</v>
      </c>
      <c r="H1363">
        <f t="shared" si="127"/>
        <v>1.1608000000000001</v>
      </c>
      <c r="I1363">
        <f t="shared" si="127"/>
        <v>1.1576</v>
      </c>
      <c r="J1363">
        <f t="shared" si="127"/>
        <v>1.1478999999999999</v>
      </c>
      <c r="L1363">
        <f t="shared" si="126"/>
        <v>4.9999999999998934E-3</v>
      </c>
      <c r="W1363">
        <f t="shared" si="128"/>
        <v>1.7248516627570028E-3</v>
      </c>
      <c r="X1363">
        <f t="shared" si="129"/>
        <v>-8.2113042288216014E-3</v>
      </c>
      <c r="Y1363">
        <f t="shared" si="129"/>
        <v>1.5076754385964836E-3</v>
      </c>
      <c r="Z1363">
        <f t="shared" si="129"/>
        <v>3.2313509797181087E-3</v>
      </c>
      <c r="AE1363">
        <f>W1363-mu-theta*AE1362</f>
        <v>-4.5189330700234399E-4</v>
      </c>
      <c r="AF1363">
        <f t="shared" si="131"/>
        <v>-7.960488411966964E-3</v>
      </c>
      <c r="AG1363">
        <f t="shared" si="131"/>
        <v>2.0944052593314545E-3</v>
      </c>
      <c r="AK1363">
        <f t="shared" si="130"/>
        <v>2.0420756091351473E-7</v>
      </c>
    </row>
    <row r="1364" spans="1:37" x14ac:dyDescent="0.3">
      <c r="A1364" s="1">
        <v>45834</v>
      </c>
      <c r="B1364">
        <v>1.1695</v>
      </c>
      <c r="C1364">
        <v>1.3731</v>
      </c>
      <c r="D1364">
        <v>144.37</v>
      </c>
      <c r="G1364">
        <v>1.1695</v>
      </c>
      <c r="H1364">
        <f t="shared" si="127"/>
        <v>1.1657999999999999</v>
      </c>
      <c r="I1364">
        <f t="shared" si="127"/>
        <v>1.1608000000000001</v>
      </c>
      <c r="J1364">
        <f t="shared" si="127"/>
        <v>1.1576</v>
      </c>
      <c r="L1364">
        <f t="shared" si="126"/>
        <v>3.7000000000000366E-3</v>
      </c>
      <c r="W1364">
        <f t="shared" si="128"/>
        <v>-5.6477718851160076E-3</v>
      </c>
      <c r="X1364">
        <f t="shared" si="129"/>
        <v>1.7248516627570028E-3</v>
      </c>
      <c r="Y1364">
        <f t="shared" si="129"/>
        <v>-8.2113042288216014E-3</v>
      </c>
      <c r="Z1364">
        <f t="shared" si="129"/>
        <v>1.5076754385964836E-3</v>
      </c>
      <c r="AE1364">
        <f>W1364-mu-theta*AE1363</f>
        <v>-6.0117109083138096E-3</v>
      </c>
      <c r="AF1364">
        <f t="shared" si="131"/>
        <v>-4.5189330700234399E-4</v>
      </c>
      <c r="AG1364">
        <f t="shared" si="131"/>
        <v>-7.960488411966964E-3</v>
      </c>
      <c r="AK1364">
        <f t="shared" si="130"/>
        <v>3.614066804513925E-5</v>
      </c>
    </row>
    <row r="1365" spans="1:37" x14ac:dyDescent="0.3">
      <c r="A1365" s="1">
        <v>45837</v>
      </c>
      <c r="B1365">
        <v>1.1711</v>
      </c>
      <c r="C1365">
        <v>1.3686</v>
      </c>
      <c r="D1365">
        <v>144.43</v>
      </c>
      <c r="G1365">
        <v>1.1711</v>
      </c>
      <c r="H1365">
        <f t="shared" si="127"/>
        <v>1.1695</v>
      </c>
      <c r="I1365">
        <f t="shared" si="127"/>
        <v>1.1657999999999999</v>
      </c>
      <c r="J1365">
        <f t="shared" si="127"/>
        <v>1.1608000000000001</v>
      </c>
      <c r="L1365">
        <f t="shared" si="126"/>
        <v>1.6000000000000458E-3</v>
      </c>
      <c r="W1365">
        <f t="shared" si="128"/>
        <v>4.1559880861676435E-4</v>
      </c>
      <c r="X1365">
        <f t="shared" si="129"/>
        <v>-5.6477718851160076E-3</v>
      </c>
      <c r="Y1365">
        <f t="shared" si="129"/>
        <v>1.7248516627570028E-3</v>
      </c>
      <c r="Z1365">
        <f t="shared" si="129"/>
        <v>-8.2113042288216014E-3</v>
      </c>
      <c r="AE1365">
        <f>W1365-mu-theta*AE1364</f>
        <v>-1.2906512952239272E-3</v>
      </c>
      <c r="AF1365">
        <f t="shared" si="131"/>
        <v>-6.0117109083138096E-3</v>
      </c>
      <c r="AG1365">
        <f t="shared" si="131"/>
        <v>-4.5189330700234399E-4</v>
      </c>
      <c r="AK1365">
        <f t="shared" si="130"/>
        <v>1.6657807658632009E-6</v>
      </c>
    </row>
    <row r="1366" spans="1:37" x14ac:dyDescent="0.3">
      <c r="A1366" s="1">
        <v>45838</v>
      </c>
      <c r="B1366">
        <v>1.1786000000000001</v>
      </c>
      <c r="C1366">
        <v>1.3733</v>
      </c>
      <c r="D1366">
        <v>144.01</v>
      </c>
      <c r="G1366">
        <v>1.1786000000000001</v>
      </c>
      <c r="H1366">
        <f t="shared" si="127"/>
        <v>1.1711</v>
      </c>
      <c r="I1366">
        <f t="shared" si="127"/>
        <v>1.1695</v>
      </c>
      <c r="J1366">
        <f t="shared" si="127"/>
        <v>1.1657999999999999</v>
      </c>
      <c r="L1366">
        <f t="shared" si="126"/>
        <v>7.5000000000000622E-3</v>
      </c>
      <c r="W1366">
        <f t="shared" si="128"/>
        <v>-2.9079831060030178E-3</v>
      </c>
      <c r="X1366">
        <f t="shared" si="129"/>
        <v>4.1559880861676435E-4</v>
      </c>
      <c r="Y1366">
        <f t="shared" si="129"/>
        <v>-5.6477718851160076E-3</v>
      </c>
      <c r="Z1366">
        <f t="shared" si="129"/>
        <v>1.7248516627570028E-3</v>
      </c>
      <c r="AE1366">
        <f>W1366-mu-theta*AE1365</f>
        <v>-3.4744241215866841E-3</v>
      </c>
      <c r="AF1366">
        <f t="shared" si="131"/>
        <v>-1.2906512952239272E-3</v>
      </c>
      <c r="AG1366">
        <f t="shared" si="131"/>
        <v>-6.0117109083138096E-3</v>
      </c>
      <c r="AK1366">
        <f t="shared" si="130"/>
        <v>1.2071622976663401E-5</v>
      </c>
    </row>
    <row r="1367" spans="1:37" x14ac:dyDescent="0.3">
      <c r="A1367" s="1">
        <v>45839</v>
      </c>
      <c r="B1367">
        <v>1.1801999999999999</v>
      </c>
      <c r="C1367">
        <v>1.3742000000000001</v>
      </c>
      <c r="D1367">
        <v>143.41</v>
      </c>
      <c r="G1367">
        <v>1.1801999999999999</v>
      </c>
      <c r="H1367">
        <f t="shared" si="127"/>
        <v>1.1786000000000001</v>
      </c>
      <c r="I1367">
        <f t="shared" si="127"/>
        <v>1.1711</v>
      </c>
      <c r="J1367">
        <f t="shared" si="127"/>
        <v>1.1695</v>
      </c>
      <c r="L1367">
        <f t="shared" si="126"/>
        <v>1.5999999999998238E-3</v>
      </c>
      <c r="W1367">
        <f t="shared" si="128"/>
        <v>-4.1663773349072588E-3</v>
      </c>
      <c r="X1367">
        <f t="shared" si="129"/>
        <v>-2.9079831060030178E-3</v>
      </c>
      <c r="Y1367">
        <f t="shared" si="129"/>
        <v>4.1559880861676435E-4</v>
      </c>
      <c r="Z1367">
        <f t="shared" si="129"/>
        <v>-5.6477718851160076E-3</v>
      </c>
      <c r="AE1367">
        <f>W1367-mu-theta*AE1366</f>
        <v>-5.2600483196435328E-3</v>
      </c>
      <c r="AF1367">
        <f t="shared" si="131"/>
        <v>-3.4744241215866841E-3</v>
      </c>
      <c r="AG1367">
        <f t="shared" si="131"/>
        <v>-1.2906512952239272E-3</v>
      </c>
      <c r="AK1367">
        <f t="shared" si="130"/>
        <v>2.7668108324984752E-5</v>
      </c>
    </row>
    <row r="1368" spans="1:37" x14ac:dyDescent="0.3">
      <c r="A1368" s="1">
        <v>45840</v>
      </c>
      <c r="B1368">
        <v>1.1798</v>
      </c>
      <c r="C1368">
        <v>1.3635999999999999</v>
      </c>
      <c r="D1368">
        <v>143.66999999999999</v>
      </c>
      <c r="G1368">
        <v>1.1798</v>
      </c>
      <c r="H1368">
        <f t="shared" si="127"/>
        <v>1.1801999999999999</v>
      </c>
      <c r="I1368">
        <f t="shared" si="127"/>
        <v>1.1786000000000001</v>
      </c>
      <c r="J1368">
        <f t="shared" si="127"/>
        <v>1.1711</v>
      </c>
      <c r="L1368">
        <f t="shared" si="126"/>
        <v>-3.9999999999995595E-4</v>
      </c>
      <c r="W1368">
        <f t="shared" si="128"/>
        <v>1.8129837528763051E-3</v>
      </c>
      <c r="X1368">
        <f t="shared" si="129"/>
        <v>-4.1663773349072588E-3</v>
      </c>
      <c r="Y1368">
        <f t="shared" si="129"/>
        <v>-2.9079831060030178E-3</v>
      </c>
      <c r="Z1368">
        <f t="shared" si="129"/>
        <v>4.1559880861676435E-4</v>
      </c>
      <c r="AE1368">
        <f>W1368-mu-theta*AE1367</f>
        <v>2.8820813147885675E-4</v>
      </c>
      <c r="AF1368">
        <f t="shared" si="131"/>
        <v>-5.2600483196435328E-3</v>
      </c>
      <c r="AG1368">
        <f t="shared" si="131"/>
        <v>-3.4744241215866841E-3</v>
      </c>
      <c r="AK1368">
        <f t="shared" si="130"/>
        <v>8.3063927050533981E-8</v>
      </c>
    </row>
    <row r="1369" spans="1:37" x14ac:dyDescent="0.3">
      <c r="A1369" s="1">
        <v>45841</v>
      </c>
      <c r="B1369">
        <v>1.1756</v>
      </c>
      <c r="C1369">
        <v>1.3655999999999999</v>
      </c>
      <c r="D1369">
        <v>144.91</v>
      </c>
      <c r="G1369">
        <v>1.1756</v>
      </c>
      <c r="H1369">
        <f t="shared" si="127"/>
        <v>1.1798</v>
      </c>
      <c r="I1369">
        <f t="shared" si="127"/>
        <v>1.1801999999999999</v>
      </c>
      <c r="J1369">
        <f t="shared" si="127"/>
        <v>1.1786000000000001</v>
      </c>
      <c r="L1369">
        <f t="shared" si="126"/>
        <v>-4.1999999999999815E-3</v>
      </c>
      <c r="W1369">
        <f t="shared" si="128"/>
        <v>8.6308902345653866E-3</v>
      </c>
      <c r="X1369">
        <f t="shared" si="129"/>
        <v>1.8129837528763051E-3</v>
      </c>
      <c r="Y1369">
        <f t="shared" si="129"/>
        <v>-4.1663773349072588E-3</v>
      </c>
      <c r="Z1369">
        <f t="shared" si="129"/>
        <v>-2.9079831060030178E-3</v>
      </c>
      <c r="AE1369">
        <f>W1369-mu-theta*AE1368</f>
        <v>8.4456344763435293E-3</v>
      </c>
      <c r="AF1369">
        <f t="shared" si="131"/>
        <v>2.8820813147885675E-4</v>
      </c>
      <c r="AG1369">
        <f t="shared" si="131"/>
        <v>-5.2600483196435328E-3</v>
      </c>
      <c r="AK1369">
        <f t="shared" si="130"/>
        <v>7.1328741708002436E-5</v>
      </c>
    </row>
    <row r="1370" spans="1:37" x14ac:dyDescent="0.3">
      <c r="A1370" s="1">
        <v>45844</v>
      </c>
      <c r="B1370">
        <v>1.177</v>
      </c>
      <c r="C1370">
        <v>1.3625</v>
      </c>
      <c r="D1370">
        <v>144.37</v>
      </c>
      <c r="G1370">
        <v>1.177</v>
      </c>
      <c r="H1370">
        <f t="shared" si="127"/>
        <v>1.1756</v>
      </c>
      <c r="I1370">
        <f t="shared" si="127"/>
        <v>1.1798</v>
      </c>
      <c r="J1370">
        <f t="shared" si="127"/>
        <v>1.1801999999999999</v>
      </c>
      <c r="L1370">
        <f t="shared" si="126"/>
        <v>1.4000000000000679E-3</v>
      </c>
      <c r="W1370">
        <f t="shared" si="128"/>
        <v>-3.7264509005589127E-3</v>
      </c>
      <c r="X1370">
        <f t="shared" si="129"/>
        <v>8.6308902345653866E-3</v>
      </c>
      <c r="Y1370">
        <f t="shared" si="129"/>
        <v>1.8129837528763051E-3</v>
      </c>
      <c r="Z1370">
        <f t="shared" si="129"/>
        <v>-4.1663773349072588E-3</v>
      </c>
      <c r="AE1370">
        <f>W1370-mu-theta*AE1369</f>
        <v>-1.9422528821573777E-3</v>
      </c>
      <c r="AF1370">
        <f t="shared" si="131"/>
        <v>8.4456344763435293E-3</v>
      </c>
      <c r="AG1370">
        <f t="shared" si="131"/>
        <v>2.8820813147885675E-4</v>
      </c>
      <c r="AK1370">
        <f t="shared" si="130"/>
        <v>3.7723462582486408E-6</v>
      </c>
    </row>
    <row r="1371" spans="1:37" x14ac:dyDescent="0.3">
      <c r="A1371" s="1">
        <v>45845</v>
      </c>
      <c r="B1371">
        <v>1.1709000000000001</v>
      </c>
      <c r="C1371">
        <v>1.3599000000000001</v>
      </c>
      <c r="D1371">
        <v>146.01</v>
      </c>
      <c r="G1371">
        <v>1.1709000000000001</v>
      </c>
      <c r="H1371">
        <f t="shared" si="127"/>
        <v>1.177</v>
      </c>
      <c r="I1371">
        <f t="shared" si="127"/>
        <v>1.1756</v>
      </c>
      <c r="J1371">
        <f t="shared" si="127"/>
        <v>1.1798</v>
      </c>
      <c r="L1371">
        <f t="shared" si="126"/>
        <v>-6.0999999999999943E-3</v>
      </c>
      <c r="W1371">
        <f t="shared" si="128"/>
        <v>1.1359700768857702E-2</v>
      </c>
      <c r="X1371">
        <f t="shared" si="129"/>
        <v>-3.7264509005589127E-3</v>
      </c>
      <c r="Y1371">
        <f t="shared" si="129"/>
        <v>8.6308902345653866E-3</v>
      </c>
      <c r="Z1371">
        <f t="shared" si="129"/>
        <v>1.8129837528763051E-3</v>
      </c>
      <c r="AE1371">
        <f>W1371-mu-theta*AE1370</f>
        <v>1.0635943076176761E-2</v>
      </c>
      <c r="AF1371">
        <f t="shared" si="131"/>
        <v>-1.9422528821573777E-3</v>
      </c>
      <c r="AG1371">
        <f t="shared" si="131"/>
        <v>8.4456344763435293E-3</v>
      </c>
      <c r="AK1371">
        <f t="shared" si="130"/>
        <v>1.1312328511967239E-4</v>
      </c>
    </row>
    <row r="1372" spans="1:37" x14ac:dyDescent="0.3">
      <c r="A1372" s="1">
        <v>45846</v>
      </c>
      <c r="B1372">
        <v>1.1724000000000001</v>
      </c>
      <c r="C1372">
        <v>1.3585</v>
      </c>
      <c r="D1372">
        <v>146.55000000000001</v>
      </c>
      <c r="G1372">
        <v>1.1724000000000001</v>
      </c>
      <c r="H1372">
        <f t="shared" si="127"/>
        <v>1.1709000000000001</v>
      </c>
      <c r="I1372">
        <f t="shared" si="127"/>
        <v>1.177</v>
      </c>
      <c r="J1372">
        <f t="shared" si="127"/>
        <v>1.1756</v>
      </c>
      <c r="L1372">
        <f t="shared" si="126"/>
        <v>1.5000000000000568E-3</v>
      </c>
      <c r="W1372">
        <f t="shared" si="128"/>
        <v>3.69837682350538E-3</v>
      </c>
      <c r="X1372">
        <f t="shared" si="129"/>
        <v>1.1359700768857702E-2</v>
      </c>
      <c r="Y1372">
        <f t="shared" si="129"/>
        <v>-3.7264509005589127E-3</v>
      </c>
      <c r="Z1372">
        <f t="shared" si="129"/>
        <v>8.6308902345653866E-3</v>
      </c>
      <c r="AE1372">
        <f>W1372-mu-theta*AE1371</f>
        <v>6.0113827479234792E-3</v>
      </c>
      <c r="AF1372">
        <f t="shared" si="131"/>
        <v>1.0635943076176761E-2</v>
      </c>
      <c r="AG1372">
        <f t="shared" si="131"/>
        <v>-1.9422528821573777E-3</v>
      </c>
      <c r="AK1372">
        <f t="shared" si="130"/>
        <v>3.6136722542032039E-5</v>
      </c>
    </row>
    <row r="1373" spans="1:37" x14ac:dyDescent="0.3">
      <c r="A1373" s="1">
        <v>45847</v>
      </c>
      <c r="B1373">
        <v>1.1719999999999999</v>
      </c>
      <c r="C1373">
        <v>1.3586</v>
      </c>
      <c r="D1373">
        <v>146.31</v>
      </c>
      <c r="G1373">
        <v>1.1719999999999999</v>
      </c>
      <c r="H1373">
        <f t="shared" si="127"/>
        <v>1.1724000000000001</v>
      </c>
      <c r="I1373">
        <f t="shared" si="127"/>
        <v>1.1709000000000001</v>
      </c>
      <c r="J1373">
        <f t="shared" si="127"/>
        <v>1.177</v>
      </c>
      <c r="L1373">
        <f t="shared" si="126"/>
        <v>-4.0000000000017799E-4</v>
      </c>
      <c r="W1373">
        <f t="shared" si="128"/>
        <v>-1.6376663254862442E-3</v>
      </c>
      <c r="X1373">
        <f t="shared" si="129"/>
        <v>3.69837682350538E-3</v>
      </c>
      <c r="Y1373">
        <f t="shared" si="129"/>
        <v>1.1359700768857702E-2</v>
      </c>
      <c r="Z1373">
        <f t="shared" si="129"/>
        <v>-3.7264509005589127E-3</v>
      </c>
      <c r="AE1373">
        <f>W1373-mu-theta*AE1372</f>
        <v>-4.4117159205607015E-4</v>
      </c>
      <c r="AF1373">
        <f t="shared" si="131"/>
        <v>6.0113827479234792E-3</v>
      </c>
      <c r="AG1373">
        <f t="shared" si="131"/>
        <v>1.0635943076176761E-2</v>
      </c>
      <c r="AK1373">
        <f t="shared" si="130"/>
        <v>1.9463237363728757E-7</v>
      </c>
    </row>
    <row r="1374" spans="1:37" x14ac:dyDescent="0.3">
      <c r="A1374" s="1">
        <v>45848</v>
      </c>
      <c r="B1374">
        <v>1.17</v>
      </c>
      <c r="C1374">
        <v>1.3567</v>
      </c>
      <c r="D1374">
        <v>146.25</v>
      </c>
      <c r="G1374">
        <v>1.17</v>
      </c>
      <c r="H1374">
        <f t="shared" si="127"/>
        <v>1.1719999999999999</v>
      </c>
      <c r="I1374">
        <f t="shared" si="127"/>
        <v>1.1724000000000001</v>
      </c>
      <c r="J1374">
        <f t="shared" si="127"/>
        <v>1.1709000000000001</v>
      </c>
      <c r="L1374">
        <f t="shared" si="126"/>
        <v>-2.0000000000000018E-3</v>
      </c>
      <c r="W1374">
        <f t="shared" si="128"/>
        <v>-4.1008816895634113E-4</v>
      </c>
      <c r="X1374">
        <f t="shared" si="129"/>
        <v>-1.6376663254862442E-3</v>
      </c>
      <c r="Y1374">
        <f t="shared" si="129"/>
        <v>3.69837682350538E-3</v>
      </c>
      <c r="Z1374">
        <f t="shared" si="129"/>
        <v>1.1359700768857702E-2</v>
      </c>
      <c r="AE1374">
        <f>W1374-mu-theta*AE1373</f>
        <v>-7.7143864018932998E-4</v>
      </c>
      <c r="AF1374">
        <f t="shared" si="131"/>
        <v>-4.4117159205607015E-4</v>
      </c>
      <c r="AG1374">
        <f t="shared" si="131"/>
        <v>6.0113827479234792E-3</v>
      </c>
      <c r="AK1374">
        <f t="shared" si="130"/>
        <v>5.9511757557716257E-7</v>
      </c>
    </row>
    <row r="1375" spans="1:37" x14ac:dyDescent="0.3">
      <c r="A1375" s="1">
        <v>45851</v>
      </c>
      <c r="B1375">
        <v>1.1673</v>
      </c>
      <c r="C1375">
        <v>1.3485</v>
      </c>
      <c r="D1375">
        <v>147.18</v>
      </c>
      <c r="G1375">
        <v>1.1673</v>
      </c>
      <c r="H1375">
        <f t="shared" si="127"/>
        <v>1.17</v>
      </c>
      <c r="I1375">
        <f t="shared" si="127"/>
        <v>1.1719999999999999</v>
      </c>
      <c r="J1375">
        <f t="shared" si="127"/>
        <v>1.1724000000000001</v>
      </c>
      <c r="L1375">
        <f t="shared" si="126"/>
        <v>-2.6999999999999247E-3</v>
      </c>
      <c r="W1375">
        <f t="shared" si="128"/>
        <v>6.3589743589744056E-3</v>
      </c>
      <c r="X1375">
        <f t="shared" si="129"/>
        <v>-4.1008816895634113E-4</v>
      </c>
      <c r="Y1375">
        <f t="shared" si="129"/>
        <v>-1.6376663254862442E-3</v>
      </c>
      <c r="Z1375">
        <f t="shared" si="129"/>
        <v>3.69837682350538E-3</v>
      </c>
      <c r="AE1375">
        <f>W1375-mu-theta*AE1374</f>
        <v>5.9178872578606236E-3</v>
      </c>
      <c r="AF1375">
        <f t="shared" si="131"/>
        <v>-7.7143864018932998E-4</v>
      </c>
      <c r="AG1375">
        <f t="shared" si="131"/>
        <v>-4.4117159205607015E-4</v>
      </c>
      <c r="AK1375">
        <f t="shared" si="130"/>
        <v>3.5021389596749131E-5</v>
      </c>
    </row>
    <row r="1376" spans="1:37" x14ac:dyDescent="0.3">
      <c r="A1376" s="1">
        <v>45852</v>
      </c>
      <c r="B1376">
        <v>1.1666000000000001</v>
      </c>
      <c r="C1376">
        <v>1.3427</v>
      </c>
      <c r="D1376">
        <v>147.71</v>
      </c>
      <c r="G1376">
        <v>1.1666000000000001</v>
      </c>
      <c r="H1376">
        <f t="shared" si="127"/>
        <v>1.1673</v>
      </c>
      <c r="I1376">
        <f t="shared" si="127"/>
        <v>1.17</v>
      </c>
      <c r="J1376">
        <f t="shared" si="127"/>
        <v>1.1719999999999999</v>
      </c>
      <c r="L1376">
        <f t="shared" si="126"/>
        <v>-6.9999999999992291E-4</v>
      </c>
      <c r="W1376">
        <f t="shared" si="128"/>
        <v>3.6010327490148195E-3</v>
      </c>
      <c r="X1376">
        <f t="shared" si="129"/>
        <v>6.3589743589744056E-3</v>
      </c>
      <c r="Y1376">
        <f t="shared" si="129"/>
        <v>-4.1008816895634113E-4</v>
      </c>
      <c r="Z1376">
        <f t="shared" si="129"/>
        <v>-1.6376663254862442E-3</v>
      </c>
      <c r="AE1376">
        <f>W1376-mu-theta*AE1375</f>
        <v>4.7749547936805446E-3</v>
      </c>
      <c r="AF1376">
        <f t="shared" si="131"/>
        <v>5.9178872578606236E-3</v>
      </c>
      <c r="AG1376">
        <f t="shared" si="131"/>
        <v>-7.7143864018932998E-4</v>
      </c>
      <c r="AK1376">
        <f t="shared" si="130"/>
        <v>2.2800193281692811E-5</v>
      </c>
    </row>
    <row r="1377" spans="1:37" x14ac:dyDescent="0.3">
      <c r="A1377" s="1">
        <v>45853</v>
      </c>
      <c r="B1377">
        <v>1.1598999999999999</v>
      </c>
      <c r="C1377">
        <v>1.3379000000000001</v>
      </c>
      <c r="D1377">
        <v>148.88999999999999</v>
      </c>
      <c r="G1377">
        <v>1.1598999999999999</v>
      </c>
      <c r="H1377">
        <f t="shared" si="127"/>
        <v>1.1666000000000001</v>
      </c>
      <c r="I1377">
        <f t="shared" si="127"/>
        <v>1.1673</v>
      </c>
      <c r="J1377">
        <f t="shared" si="127"/>
        <v>1.17</v>
      </c>
      <c r="L1377">
        <f t="shared" si="126"/>
        <v>-6.7000000000001503E-3</v>
      </c>
      <c r="W1377">
        <f t="shared" si="128"/>
        <v>7.9886263624668486E-3</v>
      </c>
      <c r="X1377">
        <f t="shared" si="129"/>
        <v>3.6010327490148195E-3</v>
      </c>
      <c r="Y1377">
        <f t="shared" si="129"/>
        <v>6.3589743589744056E-3</v>
      </c>
      <c r="Z1377">
        <f t="shared" si="129"/>
        <v>-4.1008816895634113E-4</v>
      </c>
      <c r="AE1377">
        <f>W1377-mu-theta*AE1376</f>
        <v>8.8866093348267637E-3</v>
      </c>
      <c r="AF1377">
        <f t="shared" si="131"/>
        <v>4.7749547936805446E-3</v>
      </c>
      <c r="AG1377">
        <f t="shared" si="131"/>
        <v>5.9178872578606236E-3</v>
      </c>
      <c r="AK1377">
        <f t="shared" si="130"/>
        <v>7.8971825469830172E-5</v>
      </c>
    </row>
    <row r="1378" spans="1:37" x14ac:dyDescent="0.3">
      <c r="A1378" s="1">
        <v>45854</v>
      </c>
      <c r="B1378">
        <v>1.1639999999999999</v>
      </c>
      <c r="C1378">
        <v>1.3419000000000001</v>
      </c>
      <c r="D1378">
        <v>147.83000000000001</v>
      </c>
      <c r="G1378">
        <v>1.1639999999999999</v>
      </c>
      <c r="H1378">
        <f t="shared" si="127"/>
        <v>1.1598999999999999</v>
      </c>
      <c r="I1378">
        <f t="shared" si="127"/>
        <v>1.1666000000000001</v>
      </c>
      <c r="J1378">
        <f t="shared" si="127"/>
        <v>1.1673</v>
      </c>
      <c r="L1378">
        <f t="shared" si="126"/>
        <v>4.0999999999999925E-3</v>
      </c>
      <c r="W1378">
        <f t="shared" si="128"/>
        <v>-7.1193498555979177E-3</v>
      </c>
      <c r="X1378">
        <f t="shared" si="129"/>
        <v>7.9886263624668486E-3</v>
      </c>
      <c r="Y1378">
        <f t="shared" si="129"/>
        <v>3.6010327490148195E-3</v>
      </c>
      <c r="Z1378">
        <f t="shared" si="129"/>
        <v>6.3589743589744056E-3</v>
      </c>
      <c r="AE1378">
        <f>W1378-mu-theta*AE1377</f>
        <v>-5.2286869346989794E-3</v>
      </c>
      <c r="AF1378">
        <f t="shared" si="131"/>
        <v>8.8866093348267637E-3</v>
      </c>
      <c r="AG1378">
        <f t="shared" si="131"/>
        <v>4.7749547936805446E-3</v>
      </c>
      <c r="AK1378">
        <f t="shared" si="130"/>
        <v>2.7339167061091808E-5</v>
      </c>
    </row>
    <row r="1379" spans="1:37" x14ac:dyDescent="0.3">
      <c r="A1379" s="1">
        <v>45855</v>
      </c>
      <c r="B1379">
        <v>1.1595</v>
      </c>
      <c r="C1379">
        <v>1.3408</v>
      </c>
      <c r="D1379">
        <v>148.6</v>
      </c>
      <c r="G1379">
        <v>1.1595</v>
      </c>
      <c r="H1379">
        <f t="shared" si="127"/>
        <v>1.1639999999999999</v>
      </c>
      <c r="I1379">
        <f t="shared" si="127"/>
        <v>1.1598999999999999</v>
      </c>
      <c r="J1379">
        <f t="shared" si="127"/>
        <v>1.1666000000000001</v>
      </c>
      <c r="L1379">
        <f t="shared" si="126"/>
        <v>-4.4999999999999485E-3</v>
      </c>
      <c r="W1379">
        <f t="shared" si="128"/>
        <v>5.208685652438488E-3</v>
      </c>
      <c r="X1379">
        <f t="shared" si="129"/>
        <v>-7.1193498555979177E-3</v>
      </c>
      <c r="Y1379">
        <f t="shared" si="129"/>
        <v>7.9886263624668486E-3</v>
      </c>
      <c r="Z1379">
        <f t="shared" si="129"/>
        <v>3.6010327490148195E-3</v>
      </c>
      <c r="AE1379">
        <f>W1379-mu-theta*AE1378</f>
        <v>3.6914816345600923E-3</v>
      </c>
      <c r="AF1379">
        <f t="shared" si="131"/>
        <v>-5.2286869346989794E-3</v>
      </c>
      <c r="AG1379">
        <f t="shared" si="131"/>
        <v>8.8866093348267637E-3</v>
      </c>
      <c r="AK1379">
        <f t="shared" si="130"/>
        <v>1.3627036658294451E-5</v>
      </c>
    </row>
    <row r="1380" spans="1:37" x14ac:dyDescent="0.3">
      <c r="A1380" s="1">
        <v>45858</v>
      </c>
      <c r="B1380">
        <v>1.1617999999999999</v>
      </c>
      <c r="C1380">
        <v>1.3392999999999999</v>
      </c>
      <c r="D1380">
        <v>148.07</v>
      </c>
      <c r="G1380">
        <v>1.1617999999999999</v>
      </c>
      <c r="H1380">
        <f t="shared" si="127"/>
        <v>1.1595</v>
      </c>
      <c r="I1380">
        <f t="shared" si="127"/>
        <v>1.1639999999999999</v>
      </c>
      <c r="J1380">
        <f t="shared" si="127"/>
        <v>1.1598999999999999</v>
      </c>
      <c r="L1380">
        <f t="shared" si="126"/>
        <v>2.2999999999999687E-3</v>
      </c>
      <c r="W1380">
        <f t="shared" si="128"/>
        <v>-3.5666218034993346E-3</v>
      </c>
      <c r="X1380">
        <f t="shared" si="129"/>
        <v>5.208685652438488E-3</v>
      </c>
      <c r="Y1380">
        <f t="shared" si="129"/>
        <v>-7.1193498555979177E-3</v>
      </c>
      <c r="Z1380">
        <f t="shared" si="129"/>
        <v>7.9886263624668486E-3</v>
      </c>
      <c r="AE1380">
        <f>W1380-mu-theta*AE1379</f>
        <v>-2.9302225972549635E-3</v>
      </c>
      <c r="AF1380">
        <f t="shared" si="131"/>
        <v>3.6914816345600923E-3</v>
      </c>
      <c r="AG1380">
        <f t="shared" si="131"/>
        <v>-5.2286869346989794E-3</v>
      </c>
      <c r="AK1380">
        <f t="shared" si="130"/>
        <v>8.5862044694636236E-6</v>
      </c>
    </row>
    <row r="1381" spans="1:37" x14ac:dyDescent="0.3">
      <c r="A1381" s="1">
        <v>45859</v>
      </c>
      <c r="B1381">
        <v>1.1695</v>
      </c>
      <c r="C1381">
        <v>1.3487</v>
      </c>
      <c r="D1381">
        <v>147.31</v>
      </c>
      <c r="G1381">
        <v>1.1695</v>
      </c>
      <c r="H1381">
        <f t="shared" si="127"/>
        <v>1.1617999999999999</v>
      </c>
      <c r="I1381">
        <f t="shared" si="127"/>
        <v>1.1595</v>
      </c>
      <c r="J1381">
        <f t="shared" si="127"/>
        <v>1.1639999999999999</v>
      </c>
      <c r="L1381">
        <f t="shared" si="126"/>
        <v>7.7000000000000401E-3</v>
      </c>
      <c r="W1381">
        <f t="shared" si="128"/>
        <v>-5.132707503207881E-3</v>
      </c>
      <c r="X1381">
        <f t="shared" si="129"/>
        <v>-3.5666218034993346E-3</v>
      </c>
      <c r="Y1381">
        <f t="shared" si="129"/>
        <v>5.208685652438488E-3</v>
      </c>
      <c r="Z1381">
        <f t="shared" si="129"/>
        <v>-7.1193498555979177E-3</v>
      </c>
      <c r="AE1381">
        <f>W1381-mu-theta*AE1380</f>
        <v>-6.0949914913561894E-3</v>
      </c>
      <c r="AF1381">
        <f t="shared" si="131"/>
        <v>-2.9302225972549635E-3</v>
      </c>
      <c r="AG1381">
        <f t="shared" si="131"/>
        <v>3.6914816345600923E-3</v>
      </c>
      <c r="AK1381">
        <f t="shared" si="130"/>
        <v>3.7148921279704343E-5</v>
      </c>
    </row>
    <row r="1382" spans="1:37" x14ac:dyDescent="0.3">
      <c r="A1382" s="1">
        <v>45860</v>
      </c>
      <c r="B1382">
        <v>1.1752</v>
      </c>
      <c r="C1382">
        <v>1.3528</v>
      </c>
      <c r="D1382">
        <v>146.6</v>
      </c>
      <c r="G1382">
        <v>1.1752</v>
      </c>
      <c r="H1382">
        <f t="shared" si="127"/>
        <v>1.1695</v>
      </c>
      <c r="I1382">
        <f t="shared" si="127"/>
        <v>1.1617999999999999</v>
      </c>
      <c r="J1382">
        <f t="shared" si="127"/>
        <v>1.1595</v>
      </c>
      <c r="L1382">
        <f t="shared" si="126"/>
        <v>5.7000000000000384E-3</v>
      </c>
      <c r="W1382">
        <f t="shared" si="128"/>
        <v>-4.8197678365352516E-3</v>
      </c>
      <c r="X1382">
        <f t="shared" si="129"/>
        <v>-5.132707503207881E-3</v>
      </c>
      <c r="Y1382">
        <f t="shared" si="129"/>
        <v>-3.5666218034993346E-3</v>
      </c>
      <c r="Z1382">
        <f t="shared" si="129"/>
        <v>5.208685652438488E-3</v>
      </c>
      <c r="AE1382">
        <f>W1382-mu-theta*AE1381</f>
        <v>-6.5461244362066372E-3</v>
      </c>
      <c r="AF1382">
        <f t="shared" si="131"/>
        <v>-6.0949914913561894E-3</v>
      </c>
      <c r="AG1382">
        <f t="shared" si="131"/>
        <v>-2.9302225972549635E-3</v>
      </c>
      <c r="AK1382">
        <f t="shared" si="130"/>
        <v>4.2851745134301666E-5</v>
      </c>
    </row>
    <row r="1383" spans="1:37" x14ac:dyDescent="0.3">
      <c r="A1383" s="1">
        <v>45861</v>
      </c>
      <c r="B1383">
        <v>1.177</v>
      </c>
      <c r="C1383">
        <v>1.3574999999999999</v>
      </c>
      <c r="D1383">
        <v>146.46</v>
      </c>
      <c r="G1383">
        <v>1.177</v>
      </c>
      <c r="H1383">
        <f t="shared" si="127"/>
        <v>1.1752</v>
      </c>
      <c r="I1383">
        <f t="shared" si="127"/>
        <v>1.1695</v>
      </c>
      <c r="J1383">
        <f t="shared" si="127"/>
        <v>1.1617999999999999</v>
      </c>
      <c r="L1383">
        <f t="shared" si="126"/>
        <v>1.8000000000000238E-3</v>
      </c>
      <c r="W1383">
        <f t="shared" si="128"/>
        <v>-9.5497953615270373E-4</v>
      </c>
      <c r="X1383">
        <f t="shared" si="129"/>
        <v>-4.8197678365352516E-3</v>
      </c>
      <c r="Y1383">
        <f t="shared" si="129"/>
        <v>-5.132707503207881E-3</v>
      </c>
      <c r="Z1383">
        <f t="shared" si="129"/>
        <v>-3.5666218034993346E-3</v>
      </c>
      <c r="AE1383">
        <f>W1383-mu-theta*AE1382</f>
        <v>-2.7902535130008097E-3</v>
      </c>
      <c r="AF1383">
        <f t="shared" si="131"/>
        <v>-6.5461244362066372E-3</v>
      </c>
      <c r="AG1383">
        <f t="shared" si="131"/>
        <v>-6.0949914913561894E-3</v>
      </c>
      <c r="AK1383">
        <f t="shared" si="130"/>
        <v>7.785514666813359E-6</v>
      </c>
    </row>
    <row r="1384" spans="1:37" x14ac:dyDescent="0.3">
      <c r="A1384" s="1">
        <v>45862</v>
      </c>
      <c r="B1384">
        <v>1.1747000000000001</v>
      </c>
      <c r="C1384">
        <v>1.3509</v>
      </c>
      <c r="D1384">
        <v>147</v>
      </c>
      <c r="G1384">
        <v>1.1747000000000001</v>
      </c>
      <c r="H1384">
        <f t="shared" si="127"/>
        <v>1.177</v>
      </c>
      <c r="I1384">
        <f t="shared" si="127"/>
        <v>1.1752</v>
      </c>
      <c r="J1384">
        <f t="shared" si="127"/>
        <v>1.1695</v>
      </c>
      <c r="L1384">
        <f t="shared" si="126"/>
        <v>-2.2999999999999687E-3</v>
      </c>
      <c r="W1384">
        <f t="shared" si="128"/>
        <v>3.6870135190495154E-3</v>
      </c>
      <c r="X1384">
        <f t="shared" si="129"/>
        <v>-9.5497953615270373E-4</v>
      </c>
      <c r="Y1384">
        <f t="shared" si="129"/>
        <v>-4.8197678365352516E-3</v>
      </c>
      <c r="Z1384">
        <f t="shared" si="129"/>
        <v>-5.132707503207881E-3</v>
      </c>
      <c r="AE1384">
        <f>W1384-mu-theta*AE1383</f>
        <v>2.7585223755976713E-3</v>
      </c>
      <c r="AF1384">
        <f t="shared" si="131"/>
        <v>-2.7902535130008097E-3</v>
      </c>
      <c r="AG1384">
        <f t="shared" si="131"/>
        <v>-6.5461244362066372E-3</v>
      </c>
      <c r="AK1384">
        <f t="shared" si="130"/>
        <v>7.6094456966730195E-6</v>
      </c>
    </row>
    <row r="1385" spans="1:37" x14ac:dyDescent="0.3">
      <c r="A1385" s="1">
        <v>45865</v>
      </c>
      <c r="B1385">
        <v>1.1746000000000001</v>
      </c>
      <c r="C1385">
        <v>1.343</v>
      </c>
      <c r="D1385">
        <v>147.74</v>
      </c>
      <c r="G1385">
        <v>1.1746000000000001</v>
      </c>
      <c r="H1385">
        <f t="shared" si="127"/>
        <v>1.1747000000000001</v>
      </c>
      <c r="I1385">
        <f t="shared" si="127"/>
        <v>1.177</v>
      </c>
      <c r="J1385">
        <f t="shared" si="127"/>
        <v>1.1752</v>
      </c>
      <c r="L1385">
        <f t="shared" si="126"/>
        <v>-9.9999999999988987E-5</v>
      </c>
      <c r="W1385">
        <f t="shared" si="128"/>
        <v>5.0340136054422384E-3</v>
      </c>
      <c r="X1385">
        <f t="shared" si="129"/>
        <v>3.6870135190495154E-3</v>
      </c>
      <c r="Y1385">
        <f t="shared" si="129"/>
        <v>-9.5497953615270373E-4</v>
      </c>
      <c r="Z1385">
        <f t="shared" si="129"/>
        <v>-4.8197678365352516E-3</v>
      </c>
      <c r="AE1385">
        <f>W1385-mu-theta*AE1384</f>
        <v>5.445167733359178E-3</v>
      </c>
      <c r="AF1385">
        <f t="shared" si="131"/>
        <v>2.7585223755976713E-3</v>
      </c>
      <c r="AG1385">
        <f t="shared" si="131"/>
        <v>-2.7902535130008097E-3</v>
      </c>
      <c r="AK1385">
        <f t="shared" si="130"/>
        <v>2.9649851644415929E-5</v>
      </c>
    </row>
    <row r="1386" spans="1:37" x14ac:dyDescent="0.3">
      <c r="A1386" s="1">
        <v>45866</v>
      </c>
      <c r="B1386">
        <v>1.1588000000000001</v>
      </c>
      <c r="C1386">
        <v>1.3360000000000001</v>
      </c>
      <c r="D1386">
        <v>148.51</v>
      </c>
      <c r="G1386">
        <v>1.1588000000000001</v>
      </c>
      <c r="H1386">
        <f t="shared" si="127"/>
        <v>1.1746000000000001</v>
      </c>
      <c r="I1386">
        <f t="shared" si="127"/>
        <v>1.1747000000000001</v>
      </c>
      <c r="J1386">
        <f t="shared" si="127"/>
        <v>1.177</v>
      </c>
      <c r="L1386">
        <f t="shared" si="126"/>
        <v>-1.5800000000000036E-2</v>
      </c>
      <c r="W1386">
        <f t="shared" si="128"/>
        <v>5.2118586706374828E-3</v>
      </c>
      <c r="X1386">
        <f t="shared" si="129"/>
        <v>5.0340136054422384E-3</v>
      </c>
      <c r="Y1386">
        <f t="shared" si="129"/>
        <v>3.6870135190495154E-3</v>
      </c>
      <c r="Z1386">
        <f t="shared" si="129"/>
        <v>-9.5497953615270373E-4</v>
      </c>
      <c r="AE1386">
        <f>W1386-mu-theta*AE1385</f>
        <v>6.2716516734395225E-3</v>
      </c>
      <c r="AF1386">
        <f t="shared" si="131"/>
        <v>5.445167733359178E-3</v>
      </c>
      <c r="AG1386">
        <f t="shared" si="131"/>
        <v>2.7585223755976713E-3</v>
      </c>
      <c r="AK1386">
        <f t="shared" si="130"/>
        <v>3.9333614712956763E-5</v>
      </c>
    </row>
    <row r="1387" spans="1:37" x14ac:dyDescent="0.3">
      <c r="A1387" s="1">
        <v>45867</v>
      </c>
      <c r="B1387">
        <v>1.1545000000000001</v>
      </c>
      <c r="C1387">
        <v>1.3341000000000001</v>
      </c>
      <c r="D1387">
        <v>148.49</v>
      </c>
      <c r="G1387">
        <v>1.1545000000000001</v>
      </c>
      <c r="H1387">
        <f t="shared" si="127"/>
        <v>1.1588000000000001</v>
      </c>
      <c r="I1387">
        <f t="shared" si="127"/>
        <v>1.1746000000000001</v>
      </c>
      <c r="J1387">
        <f t="shared" si="127"/>
        <v>1.1747000000000001</v>
      </c>
      <c r="L1387">
        <f t="shared" si="126"/>
        <v>-4.2999999999999705E-3</v>
      </c>
      <c r="W1387">
        <f t="shared" si="128"/>
        <v>-1.3467106592136429E-4</v>
      </c>
      <c r="X1387">
        <f t="shared" si="129"/>
        <v>5.2118586706374828E-3</v>
      </c>
      <c r="Y1387">
        <f t="shared" si="129"/>
        <v>5.0340136054422384E-3</v>
      </c>
      <c r="Z1387">
        <f t="shared" si="129"/>
        <v>3.6870135190495154E-3</v>
      </c>
      <c r="AE1387">
        <f>W1387-mu-theta*AE1386</f>
        <v>1.1246605962930913E-3</v>
      </c>
      <c r="AF1387">
        <f t="shared" si="131"/>
        <v>6.2716516734395225E-3</v>
      </c>
      <c r="AG1387">
        <f t="shared" si="131"/>
        <v>5.445167733359178E-3</v>
      </c>
      <c r="AK1387">
        <f t="shared" si="130"/>
        <v>1.2648614568543317E-6</v>
      </c>
    </row>
    <row r="1388" spans="1:37" x14ac:dyDescent="0.3">
      <c r="A1388" s="1">
        <v>45868</v>
      </c>
      <c r="B1388">
        <v>1.1404000000000001</v>
      </c>
      <c r="C1388">
        <v>1.3232999999999999</v>
      </c>
      <c r="D1388">
        <v>149.5</v>
      </c>
      <c r="G1388">
        <v>1.1404000000000001</v>
      </c>
      <c r="H1388">
        <f t="shared" si="127"/>
        <v>1.1545000000000001</v>
      </c>
      <c r="I1388">
        <f t="shared" si="127"/>
        <v>1.1588000000000001</v>
      </c>
      <c r="J1388">
        <f t="shared" si="127"/>
        <v>1.1746000000000001</v>
      </c>
      <c r="L1388">
        <f t="shared" si="126"/>
        <v>-1.4100000000000001E-2</v>
      </c>
      <c r="W1388">
        <f t="shared" si="128"/>
        <v>6.8018048353423854E-3</v>
      </c>
      <c r="X1388">
        <f t="shared" si="129"/>
        <v>-1.3467106592136429E-4</v>
      </c>
      <c r="Y1388">
        <f t="shared" si="129"/>
        <v>5.2118586706374828E-3</v>
      </c>
      <c r="Z1388">
        <f t="shared" si="129"/>
        <v>5.0340136054422384E-3</v>
      </c>
      <c r="AE1388">
        <f>W1388-mu-theta*AE1387</f>
        <v>6.8184944451999338E-3</v>
      </c>
      <c r="AF1388">
        <f t="shared" si="131"/>
        <v>1.1246605962930913E-3</v>
      </c>
      <c r="AG1388">
        <f t="shared" si="131"/>
        <v>6.2716516734395225E-3</v>
      </c>
      <c r="AK1388">
        <f t="shared" si="130"/>
        <v>4.6491866499222356E-5</v>
      </c>
    </row>
    <row r="1389" spans="1:37" x14ac:dyDescent="0.3">
      <c r="A1389" s="1">
        <v>45869</v>
      </c>
      <c r="B1389">
        <v>1.1414</v>
      </c>
      <c r="C1389">
        <v>1.3205</v>
      </c>
      <c r="D1389">
        <v>150.74</v>
      </c>
      <c r="G1389">
        <v>1.1414</v>
      </c>
      <c r="H1389">
        <f t="shared" si="127"/>
        <v>1.1404000000000001</v>
      </c>
      <c r="I1389">
        <f t="shared" si="127"/>
        <v>1.1545000000000001</v>
      </c>
      <c r="J1389">
        <f t="shared" si="127"/>
        <v>1.1588000000000001</v>
      </c>
      <c r="L1389">
        <f t="shared" si="126"/>
        <v>9.9999999999988987E-4</v>
      </c>
      <c r="W1389">
        <f t="shared" si="128"/>
        <v>8.2943143812709633E-3</v>
      </c>
      <c r="X1389">
        <f t="shared" si="129"/>
        <v>6.8018048353423854E-3</v>
      </c>
      <c r="Y1389">
        <f t="shared" si="129"/>
        <v>-1.3467106592136429E-4</v>
      </c>
      <c r="Z1389">
        <f t="shared" si="129"/>
        <v>5.2118586706374828E-3</v>
      </c>
      <c r="AE1389">
        <f>W1389-mu-theta*AE1388</f>
        <v>9.6856707184910032E-3</v>
      </c>
      <c r="AF1389">
        <f t="shared" si="131"/>
        <v>6.8184944451999338E-3</v>
      </c>
      <c r="AG1389">
        <f t="shared" si="131"/>
        <v>1.1246605962930913E-3</v>
      </c>
      <c r="AK1389">
        <f t="shared" si="130"/>
        <v>9.3812217267034024E-5</v>
      </c>
    </row>
    <row r="1390" spans="1:37" x14ac:dyDescent="0.3">
      <c r="A1390" s="1">
        <v>45872</v>
      </c>
      <c r="B1390">
        <v>1.1577</v>
      </c>
      <c r="C1390">
        <v>1.3270999999999999</v>
      </c>
      <c r="D1390">
        <v>147.26</v>
      </c>
      <c r="G1390">
        <v>1.1577</v>
      </c>
      <c r="H1390">
        <f t="shared" si="127"/>
        <v>1.1414</v>
      </c>
      <c r="I1390">
        <f t="shared" si="127"/>
        <v>1.1404000000000001</v>
      </c>
      <c r="J1390">
        <f t="shared" si="127"/>
        <v>1.1545000000000001</v>
      </c>
      <c r="L1390">
        <f t="shared" si="126"/>
        <v>1.6299999999999981E-2</v>
      </c>
      <c r="W1390">
        <f t="shared" si="128"/>
        <v>-2.3086108531245972E-2</v>
      </c>
      <c r="X1390">
        <f t="shared" si="129"/>
        <v>8.2943143812709633E-3</v>
      </c>
      <c r="Y1390">
        <f t="shared" si="129"/>
        <v>6.8018048353423854E-3</v>
      </c>
      <c r="Z1390">
        <f t="shared" si="129"/>
        <v>-1.3467106592136429E-4</v>
      </c>
      <c r="AE1390">
        <f>W1390-mu-theta*AE1389</f>
        <v>-2.1002527600023576E-2</v>
      </c>
      <c r="AF1390">
        <f t="shared" si="131"/>
        <v>9.6856707184910032E-3</v>
      </c>
      <c r="AG1390">
        <f t="shared" si="131"/>
        <v>6.8184944451999338E-3</v>
      </c>
      <c r="AK1390">
        <f t="shared" si="130"/>
        <v>4.4110616558975206E-4</v>
      </c>
    </row>
    <row r="1391" spans="1:37" x14ac:dyDescent="0.3">
      <c r="A1391" s="1">
        <v>45873</v>
      </c>
      <c r="B1391">
        <v>1.157</v>
      </c>
      <c r="C1391">
        <v>1.329</v>
      </c>
      <c r="D1391">
        <v>147.09</v>
      </c>
      <c r="G1391">
        <v>1.157</v>
      </c>
      <c r="H1391">
        <f t="shared" si="127"/>
        <v>1.1577</v>
      </c>
      <c r="I1391">
        <f t="shared" si="127"/>
        <v>1.1414</v>
      </c>
      <c r="J1391">
        <f t="shared" si="127"/>
        <v>1.1404000000000001</v>
      </c>
      <c r="L1391">
        <f t="shared" si="126"/>
        <v>-6.9999999999992291E-4</v>
      </c>
      <c r="W1391">
        <f t="shared" si="128"/>
        <v>-1.1544207524106173E-3</v>
      </c>
      <c r="X1391">
        <f t="shared" si="129"/>
        <v>-2.3086108531245972E-2</v>
      </c>
      <c r="Y1391">
        <f t="shared" si="129"/>
        <v>8.2943143812709633E-3</v>
      </c>
      <c r="Z1391">
        <f t="shared" si="129"/>
        <v>6.8018048353423854E-3</v>
      </c>
      <c r="AE1391">
        <f>W1391-mu-theta*AE1390</f>
        <v>-6.4799153703918241E-3</v>
      </c>
      <c r="AF1391">
        <f t="shared" si="131"/>
        <v>-2.1002527600023576E-2</v>
      </c>
      <c r="AG1391">
        <f t="shared" si="131"/>
        <v>9.6856707184910032E-3</v>
      </c>
      <c r="AK1391">
        <f t="shared" si="130"/>
        <v>4.1989303207440208E-5</v>
      </c>
    </row>
    <row r="1392" spans="1:37" x14ac:dyDescent="0.3">
      <c r="A1392" s="1">
        <v>45874</v>
      </c>
      <c r="B1392">
        <v>1.1571</v>
      </c>
      <c r="C1392">
        <v>1.3299000000000001</v>
      </c>
      <c r="D1392">
        <v>147.57</v>
      </c>
      <c r="G1392">
        <v>1.1571</v>
      </c>
      <c r="H1392">
        <f t="shared" si="127"/>
        <v>1.157</v>
      </c>
      <c r="I1392">
        <f t="shared" si="127"/>
        <v>1.1577</v>
      </c>
      <c r="J1392">
        <f t="shared" si="127"/>
        <v>1.1414</v>
      </c>
      <c r="L1392">
        <f t="shared" si="126"/>
        <v>9.9999999999988987E-5</v>
      </c>
      <c r="W1392">
        <f t="shared" si="128"/>
        <v>3.2633081786660532E-3</v>
      </c>
      <c r="X1392">
        <f t="shared" si="129"/>
        <v>-1.1544207524106173E-3</v>
      </c>
      <c r="Y1392">
        <f t="shared" si="129"/>
        <v>-2.3086108531245972E-2</v>
      </c>
      <c r="Z1392">
        <f t="shared" si="129"/>
        <v>8.2943143812709633E-3</v>
      </c>
      <c r="AE1392">
        <f>W1392-mu-theta*AE1391</f>
        <v>1.4440191079884792E-3</v>
      </c>
      <c r="AF1392">
        <f t="shared" si="131"/>
        <v>-6.4799153703918241E-3</v>
      </c>
      <c r="AG1392">
        <f t="shared" si="131"/>
        <v>-2.1002527600023576E-2</v>
      </c>
      <c r="AK1392">
        <f t="shared" si="130"/>
        <v>2.0851911842358434E-6</v>
      </c>
    </row>
    <row r="1393" spans="1:37" x14ac:dyDescent="0.3">
      <c r="A1393" s="1">
        <v>45875</v>
      </c>
      <c r="B1393">
        <v>1.1658999999999999</v>
      </c>
      <c r="C1393">
        <v>1.3352999999999999</v>
      </c>
      <c r="D1393">
        <v>147.35</v>
      </c>
      <c r="G1393">
        <v>1.1658999999999999</v>
      </c>
      <c r="H1393">
        <f t="shared" si="127"/>
        <v>1.1571</v>
      </c>
      <c r="I1393">
        <f t="shared" si="127"/>
        <v>1.157</v>
      </c>
      <c r="J1393">
        <f t="shared" si="127"/>
        <v>1.1577</v>
      </c>
      <c r="L1393">
        <f t="shared" si="126"/>
        <v>8.799999999999919E-3</v>
      </c>
      <c r="W1393">
        <f t="shared" si="128"/>
        <v>-1.4908179169207758E-3</v>
      </c>
      <c r="X1393">
        <f t="shared" si="129"/>
        <v>3.2633081786660532E-3</v>
      </c>
      <c r="Y1393">
        <f t="shared" si="129"/>
        <v>-1.1544207524106173E-3</v>
      </c>
      <c r="Z1393">
        <f t="shared" si="129"/>
        <v>-2.3086108531245972E-2</v>
      </c>
      <c r="AE1393">
        <f>W1393-mu-theta*AE1392</f>
        <v>-1.3970253336050291E-3</v>
      </c>
      <c r="AF1393">
        <f t="shared" si="131"/>
        <v>1.4440191079884792E-3</v>
      </c>
      <c r="AG1393">
        <f t="shared" si="131"/>
        <v>-6.4799153703918241E-3</v>
      </c>
      <c r="AK1393">
        <f t="shared" si="130"/>
        <v>1.9516797827342429E-6</v>
      </c>
    </row>
    <row r="1394" spans="1:37" x14ac:dyDescent="0.3">
      <c r="A1394" s="1">
        <v>45876</v>
      </c>
      <c r="B1394">
        <v>1.1665000000000001</v>
      </c>
      <c r="C1394">
        <v>1.3439000000000001</v>
      </c>
      <c r="D1394">
        <v>147.11000000000001</v>
      </c>
      <c r="G1394">
        <v>1.1665000000000001</v>
      </c>
      <c r="H1394">
        <f t="shared" si="127"/>
        <v>1.1658999999999999</v>
      </c>
      <c r="I1394">
        <f t="shared" si="127"/>
        <v>1.1571</v>
      </c>
      <c r="J1394">
        <f t="shared" si="127"/>
        <v>1.157</v>
      </c>
      <c r="L1394">
        <f t="shared" si="126"/>
        <v>6.0000000000015596E-4</v>
      </c>
      <c r="W1394">
        <f t="shared" si="128"/>
        <v>-1.6287750254494787E-3</v>
      </c>
      <c r="X1394">
        <f t="shared" si="129"/>
        <v>-1.4908179169207758E-3</v>
      </c>
      <c r="Y1394">
        <f t="shared" si="129"/>
        <v>3.2633081786660532E-3</v>
      </c>
      <c r="Z1394">
        <f t="shared" si="129"/>
        <v>-1.1544207524106173E-3</v>
      </c>
      <c r="AE1394">
        <f>W1394-mu-theta*AE1393</f>
        <v>-2.2208980077181679E-3</v>
      </c>
      <c r="AF1394">
        <f t="shared" si="131"/>
        <v>-1.3970253336050291E-3</v>
      </c>
      <c r="AG1394">
        <f t="shared" si="131"/>
        <v>1.4440191079884792E-3</v>
      </c>
      <c r="AK1394">
        <f t="shared" si="130"/>
        <v>4.9323879606865278E-6</v>
      </c>
    </row>
    <row r="1395" spans="1:37" x14ac:dyDescent="0.3">
      <c r="A1395" s="1">
        <v>45879</v>
      </c>
      <c r="B1395">
        <v>1.1637</v>
      </c>
      <c r="C1395">
        <v>1.3422000000000001</v>
      </c>
      <c r="D1395">
        <v>147.44</v>
      </c>
      <c r="G1395">
        <v>1.1637</v>
      </c>
      <c r="H1395">
        <f t="shared" si="127"/>
        <v>1.1665000000000001</v>
      </c>
      <c r="I1395">
        <f t="shared" si="127"/>
        <v>1.1658999999999999</v>
      </c>
      <c r="J1395">
        <f t="shared" si="127"/>
        <v>1.1571</v>
      </c>
      <c r="L1395">
        <f t="shared" si="126"/>
        <v>-2.8000000000001357E-3</v>
      </c>
      <c r="W1395">
        <f t="shared" si="128"/>
        <v>2.2432193596627291E-3</v>
      </c>
      <c r="X1395">
        <f t="shared" si="129"/>
        <v>-1.6287750254494787E-3</v>
      </c>
      <c r="Y1395">
        <f t="shared" si="129"/>
        <v>-1.4908179169207758E-3</v>
      </c>
      <c r="Z1395">
        <f t="shared" si="129"/>
        <v>3.2633081786660532E-3</v>
      </c>
      <c r="AE1395">
        <f>W1395-mu-theta*AE1394</f>
        <v>1.452188157951716E-3</v>
      </c>
      <c r="AF1395">
        <f t="shared" si="131"/>
        <v>-2.2208980077181679E-3</v>
      </c>
      <c r="AG1395">
        <f t="shared" si="131"/>
        <v>-1.3970253336050291E-3</v>
      </c>
      <c r="AK1395">
        <f t="shared" si="130"/>
        <v>2.1088504460951983E-6</v>
      </c>
    </row>
    <row r="1396" spans="1:37" x14ac:dyDescent="0.3">
      <c r="A1396" s="1">
        <v>45880</v>
      </c>
      <c r="B1396">
        <v>1.1614</v>
      </c>
      <c r="C1396">
        <v>1.3427</v>
      </c>
      <c r="D1396">
        <v>148.13</v>
      </c>
      <c r="G1396">
        <v>1.1614</v>
      </c>
      <c r="H1396">
        <f t="shared" si="127"/>
        <v>1.1637</v>
      </c>
      <c r="I1396">
        <f t="shared" si="127"/>
        <v>1.1665000000000001</v>
      </c>
      <c r="J1396">
        <f t="shared" si="127"/>
        <v>1.1658999999999999</v>
      </c>
      <c r="L1396">
        <f t="shared" si="126"/>
        <v>-2.2999999999999687E-3</v>
      </c>
      <c r="W1396">
        <f t="shared" si="128"/>
        <v>4.6798697775366094E-3</v>
      </c>
      <c r="X1396">
        <f t="shared" si="129"/>
        <v>2.2432193596627291E-3</v>
      </c>
      <c r="Y1396">
        <f t="shared" si="129"/>
        <v>-1.6287750254494787E-3</v>
      </c>
      <c r="Z1396">
        <f t="shared" si="129"/>
        <v>-1.4908179169207758E-3</v>
      </c>
      <c r="AE1396">
        <f>W1396-mu-theta*AE1395</f>
        <v>4.775634620928189E-3</v>
      </c>
      <c r="AF1396">
        <f t="shared" si="131"/>
        <v>1.452188157951716E-3</v>
      </c>
      <c r="AG1396">
        <f t="shared" si="131"/>
        <v>-2.2208980077181679E-3</v>
      </c>
      <c r="AK1396">
        <f t="shared" si="130"/>
        <v>2.2806686032607927E-5</v>
      </c>
    </row>
    <row r="1397" spans="1:37" x14ac:dyDescent="0.3">
      <c r="A1397" s="1">
        <v>45881</v>
      </c>
      <c r="B1397">
        <v>1.1674</v>
      </c>
      <c r="C1397">
        <v>1.3498000000000001</v>
      </c>
      <c r="D1397">
        <v>147.72999999999999</v>
      </c>
      <c r="G1397">
        <v>1.1674</v>
      </c>
      <c r="H1397">
        <f t="shared" si="127"/>
        <v>1.1614</v>
      </c>
      <c r="I1397">
        <f t="shared" si="127"/>
        <v>1.1637</v>
      </c>
      <c r="J1397">
        <f t="shared" si="127"/>
        <v>1.1665000000000001</v>
      </c>
      <c r="L1397">
        <f t="shared" si="126"/>
        <v>6.0000000000000053E-3</v>
      </c>
      <c r="W1397">
        <f t="shared" si="128"/>
        <v>-2.7003307905218775E-3</v>
      </c>
      <c r="X1397">
        <f t="shared" si="129"/>
        <v>4.6798697775366094E-3</v>
      </c>
      <c r="Y1397">
        <f t="shared" si="129"/>
        <v>2.2432193596627291E-3</v>
      </c>
      <c r="Z1397">
        <f t="shared" si="129"/>
        <v>-1.6287750254494787E-3</v>
      </c>
      <c r="AE1397">
        <f>W1397-mu-theta*AE1396</f>
        <v>-1.8021836869416832E-3</v>
      </c>
      <c r="AF1397">
        <f t="shared" si="131"/>
        <v>4.775634620928189E-3</v>
      </c>
      <c r="AG1397">
        <f t="shared" si="131"/>
        <v>1.452188157951716E-3</v>
      </c>
      <c r="AK1397">
        <f t="shared" si="130"/>
        <v>3.2478660414787187E-6</v>
      </c>
    </row>
    <row r="1398" spans="1:37" x14ac:dyDescent="0.3">
      <c r="A1398" s="1">
        <v>45882</v>
      </c>
      <c r="B1398">
        <v>1.1705000000000001</v>
      </c>
      <c r="C1398">
        <v>1.3571</v>
      </c>
      <c r="D1398">
        <v>147.36000000000001</v>
      </c>
      <c r="G1398">
        <v>1.1705000000000001</v>
      </c>
      <c r="H1398">
        <f t="shared" si="127"/>
        <v>1.1674</v>
      </c>
      <c r="I1398">
        <f t="shared" si="127"/>
        <v>1.1614</v>
      </c>
      <c r="J1398">
        <f t="shared" si="127"/>
        <v>1.1637</v>
      </c>
      <c r="L1398">
        <f t="shared" si="126"/>
        <v>3.1000000000001027E-3</v>
      </c>
      <c r="W1398">
        <f t="shared" si="128"/>
        <v>-2.504569146415597E-3</v>
      </c>
      <c r="X1398">
        <f t="shared" si="129"/>
        <v>-2.7003307905218775E-3</v>
      </c>
      <c r="Y1398">
        <f t="shared" si="129"/>
        <v>4.6798697775366094E-3</v>
      </c>
      <c r="Z1398">
        <f t="shared" si="129"/>
        <v>2.2432193596627291E-3</v>
      </c>
      <c r="AE1398">
        <f>W1398-mu-theta*AE1397</f>
        <v>-3.1945098245328937E-3</v>
      </c>
      <c r="AF1398">
        <f t="shared" si="131"/>
        <v>-1.8021836869416832E-3</v>
      </c>
      <c r="AG1398">
        <f t="shared" si="131"/>
        <v>4.775634620928189E-3</v>
      </c>
      <c r="AK1398">
        <f t="shared" si="130"/>
        <v>1.0204893019037179E-5</v>
      </c>
    </row>
    <row r="1399" spans="1:37" x14ac:dyDescent="0.3">
      <c r="A1399" s="1">
        <v>45883</v>
      </c>
      <c r="B1399">
        <v>1.1647000000000001</v>
      </c>
      <c r="C1399">
        <v>1.3531</v>
      </c>
      <c r="D1399">
        <v>147.74</v>
      </c>
      <c r="G1399">
        <v>1.1647000000000001</v>
      </c>
      <c r="H1399">
        <f t="shared" si="127"/>
        <v>1.1705000000000001</v>
      </c>
      <c r="I1399">
        <f t="shared" si="127"/>
        <v>1.1674</v>
      </c>
      <c r="J1399">
        <f t="shared" si="127"/>
        <v>1.1614</v>
      </c>
      <c r="L1399">
        <f t="shared" si="126"/>
        <v>-5.8000000000000274E-3</v>
      </c>
      <c r="W1399">
        <f t="shared" si="128"/>
        <v>2.5787187839304794E-3</v>
      </c>
      <c r="X1399">
        <f t="shared" si="129"/>
        <v>-2.504569146415597E-3</v>
      </c>
      <c r="Y1399">
        <f t="shared" si="129"/>
        <v>-2.7003307905218775E-3</v>
      </c>
      <c r="Z1399">
        <f t="shared" si="129"/>
        <v>4.6798697775366094E-3</v>
      </c>
      <c r="AE1399">
        <f>W1399-mu-theta*AE1398</f>
        <v>1.5526277252833343E-3</v>
      </c>
      <c r="AF1399">
        <f t="shared" si="131"/>
        <v>-3.1945098245328937E-3</v>
      </c>
      <c r="AG1399">
        <f t="shared" si="131"/>
        <v>-1.8021836869416832E-3</v>
      </c>
      <c r="AK1399">
        <f t="shared" si="130"/>
        <v>2.4106528533185009E-6</v>
      </c>
    </row>
    <row r="1400" spans="1:37" x14ac:dyDescent="0.3">
      <c r="A1400" s="1">
        <v>45886</v>
      </c>
      <c r="B1400">
        <v>1.1691</v>
      </c>
      <c r="C1400">
        <v>1.3543000000000001</v>
      </c>
      <c r="D1400">
        <v>147.05000000000001</v>
      </c>
      <c r="G1400">
        <v>1.1691</v>
      </c>
      <c r="H1400">
        <f t="shared" si="127"/>
        <v>1.1647000000000001</v>
      </c>
      <c r="I1400">
        <f t="shared" si="127"/>
        <v>1.1705000000000001</v>
      </c>
      <c r="J1400">
        <f t="shared" si="127"/>
        <v>1.1674</v>
      </c>
      <c r="L1400">
        <f t="shared" si="126"/>
        <v>4.3999999999999595E-3</v>
      </c>
      <c r="W1400">
        <f t="shared" si="128"/>
        <v>-4.6703668607012165E-3</v>
      </c>
      <c r="X1400">
        <f t="shared" si="129"/>
        <v>2.5787187839304794E-3</v>
      </c>
      <c r="Y1400">
        <f t="shared" si="129"/>
        <v>-2.504569146415597E-3</v>
      </c>
      <c r="Z1400">
        <f t="shared" si="129"/>
        <v>-2.7003307905218775E-3</v>
      </c>
      <c r="AE1400">
        <f>W1400-mu-theta*AE1399</f>
        <v>-4.550352814578165E-3</v>
      </c>
      <c r="AF1400">
        <f t="shared" si="131"/>
        <v>1.5526277252833343E-3</v>
      </c>
      <c r="AG1400">
        <f t="shared" si="131"/>
        <v>-3.1945098245328937E-3</v>
      </c>
      <c r="AK1400">
        <f t="shared" si="130"/>
        <v>2.0705710737139429E-5</v>
      </c>
    </row>
    <row r="1401" spans="1:37" x14ac:dyDescent="0.3">
      <c r="A1401" s="1">
        <v>45887</v>
      </c>
      <c r="B1401">
        <v>1.1658999999999999</v>
      </c>
      <c r="C1401">
        <v>1.35</v>
      </c>
      <c r="D1401">
        <v>147.66</v>
      </c>
      <c r="G1401">
        <v>1.1658999999999999</v>
      </c>
      <c r="H1401">
        <f t="shared" si="127"/>
        <v>1.1691</v>
      </c>
      <c r="I1401">
        <f t="shared" si="127"/>
        <v>1.1647000000000001</v>
      </c>
      <c r="J1401">
        <f t="shared" si="127"/>
        <v>1.1705000000000001</v>
      </c>
      <c r="L1401">
        <f t="shared" si="126"/>
        <v>-3.2000000000000917E-3</v>
      </c>
      <c r="W1401">
        <f t="shared" si="128"/>
        <v>4.1482488949335953E-3</v>
      </c>
      <c r="X1401">
        <f t="shared" si="129"/>
        <v>-4.6703668607012165E-3</v>
      </c>
      <c r="Y1401">
        <f t="shared" si="129"/>
        <v>2.5787187839304794E-3</v>
      </c>
      <c r="Z1401">
        <f t="shared" si="129"/>
        <v>-2.504569146415597E-3</v>
      </c>
      <c r="AE1401">
        <f>W1401-mu-theta*AE1400</f>
        <v>2.794815610397519E-3</v>
      </c>
      <c r="AF1401">
        <f t="shared" si="131"/>
        <v>-4.550352814578165E-3</v>
      </c>
      <c r="AG1401">
        <f t="shared" si="131"/>
        <v>1.5526277252833343E-3</v>
      </c>
      <c r="AK1401">
        <f t="shared" si="130"/>
        <v>7.8109942961216567E-6</v>
      </c>
    </row>
    <row r="1402" spans="1:37" x14ac:dyDescent="0.3">
      <c r="A1402" s="1">
        <v>45888</v>
      </c>
      <c r="B1402">
        <v>1.1649</v>
      </c>
      <c r="C1402">
        <v>1.3484</v>
      </c>
      <c r="D1402">
        <v>147.57</v>
      </c>
      <c r="G1402">
        <v>1.1649</v>
      </c>
      <c r="H1402">
        <f t="shared" si="127"/>
        <v>1.1658999999999999</v>
      </c>
      <c r="I1402">
        <f t="shared" si="127"/>
        <v>1.1691</v>
      </c>
      <c r="J1402">
        <f t="shared" si="127"/>
        <v>1.1647000000000001</v>
      </c>
      <c r="L1402">
        <f t="shared" si="126"/>
        <v>-9.9999999999988987E-4</v>
      </c>
      <c r="W1402">
        <f t="shared" si="128"/>
        <v>-6.0950832994719904E-4</v>
      </c>
      <c r="X1402">
        <f t="shared" si="129"/>
        <v>4.1482488949335953E-3</v>
      </c>
      <c r="Y1402">
        <f t="shared" si="129"/>
        <v>-4.6703668607012165E-3</v>
      </c>
      <c r="Z1402">
        <f t="shared" si="129"/>
        <v>2.5787187839304794E-3</v>
      </c>
      <c r="AE1402">
        <f>W1402-mu-theta*AE1401</f>
        <v>-1.8959189817109763E-4</v>
      </c>
      <c r="AF1402">
        <f t="shared" si="131"/>
        <v>2.794815610397519E-3</v>
      </c>
      <c r="AG1402">
        <f t="shared" si="131"/>
        <v>-4.550352814578165E-3</v>
      </c>
      <c r="AK1402">
        <f t="shared" si="130"/>
        <v>3.5945087852119856E-8</v>
      </c>
    </row>
    <row r="1403" spans="1:37" x14ac:dyDescent="0.3">
      <c r="A1403" s="1">
        <v>45889</v>
      </c>
      <c r="B1403">
        <v>1.1652</v>
      </c>
      <c r="C1403">
        <v>1.3461000000000001</v>
      </c>
      <c r="D1403">
        <v>147.22999999999999</v>
      </c>
      <c r="G1403">
        <v>1.1652</v>
      </c>
      <c r="H1403">
        <f t="shared" si="127"/>
        <v>1.1649</v>
      </c>
      <c r="I1403">
        <f t="shared" si="127"/>
        <v>1.1658999999999999</v>
      </c>
      <c r="J1403">
        <f t="shared" si="127"/>
        <v>1.1691</v>
      </c>
      <c r="L1403">
        <f t="shared" si="126"/>
        <v>2.9999999999996696E-4</v>
      </c>
      <c r="W1403">
        <f t="shared" si="128"/>
        <v>-2.3039913261503247E-3</v>
      </c>
      <c r="X1403">
        <f t="shared" si="129"/>
        <v>-6.0950832994719904E-4</v>
      </c>
      <c r="Y1403">
        <f t="shared" si="129"/>
        <v>4.1482488949335953E-3</v>
      </c>
      <c r="Z1403">
        <f t="shared" si="129"/>
        <v>-4.6703668607012165E-3</v>
      </c>
      <c r="AE1403">
        <f>W1403-mu-theta*AE1402</f>
        <v>-2.6046027165388471E-3</v>
      </c>
      <c r="AF1403">
        <f t="shared" si="131"/>
        <v>-1.8959189817109763E-4</v>
      </c>
      <c r="AG1403">
        <f t="shared" si="131"/>
        <v>2.794815610397519E-3</v>
      </c>
      <c r="AK1403">
        <f t="shared" si="130"/>
        <v>6.7839553110015416E-6</v>
      </c>
    </row>
    <row r="1404" spans="1:37" x14ac:dyDescent="0.3">
      <c r="A1404" s="1">
        <v>45890</v>
      </c>
      <c r="B1404">
        <v>1.1605000000000001</v>
      </c>
      <c r="C1404">
        <v>1.3408</v>
      </c>
      <c r="D1404">
        <v>148.25</v>
      </c>
      <c r="G1404">
        <v>1.1605000000000001</v>
      </c>
      <c r="H1404">
        <f t="shared" si="127"/>
        <v>1.1652</v>
      </c>
      <c r="I1404">
        <f t="shared" si="127"/>
        <v>1.1649</v>
      </c>
      <c r="J1404">
        <f t="shared" si="127"/>
        <v>1.1658999999999999</v>
      </c>
      <c r="L1404">
        <f t="shared" si="126"/>
        <v>-4.6999999999999265E-3</v>
      </c>
      <c r="W1404">
        <f t="shared" si="128"/>
        <v>6.9279358826326853E-3</v>
      </c>
      <c r="X1404">
        <f t="shared" si="129"/>
        <v>-2.3039913261503247E-3</v>
      </c>
      <c r="Y1404">
        <f t="shared" si="129"/>
        <v>-6.0950832994719904E-4</v>
      </c>
      <c r="Z1404">
        <f t="shared" si="129"/>
        <v>4.1482488949335953E-3</v>
      </c>
      <c r="AE1404">
        <f>W1404-mu-theta*AE1403</f>
        <v>6.0442665551271573E-3</v>
      </c>
      <c r="AF1404">
        <f t="shared" si="131"/>
        <v>-2.6046027165388471E-3</v>
      </c>
      <c r="AG1404">
        <f t="shared" si="131"/>
        <v>-1.8959189817109763E-4</v>
      </c>
      <c r="AK1404">
        <f t="shared" si="130"/>
        <v>3.6533158189428717E-5</v>
      </c>
    </row>
    <row r="1405" spans="1:37" x14ac:dyDescent="0.3">
      <c r="A1405" s="1">
        <v>45893</v>
      </c>
      <c r="B1405">
        <v>1.1715</v>
      </c>
      <c r="C1405">
        <v>1.3516999999999999</v>
      </c>
      <c r="D1405">
        <v>146.80000000000001</v>
      </c>
      <c r="G1405">
        <v>1.1715</v>
      </c>
      <c r="H1405">
        <f t="shared" si="127"/>
        <v>1.1605000000000001</v>
      </c>
      <c r="I1405">
        <f t="shared" si="127"/>
        <v>1.1652</v>
      </c>
      <c r="J1405">
        <f t="shared" si="127"/>
        <v>1.1649</v>
      </c>
      <c r="L1405">
        <f t="shared" si="126"/>
        <v>1.0999999999999899E-2</v>
      </c>
      <c r="W1405">
        <f t="shared" si="128"/>
        <v>-9.7807757166946951E-3</v>
      </c>
      <c r="X1405">
        <f t="shared" si="129"/>
        <v>6.9279358826326853E-3</v>
      </c>
      <c r="Y1405">
        <f t="shared" si="129"/>
        <v>-2.3039913261503247E-3</v>
      </c>
      <c r="Z1405">
        <f t="shared" si="129"/>
        <v>-6.0950832994719904E-4</v>
      </c>
      <c r="AE1405">
        <f>W1405-mu-theta*AE1404</f>
        <v>-8.5763418201572975E-3</v>
      </c>
      <c r="AF1405">
        <f t="shared" si="131"/>
        <v>6.0442665551271573E-3</v>
      </c>
      <c r="AG1405">
        <f t="shared" si="131"/>
        <v>-2.6046027165388471E-3</v>
      </c>
      <c r="AK1405">
        <f t="shared" si="130"/>
        <v>7.355363901617898E-5</v>
      </c>
    </row>
    <row r="1406" spans="1:37" x14ac:dyDescent="0.3">
      <c r="A1406" s="1">
        <v>45894</v>
      </c>
      <c r="B1406">
        <v>1.1617999999999999</v>
      </c>
      <c r="C1406">
        <v>1.3453999999999999</v>
      </c>
      <c r="D1406">
        <v>147.77000000000001</v>
      </c>
      <c r="G1406">
        <v>1.1617999999999999</v>
      </c>
      <c r="H1406">
        <f t="shared" si="127"/>
        <v>1.1715</v>
      </c>
      <c r="I1406">
        <f t="shared" si="127"/>
        <v>1.1605000000000001</v>
      </c>
      <c r="J1406">
        <f t="shared" si="127"/>
        <v>1.1652</v>
      </c>
      <c r="L1406">
        <f t="shared" si="126"/>
        <v>-9.7000000000000419E-3</v>
      </c>
      <c r="W1406">
        <f t="shared" si="128"/>
        <v>6.6076294277929073E-3</v>
      </c>
      <c r="X1406">
        <f t="shared" si="129"/>
        <v>-9.7807757166946951E-3</v>
      </c>
      <c r="Y1406">
        <f t="shared" si="129"/>
        <v>6.9279358826326853E-3</v>
      </c>
      <c r="Z1406">
        <f t="shared" si="129"/>
        <v>-2.3039913261503247E-3</v>
      </c>
      <c r="AE1406">
        <f>W1406-mu-theta*AE1405</f>
        <v>4.2821984914884394E-3</v>
      </c>
      <c r="AF1406">
        <f t="shared" si="131"/>
        <v>-8.5763418201572975E-3</v>
      </c>
      <c r="AG1406">
        <f t="shared" si="131"/>
        <v>6.0442665551271573E-3</v>
      </c>
      <c r="AK1406">
        <f t="shared" si="130"/>
        <v>1.8337223920505867E-5</v>
      </c>
    </row>
    <row r="1407" spans="1:37" x14ac:dyDescent="0.3">
      <c r="A1407" s="1">
        <v>45895</v>
      </c>
      <c r="B1407">
        <v>1.1641999999999999</v>
      </c>
      <c r="C1407">
        <v>1.3481000000000001</v>
      </c>
      <c r="D1407">
        <v>147.4</v>
      </c>
      <c r="G1407">
        <v>1.1641999999999999</v>
      </c>
      <c r="H1407">
        <f t="shared" si="127"/>
        <v>1.1617999999999999</v>
      </c>
      <c r="I1407">
        <f t="shared" si="127"/>
        <v>1.1715</v>
      </c>
      <c r="J1407">
        <f t="shared" si="127"/>
        <v>1.1605000000000001</v>
      </c>
      <c r="L1407">
        <f t="shared" si="126"/>
        <v>2.3999999999999577E-3</v>
      </c>
      <c r="W1407">
        <f t="shared" si="128"/>
        <v>-2.5038911822427051E-3</v>
      </c>
      <c r="X1407">
        <f t="shared" si="129"/>
        <v>6.6076294277929073E-3</v>
      </c>
      <c r="Y1407">
        <f t="shared" si="129"/>
        <v>-9.7807757166946951E-3</v>
      </c>
      <c r="Z1407">
        <f t="shared" si="129"/>
        <v>6.9279358826326853E-3</v>
      </c>
      <c r="AE1407">
        <f>W1407-mu-theta*AE1406</f>
        <v>-1.7248747465427447E-3</v>
      </c>
      <c r="AF1407">
        <f t="shared" si="131"/>
        <v>4.2821984914884394E-3</v>
      </c>
      <c r="AG1407">
        <f t="shared" si="131"/>
        <v>-8.5763418201572975E-3</v>
      </c>
      <c r="AK1407">
        <f t="shared" si="130"/>
        <v>2.9751928912608976E-6</v>
      </c>
    </row>
    <row r="1408" spans="1:37" x14ac:dyDescent="0.3">
      <c r="A1408" s="1">
        <v>45896</v>
      </c>
      <c r="B1408">
        <v>1.1637</v>
      </c>
      <c r="C1408">
        <v>1.3494999999999999</v>
      </c>
      <c r="D1408">
        <v>147.4</v>
      </c>
      <c r="G1408">
        <v>1.1637</v>
      </c>
      <c r="H1408">
        <f t="shared" si="127"/>
        <v>1.1641999999999999</v>
      </c>
      <c r="I1408">
        <f t="shared" si="127"/>
        <v>1.1617999999999999</v>
      </c>
      <c r="J1408">
        <f t="shared" si="127"/>
        <v>1.1715</v>
      </c>
      <c r="L1408">
        <f t="shared" si="126"/>
        <v>-4.9999999999994493E-4</v>
      </c>
      <c r="W1408">
        <f t="shared" si="128"/>
        <v>0</v>
      </c>
      <c r="X1408">
        <f t="shared" si="129"/>
        <v>-2.5038911822427051E-3</v>
      </c>
      <c r="Y1408">
        <f t="shared" si="129"/>
        <v>6.6076294277929073E-3</v>
      </c>
      <c r="Z1408">
        <f t="shared" si="129"/>
        <v>-9.7807757166946951E-3</v>
      </c>
      <c r="AE1408">
        <f>W1408-mu-theta*AE1407</f>
        <v>-6.7127592060694618E-4</v>
      </c>
      <c r="AF1408">
        <f t="shared" si="131"/>
        <v>-1.7248747465427447E-3</v>
      </c>
      <c r="AG1408">
        <f t="shared" si="131"/>
        <v>4.2821984914884394E-3</v>
      </c>
      <c r="AK1408">
        <f t="shared" si="130"/>
        <v>4.5061136158670314E-7</v>
      </c>
    </row>
    <row r="1409" spans="1:37" x14ac:dyDescent="0.3">
      <c r="A1409" s="1">
        <v>45897</v>
      </c>
      <c r="B1409">
        <v>1.1681999999999999</v>
      </c>
      <c r="C1409">
        <v>1.3508</v>
      </c>
      <c r="D1409">
        <v>146.91999999999999</v>
      </c>
      <c r="G1409">
        <v>1.1681999999999999</v>
      </c>
      <c r="H1409">
        <f t="shared" si="127"/>
        <v>1.1637</v>
      </c>
      <c r="I1409">
        <f t="shared" si="127"/>
        <v>1.1641999999999999</v>
      </c>
      <c r="J1409">
        <f t="shared" si="127"/>
        <v>1.1617999999999999</v>
      </c>
      <c r="L1409">
        <f t="shared" si="126"/>
        <v>4.4999999999999485E-3</v>
      </c>
      <c r="W1409">
        <f t="shared" si="128"/>
        <v>-3.256445047489947E-3</v>
      </c>
      <c r="X1409">
        <f t="shared" si="129"/>
        <v>0</v>
      </c>
      <c r="Y1409">
        <f t="shared" si="129"/>
        <v>-2.5038911822427051E-3</v>
      </c>
      <c r="Z1409">
        <f t="shared" si="129"/>
        <v>6.6076294277929073E-3</v>
      </c>
      <c r="AE1409">
        <f>W1409-mu-theta*AE1408</f>
        <v>-3.6733497854393254E-3</v>
      </c>
      <c r="AF1409">
        <f t="shared" si="131"/>
        <v>-6.7127592060694618E-4</v>
      </c>
      <c r="AG1409">
        <f t="shared" si="131"/>
        <v>-1.7248747465427447E-3</v>
      </c>
      <c r="AK1409">
        <f t="shared" si="130"/>
        <v>1.3493498646187138E-5</v>
      </c>
    </row>
    <row r="1410" spans="1:37" x14ac:dyDescent="0.3">
      <c r="A1410" s="1">
        <v>45900</v>
      </c>
      <c r="B1410">
        <v>1.1684000000000001</v>
      </c>
      <c r="C1410">
        <v>1.3503000000000001</v>
      </c>
      <c r="D1410">
        <v>147.06</v>
      </c>
      <c r="G1410">
        <v>1.1684000000000001</v>
      </c>
      <c r="H1410">
        <f t="shared" si="127"/>
        <v>1.1681999999999999</v>
      </c>
      <c r="I1410">
        <f t="shared" si="127"/>
        <v>1.1637</v>
      </c>
      <c r="J1410">
        <f t="shared" si="127"/>
        <v>1.1641999999999999</v>
      </c>
      <c r="L1410">
        <f t="shared" si="126"/>
        <v>2.0000000000020002E-4</v>
      </c>
      <c r="W1410">
        <f t="shared" si="128"/>
        <v>9.5289953716318264E-4</v>
      </c>
      <c r="X1410">
        <f t="shared" si="129"/>
        <v>-3.256445047489947E-3</v>
      </c>
      <c r="Y1410">
        <f t="shared" si="129"/>
        <v>0</v>
      </c>
      <c r="Z1410">
        <f t="shared" si="129"/>
        <v>-2.5038911822427051E-3</v>
      </c>
      <c r="AE1410">
        <f>W1410-mu-theta*AE1409</f>
        <v>-1.8879822506137763E-4</v>
      </c>
      <c r="AF1410">
        <f t="shared" si="131"/>
        <v>-3.6733497854393254E-3</v>
      </c>
      <c r="AG1410">
        <f t="shared" si="131"/>
        <v>-6.7127592060694618E-4</v>
      </c>
      <c r="AK1410">
        <f t="shared" si="130"/>
        <v>3.5644769786326601E-8</v>
      </c>
    </row>
    <row r="1411" spans="1:37" x14ac:dyDescent="0.3">
      <c r="A1411" s="1">
        <v>45901</v>
      </c>
      <c r="B1411">
        <v>1.1709000000000001</v>
      </c>
      <c r="C1411">
        <v>1.3537999999999999</v>
      </c>
      <c r="D1411">
        <v>147.16999999999999</v>
      </c>
      <c r="G1411">
        <v>1.1709000000000001</v>
      </c>
      <c r="H1411">
        <f t="shared" si="127"/>
        <v>1.1684000000000001</v>
      </c>
      <c r="I1411">
        <f t="shared" si="127"/>
        <v>1.1681999999999999</v>
      </c>
      <c r="J1411">
        <f t="shared" si="127"/>
        <v>1.1637</v>
      </c>
      <c r="L1411">
        <f t="shared" si="126"/>
        <v>2.4999999999999467E-3</v>
      </c>
      <c r="W1411">
        <f t="shared" si="128"/>
        <v>7.4799401604777106E-4</v>
      </c>
      <c r="X1411">
        <f t="shared" si="129"/>
        <v>9.5289953716318264E-4</v>
      </c>
      <c r="Y1411">
        <f t="shared" si="129"/>
        <v>-3.256445047489947E-3</v>
      </c>
      <c r="Z1411">
        <f t="shared" si="129"/>
        <v>0</v>
      </c>
      <c r="AE1411">
        <f>W1411-mu-theta*AE1410</f>
        <v>4.475742427744098E-4</v>
      </c>
      <c r="AF1411">
        <f t="shared" si="131"/>
        <v>-1.8879822506137763E-4</v>
      </c>
      <c r="AG1411">
        <f t="shared" si="131"/>
        <v>-3.6733497854393254E-3</v>
      </c>
      <c r="AK1411">
        <f t="shared" si="130"/>
        <v>2.0032270279508631E-7</v>
      </c>
    </row>
    <row r="1412" spans="1:37" x14ac:dyDescent="0.3">
      <c r="A1412" s="1">
        <v>45902</v>
      </c>
      <c r="B1412">
        <v>1.1641999999999999</v>
      </c>
      <c r="C1412">
        <v>1.3387</v>
      </c>
      <c r="D1412">
        <v>148.33000000000001</v>
      </c>
      <c r="G1412">
        <v>1.1641999999999999</v>
      </c>
      <c r="H1412">
        <f t="shared" si="127"/>
        <v>1.1709000000000001</v>
      </c>
      <c r="I1412">
        <f t="shared" si="127"/>
        <v>1.1684000000000001</v>
      </c>
      <c r="J1412">
        <f t="shared" si="127"/>
        <v>1.1681999999999999</v>
      </c>
      <c r="L1412">
        <f t="shared" si="126"/>
        <v>-6.7000000000001503E-3</v>
      </c>
      <c r="W1412">
        <f t="shared" si="128"/>
        <v>7.8820411768704569E-3</v>
      </c>
      <c r="X1412">
        <f t="shared" si="129"/>
        <v>7.4799401604777106E-4</v>
      </c>
      <c r="Y1412">
        <f t="shared" si="129"/>
        <v>9.5289953716318264E-4</v>
      </c>
      <c r="Z1412">
        <f t="shared" si="129"/>
        <v>-3.256445047489947E-3</v>
      </c>
      <c r="AE1412">
        <f>W1412-mu-theta*AE1411</f>
        <v>7.7352613026453205E-3</v>
      </c>
      <c r="AF1412">
        <f t="shared" si="131"/>
        <v>4.475742427744098E-4</v>
      </c>
      <c r="AG1412">
        <f t="shared" si="131"/>
        <v>-1.8879822506137763E-4</v>
      </c>
      <c r="AK1412">
        <f t="shared" si="130"/>
        <v>5.9834267420202183E-5</v>
      </c>
    </row>
    <row r="1413" spans="1:37" x14ac:dyDescent="0.3">
      <c r="A1413" s="1">
        <v>45903</v>
      </c>
      <c r="B1413">
        <v>1.1658999999999999</v>
      </c>
      <c r="C1413">
        <v>1.3434999999999999</v>
      </c>
      <c r="D1413">
        <v>148.08000000000001</v>
      </c>
      <c r="G1413">
        <v>1.1658999999999999</v>
      </c>
      <c r="H1413">
        <f t="shared" si="127"/>
        <v>1.1641999999999999</v>
      </c>
      <c r="I1413">
        <f t="shared" si="127"/>
        <v>1.1709000000000001</v>
      </c>
      <c r="J1413">
        <f t="shared" si="127"/>
        <v>1.1684000000000001</v>
      </c>
      <c r="L1413">
        <f t="shared" si="126"/>
        <v>1.7000000000000348E-3</v>
      </c>
      <c r="W1413">
        <f t="shared" si="128"/>
        <v>-1.6854311332838939E-3</v>
      </c>
      <c r="X1413">
        <f t="shared" si="129"/>
        <v>7.8820411768704569E-3</v>
      </c>
      <c r="Y1413">
        <f t="shared" si="129"/>
        <v>7.4799401604777106E-4</v>
      </c>
      <c r="Z1413">
        <f t="shared" si="129"/>
        <v>9.5289953716318264E-4</v>
      </c>
      <c r="AE1413">
        <f>W1413-mu-theta*AE1412</f>
        <v>-7.2739061807963095E-5</v>
      </c>
      <c r="AF1413">
        <f t="shared" si="131"/>
        <v>7.7352613026453205E-3</v>
      </c>
      <c r="AG1413">
        <f t="shared" si="131"/>
        <v>4.475742427744098E-4</v>
      </c>
      <c r="AK1413">
        <f t="shared" si="130"/>
        <v>5.2909711127026751E-9</v>
      </c>
    </row>
    <row r="1414" spans="1:37" x14ac:dyDescent="0.3">
      <c r="A1414" s="1">
        <v>45904</v>
      </c>
      <c r="B1414">
        <v>1.1648000000000001</v>
      </c>
      <c r="C1414">
        <v>1.3432999999999999</v>
      </c>
      <c r="D1414">
        <v>148.47999999999999</v>
      </c>
      <c r="G1414">
        <v>1.1648000000000001</v>
      </c>
      <c r="H1414">
        <f t="shared" si="127"/>
        <v>1.1658999999999999</v>
      </c>
      <c r="I1414">
        <f t="shared" si="127"/>
        <v>1.1641999999999999</v>
      </c>
      <c r="J1414">
        <f t="shared" si="127"/>
        <v>1.1709000000000001</v>
      </c>
      <c r="L1414">
        <f t="shared" ref="L1414:L1477" si="132">G1414-H1414</f>
        <v>-1.0999999999998789E-3</v>
      </c>
      <c r="W1414">
        <f t="shared" si="128"/>
        <v>2.7012425715827746E-3</v>
      </c>
      <c r="X1414">
        <f t="shared" si="129"/>
        <v>-1.6854311332838939E-3</v>
      </c>
      <c r="Y1414">
        <f t="shared" si="129"/>
        <v>7.8820411768704569E-3</v>
      </c>
      <c r="Z1414">
        <f t="shared" si="129"/>
        <v>7.4799401604777106E-4</v>
      </c>
      <c r="AE1414">
        <f>W1414-mu-theta*AE1413</f>
        <v>2.4288430522127883E-3</v>
      </c>
      <c r="AF1414">
        <f t="shared" si="131"/>
        <v>-7.2739061807963095E-5</v>
      </c>
      <c r="AG1414">
        <f t="shared" si="131"/>
        <v>7.7352613026453205E-3</v>
      </c>
      <c r="AK1414">
        <f t="shared" si="130"/>
        <v>5.8992785722823332E-6</v>
      </c>
    </row>
    <row r="1415" spans="1:37" x14ac:dyDescent="0.3">
      <c r="A1415" s="1">
        <v>45907</v>
      </c>
      <c r="B1415">
        <v>1.1717</v>
      </c>
      <c r="C1415">
        <v>1.3499000000000001</v>
      </c>
      <c r="D1415">
        <v>148.04</v>
      </c>
      <c r="G1415">
        <v>1.1717</v>
      </c>
      <c r="H1415">
        <f t="shared" ref="H1415:J1478" si="133">G1414</f>
        <v>1.1648000000000001</v>
      </c>
      <c r="I1415">
        <f t="shared" si="133"/>
        <v>1.1658999999999999</v>
      </c>
      <c r="J1415">
        <f t="shared" si="133"/>
        <v>1.1641999999999999</v>
      </c>
      <c r="L1415">
        <f t="shared" si="132"/>
        <v>6.8999999999999062E-3</v>
      </c>
      <c r="W1415">
        <f t="shared" ref="W1415:W1478" si="134">(D1415-D1414)/D1414</f>
        <v>-2.9633620689655023E-3</v>
      </c>
      <c r="X1415">
        <f t="shared" si="129"/>
        <v>2.7012425715827746E-3</v>
      </c>
      <c r="Y1415">
        <f t="shared" si="129"/>
        <v>-1.6854311332838939E-3</v>
      </c>
      <c r="Z1415">
        <f t="shared" si="129"/>
        <v>7.8820411768704569E-3</v>
      </c>
      <c r="AE1415">
        <f>W1415-mu-theta*AE1414</f>
        <v>-2.6318026760869919E-3</v>
      </c>
      <c r="AF1415">
        <f t="shared" si="131"/>
        <v>2.4288430522127883E-3</v>
      </c>
      <c r="AG1415">
        <f t="shared" si="131"/>
        <v>-7.2739061807963095E-5</v>
      </c>
      <c r="AK1415">
        <f t="shared" si="130"/>
        <v>6.926385325858652E-6</v>
      </c>
    </row>
    <row r="1416" spans="1:37" x14ac:dyDescent="0.3">
      <c r="A1416" s="1">
        <v>45908</v>
      </c>
      <c r="B1416">
        <v>1.1761999999999999</v>
      </c>
      <c r="C1416">
        <v>1.3544</v>
      </c>
      <c r="D1416">
        <v>147.51</v>
      </c>
      <c r="G1416">
        <v>1.1761999999999999</v>
      </c>
      <c r="H1416">
        <f t="shared" si="133"/>
        <v>1.1717</v>
      </c>
      <c r="I1416">
        <f t="shared" si="133"/>
        <v>1.1648000000000001</v>
      </c>
      <c r="J1416">
        <f t="shared" si="133"/>
        <v>1.1658999999999999</v>
      </c>
      <c r="L1416">
        <f t="shared" si="132"/>
        <v>4.4999999999999485E-3</v>
      </c>
      <c r="W1416">
        <f t="shared" si="134"/>
        <v>-3.5801134828424828E-3</v>
      </c>
      <c r="X1416">
        <f t="shared" ref="X1416:Z1479" si="135">W1415</f>
        <v>-2.9633620689655023E-3</v>
      </c>
      <c r="Y1416">
        <f t="shared" si="135"/>
        <v>2.7012425715827746E-3</v>
      </c>
      <c r="Z1416">
        <f t="shared" si="135"/>
        <v>-1.6854311332838939E-3</v>
      </c>
      <c r="AE1416">
        <f>W1416-mu-theta*AE1415</f>
        <v>-4.4703497177022919E-3</v>
      </c>
      <c r="AF1416">
        <f t="shared" si="131"/>
        <v>-2.6318026760869919E-3</v>
      </c>
      <c r="AG1416">
        <f t="shared" si="131"/>
        <v>2.4288430522127883E-3</v>
      </c>
      <c r="AK1416">
        <f t="shared" ref="AK1416:AK1479" si="136">POWER(AE1416,2)</f>
        <v>1.998402659856096E-5</v>
      </c>
    </row>
    <row r="1417" spans="1:37" x14ac:dyDescent="0.3">
      <c r="A1417" s="1">
        <v>45909</v>
      </c>
      <c r="B1417">
        <v>1.1707000000000001</v>
      </c>
      <c r="C1417">
        <v>1.3527</v>
      </c>
      <c r="D1417">
        <v>147.41</v>
      </c>
      <c r="G1417">
        <v>1.1707000000000001</v>
      </c>
      <c r="H1417">
        <f t="shared" si="133"/>
        <v>1.1761999999999999</v>
      </c>
      <c r="I1417">
        <f t="shared" si="133"/>
        <v>1.1717</v>
      </c>
      <c r="J1417">
        <f t="shared" si="133"/>
        <v>1.1648000000000001</v>
      </c>
      <c r="L1417">
        <f t="shared" si="132"/>
        <v>-5.4999999999998384E-3</v>
      </c>
      <c r="W1417">
        <f t="shared" si="134"/>
        <v>-6.779201410073508E-4</v>
      </c>
      <c r="X1417">
        <f t="shared" si="135"/>
        <v>-3.5801134828424828E-3</v>
      </c>
      <c r="Y1417">
        <f t="shared" si="135"/>
        <v>-2.9633620689655023E-3</v>
      </c>
      <c r="Z1417">
        <f t="shared" si="135"/>
        <v>2.7012425715827746E-3</v>
      </c>
      <c r="AE1417">
        <f>W1417-mu-theta*AE1416</f>
        <v>-2.0120382157428575E-3</v>
      </c>
      <c r="AF1417">
        <f t="shared" ref="AF1417:AG1480" si="137">AE1416</f>
        <v>-4.4703497177022919E-3</v>
      </c>
      <c r="AG1417">
        <f t="shared" si="137"/>
        <v>-2.6318026760869919E-3</v>
      </c>
      <c r="AK1417">
        <f t="shared" si="136"/>
        <v>4.0482977816097013E-6</v>
      </c>
    </row>
    <row r="1418" spans="1:37" x14ac:dyDescent="0.3">
      <c r="A1418" s="1">
        <v>45910</v>
      </c>
      <c r="B1418">
        <v>1.1693</v>
      </c>
      <c r="C1418">
        <v>1.3529</v>
      </c>
      <c r="D1418">
        <v>147.46</v>
      </c>
      <c r="G1418">
        <v>1.1693</v>
      </c>
      <c r="H1418">
        <f t="shared" si="133"/>
        <v>1.1707000000000001</v>
      </c>
      <c r="I1418">
        <f t="shared" si="133"/>
        <v>1.1761999999999999</v>
      </c>
      <c r="J1418">
        <f t="shared" si="133"/>
        <v>1.1717</v>
      </c>
      <c r="L1418">
        <f t="shared" si="132"/>
        <v>-1.4000000000000679E-3</v>
      </c>
      <c r="W1418">
        <f t="shared" si="134"/>
        <v>3.3919001424605774E-4</v>
      </c>
      <c r="X1418">
        <f t="shared" si="135"/>
        <v>-6.779201410073508E-4</v>
      </c>
      <c r="Y1418">
        <f t="shared" si="135"/>
        <v>-3.5801134828424828E-3</v>
      </c>
      <c r="Z1418">
        <f t="shared" si="135"/>
        <v>-2.9633620689655023E-3</v>
      </c>
      <c r="AE1418">
        <f>W1418-mu-theta*AE1417</f>
        <v>-4.0141600571023413E-4</v>
      </c>
      <c r="AF1418">
        <f t="shared" si="137"/>
        <v>-2.0120382157428575E-3</v>
      </c>
      <c r="AG1418">
        <f t="shared" si="137"/>
        <v>-4.4703497177022919E-3</v>
      </c>
      <c r="AK1418">
        <f t="shared" si="136"/>
        <v>1.6113480964035872E-7</v>
      </c>
    </row>
    <row r="1419" spans="1:37" x14ac:dyDescent="0.3">
      <c r="A1419" s="1">
        <v>45911</v>
      </c>
      <c r="B1419">
        <v>1.1733</v>
      </c>
      <c r="C1419">
        <v>1.3572</v>
      </c>
      <c r="D1419">
        <v>147.18</v>
      </c>
      <c r="G1419">
        <v>1.1733</v>
      </c>
      <c r="H1419">
        <f t="shared" si="133"/>
        <v>1.1693</v>
      </c>
      <c r="I1419">
        <f t="shared" si="133"/>
        <v>1.1707000000000001</v>
      </c>
      <c r="J1419">
        <f t="shared" si="133"/>
        <v>1.1761999999999999</v>
      </c>
      <c r="L1419">
        <f t="shared" si="132"/>
        <v>4.0000000000000036E-3</v>
      </c>
      <c r="W1419">
        <f t="shared" si="134"/>
        <v>-1.8988200189882078E-3</v>
      </c>
      <c r="X1419">
        <f t="shared" si="135"/>
        <v>3.3919001424605774E-4</v>
      </c>
      <c r="Y1419">
        <f t="shared" si="135"/>
        <v>-6.779201410073508E-4</v>
      </c>
      <c r="Z1419">
        <f t="shared" si="135"/>
        <v>-3.5801134828424828E-3</v>
      </c>
      <c r="AE1419">
        <f>W1419-mu-theta*AE1418</f>
        <v>-2.2505722681397953E-3</v>
      </c>
      <c r="AF1419">
        <f t="shared" si="137"/>
        <v>-4.0141600571023413E-4</v>
      </c>
      <c r="AG1419">
        <f t="shared" si="137"/>
        <v>-2.0120382157428575E-3</v>
      </c>
      <c r="AK1419">
        <f t="shared" si="136"/>
        <v>5.0650755341199022E-6</v>
      </c>
    </row>
    <row r="1420" spans="1:37" x14ac:dyDescent="0.3">
      <c r="A1420" s="1">
        <v>45914</v>
      </c>
      <c r="B1420">
        <v>1.1733</v>
      </c>
      <c r="C1420">
        <v>1.3554999999999999</v>
      </c>
      <c r="D1420">
        <v>147.72</v>
      </c>
      <c r="G1420">
        <v>1.1733</v>
      </c>
      <c r="H1420">
        <f t="shared" si="133"/>
        <v>1.1733</v>
      </c>
      <c r="I1420">
        <f t="shared" si="133"/>
        <v>1.1693</v>
      </c>
      <c r="J1420">
        <f t="shared" si="133"/>
        <v>1.1707000000000001</v>
      </c>
      <c r="L1420">
        <f t="shared" si="132"/>
        <v>0</v>
      </c>
      <c r="W1420">
        <f t="shared" si="134"/>
        <v>3.6689767631471124E-3</v>
      </c>
      <c r="X1420">
        <f t="shared" si="135"/>
        <v>-1.8988200189882078E-3</v>
      </c>
      <c r="Y1420">
        <f t="shared" si="135"/>
        <v>3.3919001424605774E-4</v>
      </c>
      <c r="Z1420">
        <f t="shared" si="135"/>
        <v>-6.779201410073508E-4</v>
      </c>
      <c r="AE1420">
        <f>W1420-mu-theta*AE1419</f>
        <v>2.8707812817006569E-3</v>
      </c>
      <c r="AF1420">
        <f t="shared" si="137"/>
        <v>-2.2505722681397953E-3</v>
      </c>
      <c r="AG1420">
        <f t="shared" si="137"/>
        <v>-4.0141600571023413E-4</v>
      </c>
      <c r="AK1420">
        <f t="shared" si="136"/>
        <v>8.241385167362866E-6</v>
      </c>
    </row>
    <row r="1421" spans="1:37" x14ac:dyDescent="0.3">
      <c r="A1421" s="1">
        <v>45915</v>
      </c>
      <c r="B1421">
        <v>1.1761999999999999</v>
      </c>
      <c r="C1421">
        <v>1.36</v>
      </c>
      <c r="D1421">
        <v>147.4</v>
      </c>
      <c r="G1421">
        <v>1.1761999999999999</v>
      </c>
      <c r="H1421">
        <f t="shared" si="133"/>
        <v>1.1733</v>
      </c>
      <c r="I1421">
        <f t="shared" si="133"/>
        <v>1.1733</v>
      </c>
      <c r="J1421">
        <f t="shared" si="133"/>
        <v>1.1693</v>
      </c>
      <c r="L1421">
        <f t="shared" si="132"/>
        <v>2.8999999999999027E-3</v>
      </c>
      <c r="W1421">
        <f t="shared" si="134"/>
        <v>-2.166260492824216E-3</v>
      </c>
      <c r="X1421">
        <f t="shared" si="135"/>
        <v>3.6689767631471124E-3</v>
      </c>
      <c r="Y1421">
        <f t="shared" si="135"/>
        <v>-1.8988200189882078E-3</v>
      </c>
      <c r="Z1421">
        <f t="shared" si="135"/>
        <v>3.3919001424605774E-4</v>
      </c>
      <c r="AE1421">
        <f>W1421-mu-theta*AE1420</f>
        <v>-1.7280036100386022E-3</v>
      </c>
      <c r="AF1421">
        <f t="shared" si="137"/>
        <v>2.8707812817006569E-3</v>
      </c>
      <c r="AG1421">
        <f t="shared" si="137"/>
        <v>-2.2505722681397953E-3</v>
      </c>
      <c r="AK1421">
        <f t="shared" si="136"/>
        <v>2.9859964763064415E-6</v>
      </c>
    </row>
    <row r="1422" spans="1:37" x14ac:dyDescent="0.3">
      <c r="A1422" s="1">
        <v>45916</v>
      </c>
      <c r="B1422">
        <v>1.1866000000000001</v>
      </c>
      <c r="C1422">
        <v>1.3646</v>
      </c>
      <c r="D1422">
        <v>146.47999999999999</v>
      </c>
      <c r="G1422">
        <v>1.1866000000000001</v>
      </c>
      <c r="H1422">
        <f t="shared" si="133"/>
        <v>1.1761999999999999</v>
      </c>
      <c r="I1422">
        <f t="shared" si="133"/>
        <v>1.1733</v>
      </c>
      <c r="J1422">
        <f t="shared" si="133"/>
        <v>1.1733</v>
      </c>
      <c r="L1422">
        <f t="shared" si="132"/>
        <v>1.0400000000000187E-2</v>
      </c>
      <c r="W1422">
        <f t="shared" si="134"/>
        <v>-6.2415196743556027E-3</v>
      </c>
      <c r="X1422">
        <f t="shared" si="135"/>
        <v>-2.166260492824216E-3</v>
      </c>
      <c r="Y1422">
        <f t="shared" si="135"/>
        <v>3.6689767631471124E-3</v>
      </c>
      <c r="Z1422">
        <f t="shared" si="135"/>
        <v>-1.8988200189882078E-3</v>
      </c>
      <c r="AE1422">
        <f>W1422-mu-theta*AE1421</f>
        <v>-6.9135509989058938E-3</v>
      </c>
      <c r="AF1422">
        <f t="shared" si="137"/>
        <v>-1.7280036100386022E-3</v>
      </c>
      <c r="AG1422">
        <f t="shared" si="137"/>
        <v>2.8707812817006569E-3</v>
      </c>
      <c r="AK1422">
        <f t="shared" si="136"/>
        <v>4.7797187414472684E-5</v>
      </c>
    </row>
    <row r="1423" spans="1:37" x14ac:dyDescent="0.3">
      <c r="A1423" s="1">
        <v>45917</v>
      </c>
      <c r="B1423">
        <v>1.1812</v>
      </c>
      <c r="C1423">
        <v>1.3625</v>
      </c>
      <c r="D1423">
        <v>146.94</v>
      </c>
      <c r="G1423">
        <v>1.1812</v>
      </c>
      <c r="H1423">
        <f t="shared" si="133"/>
        <v>1.1866000000000001</v>
      </c>
      <c r="I1423">
        <f t="shared" si="133"/>
        <v>1.1761999999999999</v>
      </c>
      <c r="J1423">
        <f t="shared" si="133"/>
        <v>1.1733</v>
      </c>
      <c r="L1423">
        <f t="shared" si="132"/>
        <v>-5.4000000000000714E-3</v>
      </c>
      <c r="W1423">
        <f t="shared" si="134"/>
        <v>3.1403604587657563E-3</v>
      </c>
      <c r="X1423">
        <f t="shared" si="135"/>
        <v>-6.2415196743556027E-3</v>
      </c>
      <c r="Y1423">
        <f t="shared" si="135"/>
        <v>-2.166260492824216E-3</v>
      </c>
      <c r="Z1423">
        <f t="shared" si="135"/>
        <v>3.6689767631471124E-3</v>
      </c>
      <c r="AE1423">
        <f>W1423-mu-theta*AE1422</f>
        <v>1.216378401581093E-3</v>
      </c>
      <c r="AF1423">
        <f t="shared" si="137"/>
        <v>-6.9135509989058938E-3</v>
      </c>
      <c r="AG1423">
        <f t="shared" si="137"/>
        <v>-1.7280036100386022E-3</v>
      </c>
      <c r="AK1423">
        <f t="shared" si="136"/>
        <v>1.4795764158329746E-6</v>
      </c>
    </row>
    <row r="1424" spans="1:37" x14ac:dyDescent="0.3">
      <c r="A1424" s="1">
        <v>45918</v>
      </c>
      <c r="B1424">
        <v>1.1786000000000001</v>
      </c>
      <c r="C1424">
        <v>1.3553999999999999</v>
      </c>
      <c r="D1424">
        <v>147.99</v>
      </c>
      <c r="G1424">
        <v>1.1786000000000001</v>
      </c>
      <c r="H1424">
        <f t="shared" si="133"/>
        <v>1.1812</v>
      </c>
      <c r="I1424">
        <f t="shared" si="133"/>
        <v>1.1866000000000001</v>
      </c>
      <c r="J1424">
        <f t="shared" si="133"/>
        <v>1.1761999999999999</v>
      </c>
      <c r="L1424">
        <f t="shared" si="132"/>
        <v>-2.5999999999999357E-3</v>
      </c>
      <c r="W1424">
        <f t="shared" si="134"/>
        <v>7.1457737852185337E-3</v>
      </c>
      <c r="X1424">
        <f t="shared" si="135"/>
        <v>3.1403604587657563E-3</v>
      </c>
      <c r="Y1424">
        <f t="shared" si="135"/>
        <v>-6.2415196743556027E-3</v>
      </c>
      <c r="Z1424">
        <f t="shared" si="135"/>
        <v>-2.166260492824216E-3</v>
      </c>
      <c r="AE1424">
        <f>W1424-mu-theta*AE1423</f>
        <v>7.1846068960249787E-3</v>
      </c>
      <c r="AF1424">
        <f t="shared" si="137"/>
        <v>1.216378401581093E-3</v>
      </c>
      <c r="AG1424">
        <f t="shared" si="137"/>
        <v>-6.9135509989058938E-3</v>
      </c>
      <c r="AK1424">
        <f t="shared" si="136"/>
        <v>5.161857625040968E-5</v>
      </c>
    </row>
    <row r="1425" spans="1:37" x14ac:dyDescent="0.3">
      <c r="A1425" s="1">
        <v>45921</v>
      </c>
      <c r="B1425">
        <v>1.1744000000000001</v>
      </c>
      <c r="C1425">
        <v>1.3467</v>
      </c>
      <c r="D1425">
        <v>147.88999999999999</v>
      </c>
      <c r="G1425">
        <v>1.1744000000000001</v>
      </c>
      <c r="H1425">
        <f t="shared" si="133"/>
        <v>1.1786000000000001</v>
      </c>
      <c r="I1425">
        <f t="shared" si="133"/>
        <v>1.1812</v>
      </c>
      <c r="J1425">
        <f t="shared" si="133"/>
        <v>1.1866000000000001</v>
      </c>
      <c r="L1425">
        <f t="shared" si="132"/>
        <v>-4.1999999999999815E-3</v>
      </c>
      <c r="W1425">
        <f t="shared" si="134"/>
        <v>-6.7572133252262131E-4</v>
      </c>
      <c r="X1425">
        <f t="shared" si="135"/>
        <v>7.1457737852185337E-3</v>
      </c>
      <c r="Y1425">
        <f t="shared" si="135"/>
        <v>3.1403604587657563E-3</v>
      </c>
      <c r="Z1425">
        <f t="shared" si="135"/>
        <v>-6.2415196743556027E-3</v>
      </c>
      <c r="AE1425">
        <f>W1425-mu-theta*AE1424</f>
        <v>8.0402581798378584E-4</v>
      </c>
      <c r="AF1425">
        <f t="shared" si="137"/>
        <v>7.1846068960249787E-3</v>
      </c>
      <c r="AG1425">
        <f t="shared" si="137"/>
        <v>1.216378401581093E-3</v>
      </c>
      <c r="AK1425">
        <f t="shared" si="136"/>
        <v>6.4645751598449593E-7</v>
      </c>
    </row>
    <row r="1426" spans="1:37" x14ac:dyDescent="0.3">
      <c r="A1426" s="1">
        <v>45922</v>
      </c>
      <c r="B1426">
        <v>1.1801999999999999</v>
      </c>
      <c r="C1426">
        <v>1.3512</v>
      </c>
      <c r="D1426">
        <v>147.71</v>
      </c>
      <c r="G1426">
        <v>1.1801999999999999</v>
      </c>
      <c r="H1426">
        <f t="shared" si="133"/>
        <v>1.1744000000000001</v>
      </c>
      <c r="I1426">
        <f t="shared" si="133"/>
        <v>1.1786000000000001</v>
      </c>
      <c r="J1426">
        <f t="shared" si="133"/>
        <v>1.1812</v>
      </c>
      <c r="L1426">
        <f t="shared" si="132"/>
        <v>5.7999999999998053E-3</v>
      </c>
      <c r="W1426">
        <f t="shared" si="134"/>
        <v>-1.2171208330514465E-3</v>
      </c>
      <c r="X1426">
        <f t="shared" si="135"/>
        <v>-6.7572133252262131E-4</v>
      </c>
      <c r="Y1426">
        <f t="shared" si="135"/>
        <v>7.1457737852185337E-3</v>
      </c>
      <c r="Z1426">
        <f t="shared" si="135"/>
        <v>3.1403604587657563E-3</v>
      </c>
      <c r="AE1426">
        <f>W1426-mu-theta*AE1425</f>
        <v>-1.2778423266917062E-3</v>
      </c>
      <c r="AF1426">
        <f t="shared" si="137"/>
        <v>8.0402581798378584E-4</v>
      </c>
      <c r="AG1426">
        <f t="shared" si="137"/>
        <v>7.1846068960249787E-3</v>
      </c>
      <c r="AK1426">
        <f t="shared" si="136"/>
        <v>1.6328810118848732E-6</v>
      </c>
    </row>
    <row r="1427" spans="1:37" x14ac:dyDescent="0.3">
      <c r="A1427" s="1">
        <v>45923</v>
      </c>
      <c r="B1427">
        <v>1.1814</v>
      </c>
      <c r="C1427">
        <v>1.3522000000000001</v>
      </c>
      <c r="D1427">
        <v>147.62</v>
      </c>
      <c r="G1427">
        <v>1.1814</v>
      </c>
      <c r="H1427">
        <f t="shared" si="133"/>
        <v>1.1801999999999999</v>
      </c>
      <c r="I1427">
        <f t="shared" si="133"/>
        <v>1.1744000000000001</v>
      </c>
      <c r="J1427">
        <f t="shared" si="133"/>
        <v>1.1786000000000001</v>
      </c>
      <c r="L1427">
        <f t="shared" si="132"/>
        <v>1.2000000000000899E-3</v>
      </c>
      <c r="W1427">
        <f t="shared" si="134"/>
        <v>-6.0930201069665834E-4</v>
      </c>
      <c r="X1427">
        <f t="shared" si="135"/>
        <v>-1.2171208330514465E-3</v>
      </c>
      <c r="Y1427">
        <f t="shared" si="135"/>
        <v>-6.7572133252262131E-4</v>
      </c>
      <c r="Z1427">
        <f t="shared" si="135"/>
        <v>7.1457737852185337E-3</v>
      </c>
      <c r="AE1427">
        <f>W1427-mu-theta*AE1426</f>
        <v>-1.172650547061519E-3</v>
      </c>
      <c r="AF1427">
        <f t="shared" si="137"/>
        <v>-1.2778423266917062E-3</v>
      </c>
      <c r="AG1427">
        <f t="shared" si="137"/>
        <v>8.0402581798378584E-4</v>
      </c>
      <c r="AK1427">
        <f t="shared" si="136"/>
        <v>1.37510930552368E-6</v>
      </c>
    </row>
    <row r="1428" spans="1:37" x14ac:dyDescent="0.3">
      <c r="A1428" s="1">
        <v>45924</v>
      </c>
      <c r="B1428">
        <v>1.1738</v>
      </c>
      <c r="C1428">
        <v>1.3446</v>
      </c>
      <c r="D1428">
        <v>148.88999999999999</v>
      </c>
      <c r="G1428">
        <v>1.1738</v>
      </c>
      <c r="H1428">
        <f t="shared" si="133"/>
        <v>1.1814</v>
      </c>
      <c r="I1428">
        <f t="shared" si="133"/>
        <v>1.1801999999999999</v>
      </c>
      <c r="J1428">
        <f t="shared" si="133"/>
        <v>1.1744000000000001</v>
      </c>
      <c r="L1428">
        <f t="shared" si="132"/>
        <v>-7.6000000000000512E-3</v>
      </c>
      <c r="W1428">
        <f t="shared" si="134"/>
        <v>8.6031703021269591E-3</v>
      </c>
      <c r="X1428">
        <f t="shared" si="135"/>
        <v>-6.0930201069665834E-4</v>
      </c>
      <c r="Y1428">
        <f t="shared" si="135"/>
        <v>-1.2171208330514465E-3</v>
      </c>
      <c r="Z1428">
        <f t="shared" si="135"/>
        <v>-6.7572133252262131E-4</v>
      </c>
      <c r="AE1428">
        <f>W1428-mu-theta*AE1427</f>
        <v>8.0652182987988735E-3</v>
      </c>
      <c r="AF1428">
        <f t="shared" si="137"/>
        <v>-1.172650547061519E-3</v>
      </c>
      <c r="AG1428">
        <f t="shared" si="137"/>
        <v>-1.2778423266917062E-3</v>
      </c>
      <c r="AK1428">
        <f t="shared" si="136"/>
        <v>6.50477462072802E-5</v>
      </c>
    </row>
    <row r="1429" spans="1:37" x14ac:dyDescent="0.3">
      <c r="A1429" s="1">
        <v>45925</v>
      </c>
      <c r="B1429">
        <v>1.1665000000000001</v>
      </c>
      <c r="C1429">
        <v>1.3342000000000001</v>
      </c>
      <c r="D1429">
        <v>149.83000000000001</v>
      </c>
      <c r="G1429">
        <v>1.1665000000000001</v>
      </c>
      <c r="H1429">
        <f t="shared" si="133"/>
        <v>1.1738</v>
      </c>
      <c r="I1429">
        <f t="shared" si="133"/>
        <v>1.1814</v>
      </c>
      <c r="J1429">
        <f t="shared" si="133"/>
        <v>1.1801999999999999</v>
      </c>
      <c r="L1429">
        <f t="shared" si="132"/>
        <v>-7.2999999999998622E-3</v>
      </c>
      <c r="W1429">
        <f t="shared" si="134"/>
        <v>6.3133857210022582E-3</v>
      </c>
      <c r="X1429">
        <f t="shared" si="135"/>
        <v>8.6031703021269591E-3</v>
      </c>
      <c r="Y1429">
        <f t="shared" si="135"/>
        <v>-6.0930201069665834E-4</v>
      </c>
      <c r="Z1429">
        <f t="shared" si="135"/>
        <v>-1.2171208330514465E-3</v>
      </c>
      <c r="AE1429">
        <f>W1429-mu-theta*AE1428</f>
        <v>8.0057395662687693E-3</v>
      </c>
      <c r="AF1429">
        <f t="shared" si="137"/>
        <v>8.0652182987988735E-3</v>
      </c>
      <c r="AG1429">
        <f t="shared" si="137"/>
        <v>-1.172650547061519E-3</v>
      </c>
      <c r="AK1429">
        <f t="shared" si="136"/>
        <v>6.4091866002921263E-5</v>
      </c>
    </row>
    <row r="1430" spans="1:37" x14ac:dyDescent="0.3">
      <c r="A1430" s="1">
        <v>45928</v>
      </c>
      <c r="B1430">
        <v>1.1697</v>
      </c>
      <c r="C1430">
        <v>1.3389</v>
      </c>
      <c r="D1430">
        <v>149.38999999999999</v>
      </c>
      <c r="G1430">
        <v>1.1697</v>
      </c>
      <c r="H1430">
        <f t="shared" si="133"/>
        <v>1.1665000000000001</v>
      </c>
      <c r="I1430">
        <f t="shared" si="133"/>
        <v>1.1738</v>
      </c>
      <c r="J1430">
        <f t="shared" si="133"/>
        <v>1.1814</v>
      </c>
      <c r="L1430">
        <f t="shared" si="132"/>
        <v>3.1999999999998696E-3</v>
      </c>
      <c r="W1430">
        <f t="shared" si="134"/>
        <v>-2.9366615497565651E-3</v>
      </c>
      <c r="X1430">
        <f t="shared" si="135"/>
        <v>6.3133857210022582E-3</v>
      </c>
      <c r="Y1430">
        <f t="shared" si="135"/>
        <v>8.6031703021269591E-3</v>
      </c>
      <c r="Z1430">
        <f t="shared" si="135"/>
        <v>-6.0930201069665834E-4</v>
      </c>
      <c r="AE1430">
        <f>W1430-mu-theta*AE1429</f>
        <v>-1.2586677010696045E-3</v>
      </c>
      <c r="AF1430">
        <f t="shared" si="137"/>
        <v>8.0057395662687693E-3</v>
      </c>
      <c r="AG1430">
        <f t="shared" si="137"/>
        <v>8.0652182987988735E-3</v>
      </c>
      <c r="AK1430">
        <f t="shared" si="136"/>
        <v>1.5842443817158432E-6</v>
      </c>
    </row>
    <row r="1431" spans="1:37" x14ac:dyDescent="0.3">
      <c r="A1431" s="1">
        <v>45929</v>
      </c>
      <c r="B1431">
        <v>1.1726000000000001</v>
      </c>
      <c r="C1431">
        <v>1.3425</v>
      </c>
      <c r="D1431">
        <v>148.58000000000001</v>
      </c>
      <c r="G1431">
        <v>1.1726000000000001</v>
      </c>
      <c r="H1431">
        <f t="shared" si="133"/>
        <v>1.1697</v>
      </c>
      <c r="I1431">
        <f t="shared" si="133"/>
        <v>1.1665000000000001</v>
      </c>
      <c r="J1431">
        <f t="shared" si="133"/>
        <v>1.1738</v>
      </c>
      <c r="L1431">
        <f t="shared" si="132"/>
        <v>2.9000000000001247E-3</v>
      </c>
      <c r="W1431">
        <f t="shared" si="134"/>
        <v>-5.4220496686523461E-3</v>
      </c>
      <c r="X1431">
        <f t="shared" si="135"/>
        <v>-2.9366615497565651E-3</v>
      </c>
      <c r="Y1431">
        <f t="shared" si="135"/>
        <v>6.3133857210022582E-3</v>
      </c>
      <c r="Z1431">
        <f t="shared" si="135"/>
        <v>8.6031703021269591E-3</v>
      </c>
      <c r="AE1431">
        <f>W1431-mu-theta*AE1430</f>
        <v>-5.9807688602643043E-3</v>
      </c>
      <c r="AF1431">
        <f t="shared" si="137"/>
        <v>-1.2586677010696045E-3</v>
      </c>
      <c r="AG1431">
        <f t="shared" si="137"/>
        <v>8.0057395662687693E-3</v>
      </c>
      <c r="AK1431">
        <f t="shared" si="136"/>
        <v>3.5769596159907182E-5</v>
      </c>
    </row>
    <row r="1432" spans="1:37" x14ac:dyDescent="0.3">
      <c r="A1432" s="1">
        <v>45930</v>
      </c>
      <c r="B1432">
        <v>1.1733</v>
      </c>
      <c r="C1432">
        <v>1.345</v>
      </c>
      <c r="D1432">
        <v>147.9</v>
      </c>
      <c r="G1432">
        <v>1.1733</v>
      </c>
      <c r="H1432">
        <f t="shared" si="133"/>
        <v>1.1726000000000001</v>
      </c>
      <c r="I1432">
        <f t="shared" si="133"/>
        <v>1.1697</v>
      </c>
      <c r="J1432">
        <f t="shared" si="133"/>
        <v>1.1665000000000001</v>
      </c>
      <c r="L1432">
        <f t="shared" si="132"/>
        <v>6.9999999999992291E-4</v>
      </c>
      <c r="W1432">
        <f t="shared" si="134"/>
        <v>-4.5766590389016469E-3</v>
      </c>
      <c r="X1432">
        <f t="shared" si="135"/>
        <v>-5.4220496686523461E-3</v>
      </c>
      <c r="Y1432">
        <f t="shared" si="135"/>
        <v>-2.9366615497565651E-3</v>
      </c>
      <c r="Z1432">
        <f t="shared" si="135"/>
        <v>6.3133857210022582E-3</v>
      </c>
      <c r="AE1432">
        <f>W1432-mu-theta*AE1431</f>
        <v>-6.2754387800554694E-3</v>
      </c>
      <c r="AF1432">
        <f t="shared" si="137"/>
        <v>-5.9807688602643043E-3</v>
      </c>
      <c r="AG1432">
        <f t="shared" si="137"/>
        <v>-1.2586677010696045E-3</v>
      </c>
      <c r="AK1432">
        <f t="shared" si="136"/>
        <v>3.9381131882224076E-5</v>
      </c>
    </row>
    <row r="1433" spans="1:37" x14ac:dyDescent="0.3">
      <c r="A1433" s="1">
        <v>45931</v>
      </c>
      <c r="B1433">
        <v>1.1728000000000001</v>
      </c>
      <c r="C1433">
        <v>1.3476999999999999</v>
      </c>
      <c r="D1433">
        <v>147.05000000000001</v>
      </c>
      <c r="G1433">
        <v>1.1728000000000001</v>
      </c>
      <c r="H1433">
        <f t="shared" si="133"/>
        <v>1.1733</v>
      </c>
      <c r="I1433">
        <f t="shared" si="133"/>
        <v>1.1726000000000001</v>
      </c>
      <c r="J1433">
        <f t="shared" si="133"/>
        <v>1.1697</v>
      </c>
      <c r="L1433">
        <f t="shared" si="132"/>
        <v>-4.9999999999994493E-4</v>
      </c>
      <c r="W1433">
        <f t="shared" si="134"/>
        <v>-5.747126436781571E-3</v>
      </c>
      <c r="X1433">
        <f t="shared" si="135"/>
        <v>-4.5766590389016469E-3</v>
      </c>
      <c r="Y1433">
        <f t="shared" si="135"/>
        <v>-5.4220496686523461E-3</v>
      </c>
      <c r="Z1433">
        <f t="shared" si="135"/>
        <v>-2.9366615497565651E-3</v>
      </c>
      <c r="AE1433">
        <f>W1433-mu-theta*AE1432</f>
        <v>-7.5170485654796415E-3</v>
      </c>
      <c r="AF1433">
        <f t="shared" si="137"/>
        <v>-6.2754387800554694E-3</v>
      </c>
      <c r="AG1433">
        <f t="shared" si="137"/>
        <v>-5.9807688602643043E-3</v>
      </c>
      <c r="AK1433">
        <f t="shared" si="136"/>
        <v>5.650601913577954E-5</v>
      </c>
    </row>
    <row r="1434" spans="1:37" x14ac:dyDescent="0.3">
      <c r="A1434" s="1">
        <v>45932</v>
      </c>
      <c r="B1434">
        <v>1.1714</v>
      </c>
      <c r="C1434">
        <v>1.343</v>
      </c>
      <c r="D1434">
        <v>147.25</v>
      </c>
      <c r="G1434">
        <v>1.1714</v>
      </c>
      <c r="H1434">
        <f t="shared" si="133"/>
        <v>1.1728000000000001</v>
      </c>
      <c r="I1434">
        <f t="shared" si="133"/>
        <v>1.1733</v>
      </c>
      <c r="J1434">
        <f t="shared" si="133"/>
        <v>1.1726000000000001</v>
      </c>
      <c r="L1434">
        <f t="shared" si="132"/>
        <v>-1.4000000000000679E-3</v>
      </c>
      <c r="W1434">
        <f t="shared" si="134"/>
        <v>1.3600816048962164E-3</v>
      </c>
      <c r="X1434">
        <f t="shared" si="135"/>
        <v>-5.747126436781571E-3</v>
      </c>
      <c r="Y1434">
        <f t="shared" si="135"/>
        <v>-4.5766590389016469E-3</v>
      </c>
      <c r="Z1434">
        <f t="shared" si="135"/>
        <v>-5.4220496686523461E-3</v>
      </c>
      <c r="AE1434">
        <f>W1434-mu-theta*AE1433</f>
        <v>-7.0960333839785407E-4</v>
      </c>
      <c r="AF1434">
        <f t="shared" si="137"/>
        <v>-7.5170485654796415E-3</v>
      </c>
      <c r="AG1434">
        <f t="shared" si="137"/>
        <v>-6.2754387800554694E-3</v>
      </c>
      <c r="AK1434">
        <f t="shared" si="136"/>
        <v>5.035368978653794E-7</v>
      </c>
    </row>
    <row r="1435" spans="1:37" x14ac:dyDescent="0.3">
      <c r="A1435" s="1">
        <v>45935</v>
      </c>
      <c r="B1435">
        <v>1.1740999999999999</v>
      </c>
      <c r="C1435">
        <v>1.3427</v>
      </c>
      <c r="D1435">
        <v>149.19</v>
      </c>
      <c r="G1435">
        <v>1.1740999999999999</v>
      </c>
      <c r="H1435">
        <f t="shared" si="133"/>
        <v>1.1714</v>
      </c>
      <c r="I1435">
        <f t="shared" si="133"/>
        <v>1.1728000000000001</v>
      </c>
      <c r="J1435">
        <f t="shared" si="133"/>
        <v>1.1733</v>
      </c>
      <c r="L1435">
        <f t="shared" si="132"/>
        <v>2.6999999999999247E-3</v>
      </c>
      <c r="W1435">
        <f t="shared" si="134"/>
        <v>1.3174872665534789E-2</v>
      </c>
      <c r="X1435">
        <f t="shared" si="135"/>
        <v>1.3600816048962164E-3</v>
      </c>
      <c r="Y1435">
        <f t="shared" si="135"/>
        <v>-5.747126436781571E-3</v>
      </c>
      <c r="Z1435">
        <f t="shared" si="135"/>
        <v>-4.5766590389016469E-3</v>
      </c>
      <c r="AE1435">
        <f>W1435-mu-theta*AE1434</f>
        <v>1.2748714509347189E-2</v>
      </c>
      <c r="AF1435">
        <f t="shared" si="137"/>
        <v>-7.0960333839785407E-4</v>
      </c>
      <c r="AG1435">
        <f t="shared" si="137"/>
        <v>-7.5170485654796415E-3</v>
      </c>
      <c r="AK1435">
        <f t="shared" si="136"/>
        <v>1.6252972164083955E-4</v>
      </c>
    </row>
    <row r="1436" spans="1:37" x14ac:dyDescent="0.3">
      <c r="A1436" s="1">
        <v>45936</v>
      </c>
      <c r="B1436">
        <v>1.1712</v>
      </c>
      <c r="C1436">
        <v>1.3484</v>
      </c>
      <c r="D1436">
        <v>150.33000000000001</v>
      </c>
      <c r="G1436">
        <v>1.1712</v>
      </c>
      <c r="H1436">
        <f t="shared" si="133"/>
        <v>1.1740999999999999</v>
      </c>
      <c r="I1436">
        <f t="shared" si="133"/>
        <v>1.1714</v>
      </c>
      <c r="J1436">
        <f t="shared" si="133"/>
        <v>1.1728000000000001</v>
      </c>
      <c r="L1436">
        <f t="shared" si="132"/>
        <v>-2.8999999999999027E-3</v>
      </c>
      <c r="W1436">
        <f t="shared" si="134"/>
        <v>7.6412628192239077E-3</v>
      </c>
      <c r="X1436">
        <f t="shared" si="135"/>
        <v>1.3174872665534789E-2</v>
      </c>
      <c r="Y1436">
        <f t="shared" si="135"/>
        <v>1.3600816048962164E-3</v>
      </c>
      <c r="Z1436">
        <f t="shared" si="135"/>
        <v>-5.747126436781571E-3</v>
      </c>
      <c r="AE1436">
        <f>W1436-mu-theta*AE1435</f>
        <v>1.046435679130412E-2</v>
      </c>
      <c r="AF1436">
        <f t="shared" si="137"/>
        <v>1.2748714509347189E-2</v>
      </c>
      <c r="AG1436">
        <f t="shared" si="137"/>
        <v>-7.0960333839785407E-4</v>
      </c>
      <c r="AK1436">
        <f t="shared" si="136"/>
        <v>1.0950276305571267E-4</v>
      </c>
    </row>
    <row r="1437" spans="1:37" x14ac:dyDescent="0.3">
      <c r="A1437" s="1">
        <v>45937</v>
      </c>
      <c r="B1437">
        <v>1.1653</v>
      </c>
      <c r="C1437">
        <v>1.3422000000000001</v>
      </c>
      <c r="D1437">
        <v>151.9</v>
      </c>
      <c r="G1437">
        <v>1.1653</v>
      </c>
      <c r="H1437">
        <f t="shared" si="133"/>
        <v>1.1712</v>
      </c>
      <c r="I1437">
        <f t="shared" si="133"/>
        <v>1.1740999999999999</v>
      </c>
      <c r="J1437">
        <f t="shared" si="133"/>
        <v>1.1714</v>
      </c>
      <c r="L1437">
        <f t="shared" si="132"/>
        <v>-5.9000000000000163E-3</v>
      </c>
      <c r="W1437">
        <f t="shared" si="134"/>
        <v>1.0443690547462204E-2</v>
      </c>
      <c r="X1437">
        <f t="shared" si="135"/>
        <v>7.6412628192239077E-3</v>
      </c>
      <c r="Y1437">
        <f t="shared" si="135"/>
        <v>1.3174872665534789E-2</v>
      </c>
      <c r="Z1437">
        <f t="shared" si="135"/>
        <v>1.3600816048962164E-3</v>
      </c>
      <c r="AE1437">
        <f>W1437-mu-theta*AE1436</f>
        <v>1.2715270261887991E-2</v>
      </c>
      <c r="AF1437">
        <f t="shared" si="137"/>
        <v>1.046435679130412E-2</v>
      </c>
      <c r="AG1437">
        <f t="shared" si="137"/>
        <v>1.2748714509347189E-2</v>
      </c>
      <c r="AK1437">
        <f t="shared" si="136"/>
        <v>1.616780978328531E-4</v>
      </c>
    </row>
    <row r="1438" spans="1:37" x14ac:dyDescent="0.3">
      <c r="A1438" s="1">
        <v>45938</v>
      </c>
      <c r="B1438">
        <v>1.1623000000000001</v>
      </c>
      <c r="C1438">
        <v>1.3403</v>
      </c>
      <c r="D1438">
        <v>152.72</v>
      </c>
      <c r="G1438">
        <v>1.1623000000000001</v>
      </c>
      <c r="H1438">
        <f t="shared" si="133"/>
        <v>1.1653</v>
      </c>
      <c r="I1438">
        <f t="shared" si="133"/>
        <v>1.1712</v>
      </c>
      <c r="J1438">
        <f t="shared" si="133"/>
        <v>1.1740999999999999</v>
      </c>
      <c r="L1438">
        <f t="shared" si="132"/>
        <v>-2.9999999999998916E-3</v>
      </c>
      <c r="W1438">
        <f t="shared" si="134"/>
        <v>5.3982883475970581E-3</v>
      </c>
      <c r="X1438">
        <f t="shared" si="135"/>
        <v>1.0443690547462204E-2</v>
      </c>
      <c r="Y1438">
        <f t="shared" si="135"/>
        <v>7.6412628192239077E-3</v>
      </c>
      <c r="Z1438">
        <f t="shared" si="135"/>
        <v>1.3174872665534789E-2</v>
      </c>
      <c r="AE1438">
        <f>W1438-mu-theta*AE1437</f>
        <v>8.2133078490439805E-3</v>
      </c>
      <c r="AF1438">
        <f t="shared" si="137"/>
        <v>1.2715270261887991E-2</v>
      </c>
      <c r="AG1438">
        <f t="shared" si="137"/>
        <v>1.046435679130412E-2</v>
      </c>
      <c r="AK1438">
        <f t="shared" si="136"/>
        <v>6.7458425823167461E-5</v>
      </c>
    </row>
    <row r="1439" spans="1:37" x14ac:dyDescent="0.3">
      <c r="A1439" s="1">
        <v>45939</v>
      </c>
      <c r="B1439">
        <v>1.1563000000000001</v>
      </c>
      <c r="C1439">
        <v>1.3301000000000001</v>
      </c>
      <c r="D1439">
        <v>153.06</v>
      </c>
      <c r="G1439">
        <v>1.1563000000000001</v>
      </c>
      <c r="H1439">
        <f t="shared" si="133"/>
        <v>1.1623000000000001</v>
      </c>
      <c r="I1439">
        <f t="shared" si="133"/>
        <v>1.1653</v>
      </c>
      <c r="J1439">
        <f t="shared" si="133"/>
        <v>1.1712</v>
      </c>
      <c r="L1439">
        <f t="shared" si="132"/>
        <v>-6.0000000000000053E-3</v>
      </c>
      <c r="W1439">
        <f t="shared" si="134"/>
        <v>2.2262964903090846E-3</v>
      </c>
      <c r="X1439">
        <f t="shared" si="135"/>
        <v>5.3982883475970581E-3</v>
      </c>
      <c r="Y1439">
        <f t="shared" si="135"/>
        <v>1.0443690547462204E-2</v>
      </c>
      <c r="Z1439">
        <f t="shared" si="135"/>
        <v>7.6412628192239077E-3</v>
      </c>
      <c r="AE1439">
        <f>W1439-mu-theta*AE1438</f>
        <v>3.9544037106817387E-3</v>
      </c>
      <c r="AF1439">
        <f t="shared" si="137"/>
        <v>8.2133078490439805E-3</v>
      </c>
      <c r="AG1439">
        <f t="shared" si="137"/>
        <v>1.2715270261887991E-2</v>
      </c>
      <c r="AK1439">
        <f t="shared" si="136"/>
        <v>1.5637308707053504E-5</v>
      </c>
    </row>
    <row r="1440" spans="1:37" x14ac:dyDescent="0.3">
      <c r="A1440" s="1">
        <v>45942</v>
      </c>
      <c r="B1440">
        <v>1.1617999999999999</v>
      </c>
      <c r="C1440">
        <v>1.3358000000000001</v>
      </c>
      <c r="D1440">
        <v>151.77000000000001</v>
      </c>
      <c r="G1440">
        <v>1.1617999999999999</v>
      </c>
      <c r="H1440">
        <f t="shared" si="133"/>
        <v>1.1563000000000001</v>
      </c>
      <c r="I1440">
        <f t="shared" si="133"/>
        <v>1.1623000000000001</v>
      </c>
      <c r="J1440">
        <f t="shared" si="133"/>
        <v>1.1653</v>
      </c>
      <c r="L1440">
        <f t="shared" si="132"/>
        <v>5.4999999999998384E-3</v>
      </c>
      <c r="W1440">
        <f t="shared" si="134"/>
        <v>-8.4280674245393438E-3</v>
      </c>
      <c r="X1440">
        <f t="shared" si="135"/>
        <v>2.2262964903090846E-3</v>
      </c>
      <c r="Y1440">
        <f t="shared" si="135"/>
        <v>5.3982883475970581E-3</v>
      </c>
      <c r="Z1440">
        <f t="shared" si="135"/>
        <v>1.0443690547462204E-2</v>
      </c>
      <c r="AE1440">
        <f>W1440-mu-theta*AE1439</f>
        <v>-7.7281907372998273E-3</v>
      </c>
      <c r="AF1440">
        <f t="shared" si="137"/>
        <v>3.9544037106817387E-3</v>
      </c>
      <c r="AG1440">
        <f t="shared" si="137"/>
        <v>8.2133078490439805E-3</v>
      </c>
      <c r="AK1440">
        <f t="shared" si="136"/>
        <v>5.972493207208685E-5</v>
      </c>
    </row>
    <row r="1441" spans="1:37" x14ac:dyDescent="0.3">
      <c r="A1441" s="1">
        <v>45943</v>
      </c>
      <c r="B1441">
        <v>1.157</v>
      </c>
      <c r="C1441">
        <v>1.3331999999999999</v>
      </c>
      <c r="D1441">
        <v>152.27000000000001</v>
      </c>
      <c r="G1441">
        <v>1.157</v>
      </c>
      <c r="H1441">
        <f t="shared" si="133"/>
        <v>1.1617999999999999</v>
      </c>
      <c r="I1441">
        <f t="shared" si="133"/>
        <v>1.1563000000000001</v>
      </c>
      <c r="J1441">
        <f t="shared" si="133"/>
        <v>1.1623000000000001</v>
      </c>
      <c r="L1441">
        <f t="shared" si="132"/>
        <v>-4.7999999999999154E-3</v>
      </c>
      <c r="W1441">
        <f t="shared" si="134"/>
        <v>3.2944587204322326E-3</v>
      </c>
      <c r="X1441">
        <f t="shared" si="135"/>
        <v>-8.4280674245393438E-3</v>
      </c>
      <c r="Y1441">
        <f t="shared" si="135"/>
        <v>2.2262964903090846E-3</v>
      </c>
      <c r="Z1441">
        <f t="shared" si="135"/>
        <v>5.3982883475970581E-3</v>
      </c>
      <c r="AE1441">
        <f>W1441-mu-theta*AE1440</f>
        <v>1.1737975586452413E-3</v>
      </c>
      <c r="AF1441">
        <f t="shared" si="137"/>
        <v>-7.7281907372998273E-3</v>
      </c>
      <c r="AG1441">
        <f t="shared" si="137"/>
        <v>3.9544037106817387E-3</v>
      </c>
      <c r="AK1441">
        <f t="shared" si="136"/>
        <v>1.3778007086815286E-6</v>
      </c>
    </row>
    <row r="1442" spans="1:37" x14ac:dyDescent="0.3">
      <c r="A1442" s="1">
        <v>45944</v>
      </c>
      <c r="B1442">
        <v>1.1605000000000001</v>
      </c>
      <c r="C1442">
        <v>1.3323</v>
      </c>
      <c r="D1442">
        <v>151.82</v>
      </c>
      <c r="G1442">
        <v>1.1605000000000001</v>
      </c>
      <c r="H1442">
        <f t="shared" si="133"/>
        <v>1.157</v>
      </c>
      <c r="I1442">
        <f t="shared" si="133"/>
        <v>1.1617999999999999</v>
      </c>
      <c r="J1442">
        <f t="shared" si="133"/>
        <v>1.1563000000000001</v>
      </c>
      <c r="L1442">
        <f t="shared" si="132"/>
        <v>3.5000000000000586E-3</v>
      </c>
      <c r="W1442">
        <f t="shared" si="134"/>
        <v>-2.9552768109280688E-3</v>
      </c>
      <c r="X1442">
        <f t="shared" si="135"/>
        <v>3.2944587204322326E-3</v>
      </c>
      <c r="Y1442">
        <f t="shared" si="135"/>
        <v>-8.4280674245393438E-3</v>
      </c>
      <c r="Z1442">
        <f t="shared" si="135"/>
        <v>2.2262964903090846E-3</v>
      </c>
      <c r="AE1442">
        <f>W1442-mu-theta*AE1441</f>
        <v>-2.9267240260953441E-3</v>
      </c>
      <c r="AF1442">
        <f t="shared" si="137"/>
        <v>1.1737975586452413E-3</v>
      </c>
      <c r="AG1442">
        <f t="shared" si="137"/>
        <v>-7.7281907372998273E-3</v>
      </c>
      <c r="AK1442">
        <f t="shared" si="136"/>
        <v>8.5657135249237398E-6</v>
      </c>
    </row>
    <row r="1443" spans="1:37" x14ac:dyDescent="0.3">
      <c r="A1443" s="1">
        <v>45945</v>
      </c>
      <c r="B1443">
        <v>1.1647000000000001</v>
      </c>
      <c r="C1443">
        <v>1.3399000000000001</v>
      </c>
      <c r="D1443">
        <v>151.02000000000001</v>
      </c>
      <c r="G1443">
        <v>1.1647000000000001</v>
      </c>
      <c r="H1443">
        <f t="shared" si="133"/>
        <v>1.1605000000000001</v>
      </c>
      <c r="I1443">
        <f t="shared" si="133"/>
        <v>1.157</v>
      </c>
      <c r="J1443">
        <f t="shared" si="133"/>
        <v>1.1617999999999999</v>
      </c>
      <c r="L1443">
        <f t="shared" si="132"/>
        <v>4.1999999999999815E-3</v>
      </c>
      <c r="W1443">
        <f t="shared" si="134"/>
        <v>-5.2693979712816691E-3</v>
      </c>
      <c r="X1443">
        <f t="shared" si="135"/>
        <v>-2.9552768109280688E-3</v>
      </c>
      <c r="Y1443">
        <f t="shared" si="135"/>
        <v>3.2944587204322326E-3</v>
      </c>
      <c r="Z1443">
        <f t="shared" si="135"/>
        <v>-8.4280674245393438E-3</v>
      </c>
      <c r="AE1443">
        <f>W1443-mu-theta*AE1442</f>
        <v>-6.230837296678296E-3</v>
      </c>
      <c r="AF1443">
        <f t="shared" si="137"/>
        <v>-2.9267240260953441E-3</v>
      </c>
      <c r="AG1443">
        <f t="shared" si="137"/>
        <v>1.1737975586452413E-3</v>
      </c>
      <c r="AK1443">
        <f t="shared" si="136"/>
        <v>3.8823333417677295E-5</v>
      </c>
    </row>
    <row r="1444" spans="1:37" x14ac:dyDescent="0.3">
      <c r="A1444" s="1">
        <v>45946</v>
      </c>
      <c r="B1444">
        <v>1.1686000000000001</v>
      </c>
      <c r="C1444">
        <v>1.3435999999999999</v>
      </c>
      <c r="D1444">
        <v>150.38999999999999</v>
      </c>
      <c r="G1444">
        <v>1.1686000000000001</v>
      </c>
      <c r="H1444">
        <f t="shared" si="133"/>
        <v>1.1647000000000001</v>
      </c>
      <c r="I1444">
        <f t="shared" si="133"/>
        <v>1.1605000000000001</v>
      </c>
      <c r="J1444">
        <f t="shared" si="133"/>
        <v>1.157</v>
      </c>
      <c r="L1444">
        <f t="shared" si="132"/>
        <v>3.9000000000000146E-3</v>
      </c>
      <c r="W1444">
        <f t="shared" si="134"/>
        <v>-4.1716328963052832E-3</v>
      </c>
      <c r="X1444">
        <f t="shared" si="135"/>
        <v>-5.2693979712816691E-3</v>
      </c>
      <c r="Y1444">
        <f t="shared" si="135"/>
        <v>-2.9552768109280688E-3</v>
      </c>
      <c r="Z1444">
        <f t="shared" si="135"/>
        <v>3.2944587204322326E-3</v>
      </c>
      <c r="AE1444">
        <f>W1444-mu-theta*AE1443</f>
        <v>-5.9307868542388727E-3</v>
      </c>
      <c r="AF1444">
        <f t="shared" si="137"/>
        <v>-6.230837296678296E-3</v>
      </c>
      <c r="AG1444">
        <f t="shared" si="137"/>
        <v>-2.9267240260953441E-3</v>
      </c>
      <c r="AK1444">
        <f t="shared" si="136"/>
        <v>3.5174232710412625E-5</v>
      </c>
    </row>
    <row r="1445" spans="1:37" x14ac:dyDescent="0.3">
      <c r="A1445" s="1">
        <v>45949</v>
      </c>
      <c r="B1445">
        <v>1.1657</v>
      </c>
      <c r="C1445">
        <v>1.3422000000000001</v>
      </c>
      <c r="D1445">
        <v>150.36000000000001</v>
      </c>
      <c r="G1445">
        <v>1.1657</v>
      </c>
      <c r="H1445">
        <f t="shared" si="133"/>
        <v>1.1686000000000001</v>
      </c>
      <c r="I1445">
        <f t="shared" si="133"/>
        <v>1.1647000000000001</v>
      </c>
      <c r="J1445">
        <f t="shared" si="133"/>
        <v>1.1605000000000001</v>
      </c>
      <c r="L1445">
        <f t="shared" si="132"/>
        <v>-2.9000000000001247E-3</v>
      </c>
      <c r="W1445">
        <f t="shared" si="134"/>
        <v>-1.9948134849373441E-4</v>
      </c>
      <c r="X1445">
        <f t="shared" si="135"/>
        <v>-4.1716328963052832E-3</v>
      </c>
      <c r="Y1445">
        <f t="shared" si="135"/>
        <v>-5.2693979712816691E-3</v>
      </c>
      <c r="Z1445">
        <f t="shared" si="135"/>
        <v>-2.9552768109280688E-3</v>
      </c>
      <c r="AE1445">
        <f>W1445-mu-theta*AE1444</f>
        <v>-1.8861938951221695E-3</v>
      </c>
      <c r="AF1445">
        <f t="shared" si="137"/>
        <v>-5.9307868542388727E-3</v>
      </c>
      <c r="AG1445">
        <f t="shared" si="137"/>
        <v>-6.230837296678296E-3</v>
      </c>
      <c r="AK1445">
        <f t="shared" si="136"/>
        <v>3.5577274099961417E-6</v>
      </c>
    </row>
    <row r="1446" spans="1:37" x14ac:dyDescent="0.3">
      <c r="A1446" s="1">
        <v>45950</v>
      </c>
      <c r="B1446">
        <v>1.1640999999999999</v>
      </c>
      <c r="C1446">
        <v>1.3404</v>
      </c>
      <c r="D1446">
        <v>150.74</v>
      </c>
      <c r="G1446">
        <v>1.1640999999999999</v>
      </c>
      <c r="H1446">
        <f t="shared" si="133"/>
        <v>1.1657</v>
      </c>
      <c r="I1446">
        <f t="shared" si="133"/>
        <v>1.1686000000000001</v>
      </c>
      <c r="J1446">
        <f t="shared" si="133"/>
        <v>1.1647000000000001</v>
      </c>
      <c r="L1446">
        <f t="shared" si="132"/>
        <v>-1.6000000000000458E-3</v>
      </c>
      <c r="W1446">
        <f t="shared" si="134"/>
        <v>2.5272678903963514E-3</v>
      </c>
      <c r="X1446">
        <f t="shared" si="135"/>
        <v>-1.9948134849373441E-4</v>
      </c>
      <c r="Y1446">
        <f t="shared" si="135"/>
        <v>-4.1716328963052832E-3</v>
      </c>
      <c r="Z1446">
        <f t="shared" si="135"/>
        <v>-5.2693979712816691E-3</v>
      </c>
      <c r="AE1446">
        <f>W1446-mu-theta*AE1445</f>
        <v>1.8170445624847193E-3</v>
      </c>
      <c r="AF1446">
        <f t="shared" si="137"/>
        <v>-1.8861938951221695E-3</v>
      </c>
      <c r="AG1446">
        <f t="shared" si="137"/>
        <v>-5.9307868542388727E-3</v>
      </c>
      <c r="AK1446">
        <f t="shared" si="136"/>
        <v>3.3016509420552848E-6</v>
      </c>
    </row>
    <row r="1447" spans="1:37" x14ac:dyDescent="0.3">
      <c r="A1447" s="1">
        <v>45951</v>
      </c>
      <c r="B1447">
        <v>1.1597999999999999</v>
      </c>
      <c r="C1447">
        <v>1.337</v>
      </c>
      <c r="D1447">
        <v>151.91999999999999</v>
      </c>
      <c r="G1447">
        <v>1.1597999999999999</v>
      </c>
      <c r="H1447">
        <f t="shared" si="133"/>
        <v>1.1640999999999999</v>
      </c>
      <c r="I1447">
        <f t="shared" si="133"/>
        <v>1.1657</v>
      </c>
      <c r="J1447">
        <f t="shared" si="133"/>
        <v>1.1686000000000001</v>
      </c>
      <c r="L1447">
        <f t="shared" si="132"/>
        <v>-4.2999999999999705E-3</v>
      </c>
      <c r="W1447">
        <f t="shared" si="134"/>
        <v>7.8280482950774735E-3</v>
      </c>
      <c r="X1447">
        <f t="shared" si="135"/>
        <v>2.5272678903963514E-3</v>
      </c>
      <c r="Y1447">
        <f t="shared" si="135"/>
        <v>-1.9948134849373441E-4</v>
      </c>
      <c r="Z1447">
        <f t="shared" si="135"/>
        <v>-4.1716328963052832E-3</v>
      </c>
      <c r="AE1447">
        <f>W1447-mu-theta*AE1446</f>
        <v>8.0119007035238214E-3</v>
      </c>
      <c r="AF1447">
        <f t="shared" si="137"/>
        <v>1.8170445624847193E-3</v>
      </c>
      <c r="AG1447">
        <f t="shared" si="137"/>
        <v>-1.8861938951221695E-3</v>
      </c>
      <c r="AK1447">
        <f t="shared" si="136"/>
        <v>6.4190552883125506E-5</v>
      </c>
    </row>
    <row r="1448" spans="1:37" x14ac:dyDescent="0.3">
      <c r="A1448" s="1">
        <v>45952</v>
      </c>
      <c r="B1448">
        <v>1.1609</v>
      </c>
      <c r="C1448">
        <v>1.3352999999999999</v>
      </c>
      <c r="D1448">
        <v>151.96</v>
      </c>
      <c r="G1448">
        <v>1.1609</v>
      </c>
      <c r="H1448">
        <f t="shared" si="133"/>
        <v>1.1597999999999999</v>
      </c>
      <c r="I1448">
        <f t="shared" si="133"/>
        <v>1.1640999999999999</v>
      </c>
      <c r="J1448">
        <f t="shared" si="133"/>
        <v>1.1657</v>
      </c>
      <c r="L1448">
        <f t="shared" si="132"/>
        <v>1.1000000000001009E-3</v>
      </c>
      <c r="W1448">
        <f t="shared" si="134"/>
        <v>2.6329647182741226E-4</v>
      </c>
      <c r="X1448">
        <f t="shared" si="135"/>
        <v>7.8280482950774735E-3</v>
      </c>
      <c r="Y1448">
        <f t="shared" si="135"/>
        <v>2.5272678903963514E-3</v>
      </c>
      <c r="Z1448">
        <f t="shared" si="135"/>
        <v>-1.9948134849373441E-4</v>
      </c>
      <c r="AE1448">
        <f>W1448-mu-theta*AE1447</f>
        <v>1.9427778086659388E-3</v>
      </c>
      <c r="AF1448">
        <f t="shared" si="137"/>
        <v>8.0119007035238214E-3</v>
      </c>
      <c r="AG1448">
        <f t="shared" si="137"/>
        <v>1.8170445624847193E-3</v>
      </c>
      <c r="AK1448">
        <f t="shared" si="136"/>
        <v>3.7743856138448273E-6</v>
      </c>
    </row>
    <row r="1449" spans="1:37" x14ac:dyDescent="0.3">
      <c r="A1449" s="1">
        <v>45953</v>
      </c>
      <c r="B1449">
        <v>1.1617999999999999</v>
      </c>
      <c r="C1449">
        <v>1.3324</v>
      </c>
      <c r="D1449">
        <v>152.55000000000001</v>
      </c>
      <c r="G1449">
        <v>1.1617999999999999</v>
      </c>
      <c r="H1449">
        <f t="shared" si="133"/>
        <v>1.1609</v>
      </c>
      <c r="I1449">
        <f t="shared" si="133"/>
        <v>1.1597999999999999</v>
      </c>
      <c r="J1449">
        <f t="shared" si="133"/>
        <v>1.1640999999999999</v>
      </c>
      <c r="L1449">
        <f t="shared" si="132"/>
        <v>8.9999999999990088E-4</v>
      </c>
      <c r="W1449">
        <f t="shared" si="134"/>
        <v>3.8826006843906513E-3</v>
      </c>
      <c r="X1449">
        <f t="shared" si="135"/>
        <v>2.6329647182741226E-4</v>
      </c>
      <c r="Y1449">
        <f t="shared" si="135"/>
        <v>7.8280482950774735E-3</v>
      </c>
      <c r="Z1449">
        <f t="shared" si="135"/>
        <v>2.5272678903963514E-3</v>
      </c>
      <c r="AE1449">
        <f>W1449-mu-theta*AE1448</f>
        <v>4.0968089680934903E-3</v>
      </c>
      <c r="AF1449">
        <f t="shared" si="137"/>
        <v>1.9427778086659388E-3</v>
      </c>
      <c r="AG1449">
        <f t="shared" si="137"/>
        <v>8.0119007035238214E-3</v>
      </c>
      <c r="AK1449">
        <f t="shared" si="136"/>
        <v>1.6783843721051248E-5</v>
      </c>
    </row>
    <row r="1450" spans="1:37" x14ac:dyDescent="0.3">
      <c r="A1450" s="1">
        <v>45956</v>
      </c>
      <c r="B1450">
        <v>1.1625000000000001</v>
      </c>
      <c r="C1450">
        <v>1.3295999999999999</v>
      </c>
      <c r="D1450">
        <v>153.02000000000001</v>
      </c>
      <c r="G1450">
        <v>1.1625000000000001</v>
      </c>
      <c r="H1450">
        <f t="shared" si="133"/>
        <v>1.1617999999999999</v>
      </c>
      <c r="I1450">
        <f t="shared" si="133"/>
        <v>1.1609</v>
      </c>
      <c r="J1450">
        <f t="shared" si="133"/>
        <v>1.1597999999999999</v>
      </c>
      <c r="L1450">
        <f t="shared" si="132"/>
        <v>7.0000000000014495E-4</v>
      </c>
      <c r="W1450">
        <f t="shared" si="134"/>
        <v>3.0809570632579406E-3</v>
      </c>
      <c r="X1450">
        <f t="shared" si="135"/>
        <v>3.8826006843906513E-3</v>
      </c>
      <c r="Y1450">
        <f t="shared" si="135"/>
        <v>2.6329647182741226E-4</v>
      </c>
      <c r="Z1450">
        <f t="shared" si="135"/>
        <v>7.8280482950774735E-3</v>
      </c>
      <c r="AE1450">
        <f>W1450-mu-theta*AE1449</f>
        <v>3.8152147623710308E-3</v>
      </c>
      <c r="AF1450">
        <f t="shared" si="137"/>
        <v>4.0968089680934903E-3</v>
      </c>
      <c r="AG1450">
        <f t="shared" si="137"/>
        <v>1.9427778086659388E-3</v>
      </c>
      <c r="AK1450">
        <f t="shared" si="136"/>
        <v>1.4555863683013841E-5</v>
      </c>
    </row>
    <row r="1451" spans="1:37" x14ac:dyDescent="0.3">
      <c r="A1451" s="1">
        <v>45957</v>
      </c>
      <c r="B1451">
        <v>1.1644000000000001</v>
      </c>
      <c r="C1451">
        <v>1.3334999999999999</v>
      </c>
      <c r="D1451">
        <v>152.85</v>
      </c>
      <c r="G1451">
        <v>1.1644000000000001</v>
      </c>
      <c r="H1451">
        <f t="shared" si="133"/>
        <v>1.1625000000000001</v>
      </c>
      <c r="I1451">
        <f t="shared" si="133"/>
        <v>1.1617999999999999</v>
      </c>
      <c r="J1451">
        <f t="shared" si="133"/>
        <v>1.1609</v>
      </c>
      <c r="L1451">
        <f t="shared" si="132"/>
        <v>1.9000000000000128E-3</v>
      </c>
      <c r="W1451">
        <f t="shared" si="134"/>
        <v>-1.1109658868122853E-3</v>
      </c>
      <c r="X1451">
        <f t="shared" si="135"/>
        <v>3.0809570632579406E-3</v>
      </c>
      <c r="Y1451">
        <f t="shared" si="135"/>
        <v>3.8826006843906513E-3</v>
      </c>
      <c r="Z1451">
        <f t="shared" si="135"/>
        <v>2.6329647182741226E-4</v>
      </c>
      <c r="AE1451">
        <f>W1451-mu-theta*AE1450</f>
        <v>-4.4469369544263796E-4</v>
      </c>
      <c r="AF1451">
        <f t="shared" si="137"/>
        <v>3.8152147623710308E-3</v>
      </c>
      <c r="AG1451">
        <f t="shared" si="137"/>
        <v>4.0968089680934903E-3</v>
      </c>
      <c r="AK1451">
        <f t="shared" si="136"/>
        <v>1.9775248276642965E-7</v>
      </c>
    </row>
    <row r="1452" spans="1:37" x14ac:dyDescent="0.3">
      <c r="A1452" s="1">
        <v>45958</v>
      </c>
      <c r="B1452">
        <v>1.165</v>
      </c>
      <c r="C1452">
        <v>1.3268</v>
      </c>
      <c r="D1452">
        <v>152.1</v>
      </c>
      <c r="G1452">
        <v>1.165</v>
      </c>
      <c r="H1452">
        <f t="shared" si="133"/>
        <v>1.1644000000000001</v>
      </c>
      <c r="I1452">
        <f t="shared" si="133"/>
        <v>1.1625000000000001</v>
      </c>
      <c r="J1452">
        <f t="shared" si="133"/>
        <v>1.1617999999999999</v>
      </c>
      <c r="L1452">
        <f t="shared" si="132"/>
        <v>5.9999999999993392E-4</v>
      </c>
      <c r="W1452">
        <f t="shared" si="134"/>
        <v>-4.9067713444553487E-3</v>
      </c>
      <c r="X1452">
        <f t="shared" si="135"/>
        <v>-1.1109658868122853E-3</v>
      </c>
      <c r="Y1452">
        <f t="shared" si="135"/>
        <v>3.0809570632579406E-3</v>
      </c>
      <c r="Z1452">
        <f t="shared" si="135"/>
        <v>3.8826006843906513E-3</v>
      </c>
      <c r="AE1452">
        <f>W1452-mu-theta*AE1451</f>
        <v>-5.2689721598438441E-3</v>
      </c>
      <c r="AF1452">
        <f t="shared" si="137"/>
        <v>-4.4469369544263796E-4</v>
      </c>
      <c r="AG1452">
        <f t="shared" si="137"/>
        <v>3.8152147623710308E-3</v>
      </c>
      <c r="AK1452">
        <f t="shared" si="136"/>
        <v>2.7762067621209504E-5</v>
      </c>
    </row>
    <row r="1453" spans="1:37" x14ac:dyDescent="0.3">
      <c r="A1453" s="1">
        <v>45959</v>
      </c>
      <c r="B1453">
        <v>1.1599999999999999</v>
      </c>
      <c r="C1453">
        <v>1.3191999999999999</v>
      </c>
      <c r="D1453">
        <v>152.72</v>
      </c>
      <c r="G1453">
        <v>1.1599999999999999</v>
      </c>
      <c r="H1453">
        <f t="shared" si="133"/>
        <v>1.165</v>
      </c>
      <c r="I1453">
        <f t="shared" si="133"/>
        <v>1.1644000000000001</v>
      </c>
      <c r="J1453">
        <f t="shared" si="133"/>
        <v>1.1625000000000001</v>
      </c>
      <c r="L1453">
        <f t="shared" si="132"/>
        <v>-5.0000000000001155E-3</v>
      </c>
      <c r="W1453">
        <f t="shared" si="134"/>
        <v>4.0762656147271831E-3</v>
      </c>
      <c r="X1453">
        <f t="shared" si="135"/>
        <v>-4.9067713444553487E-3</v>
      </c>
      <c r="Y1453">
        <f t="shared" si="135"/>
        <v>-1.1109658868122853E-3</v>
      </c>
      <c r="Z1453">
        <f t="shared" si="135"/>
        <v>3.0809570632579406E-3</v>
      </c>
      <c r="AE1453">
        <f>W1453-mu-theta*AE1452</f>
        <v>2.5493355036608758E-3</v>
      </c>
      <c r="AF1453">
        <f t="shared" si="137"/>
        <v>-5.2689721598438441E-3</v>
      </c>
      <c r="AG1453">
        <f t="shared" si="137"/>
        <v>-4.4469369544263796E-4</v>
      </c>
      <c r="AK1453">
        <f t="shared" si="136"/>
        <v>6.4991115102258518E-6</v>
      </c>
    </row>
    <row r="1454" spans="1:37" x14ac:dyDescent="0.3">
      <c r="A1454" s="1">
        <v>45960</v>
      </c>
      <c r="B1454">
        <v>1.1565000000000001</v>
      </c>
      <c r="C1454">
        <v>1.3149999999999999</v>
      </c>
      <c r="D1454">
        <v>154.11000000000001</v>
      </c>
      <c r="G1454">
        <v>1.1565000000000001</v>
      </c>
      <c r="H1454">
        <f t="shared" si="133"/>
        <v>1.1599999999999999</v>
      </c>
      <c r="I1454">
        <f t="shared" si="133"/>
        <v>1.165</v>
      </c>
      <c r="J1454">
        <f t="shared" si="133"/>
        <v>1.1644000000000001</v>
      </c>
      <c r="L1454">
        <f t="shared" si="132"/>
        <v>-3.4999999999998366E-3</v>
      </c>
      <c r="W1454">
        <f t="shared" si="134"/>
        <v>9.101623886851852E-3</v>
      </c>
      <c r="X1454">
        <f t="shared" si="135"/>
        <v>4.0762656147271831E-3</v>
      </c>
      <c r="Y1454">
        <f t="shared" si="135"/>
        <v>-4.9067713444553487E-3</v>
      </c>
      <c r="Z1454">
        <f t="shared" si="135"/>
        <v>-1.1109658868122853E-3</v>
      </c>
      <c r="AE1454">
        <f>W1454-mu-theta*AE1453</f>
        <v>9.4622738658449949E-3</v>
      </c>
      <c r="AF1454">
        <f t="shared" si="137"/>
        <v>2.5493355036608758E-3</v>
      </c>
      <c r="AG1454">
        <f t="shared" si="137"/>
        <v>-5.2689721598438441E-3</v>
      </c>
      <c r="AK1454">
        <f t="shared" si="136"/>
        <v>8.9534626712253179E-5</v>
      </c>
    </row>
    <row r="1455" spans="1:37" x14ac:dyDescent="0.3">
      <c r="A1455" s="1">
        <v>45963</v>
      </c>
      <c r="B1455">
        <v>1.1534</v>
      </c>
      <c r="C1455">
        <v>1.3138000000000001</v>
      </c>
      <c r="D1455">
        <v>153.99</v>
      </c>
      <c r="G1455">
        <v>1.1534</v>
      </c>
      <c r="H1455">
        <f t="shared" si="133"/>
        <v>1.1565000000000001</v>
      </c>
      <c r="I1455">
        <f t="shared" si="133"/>
        <v>1.1599999999999999</v>
      </c>
      <c r="J1455">
        <f t="shared" si="133"/>
        <v>1.165</v>
      </c>
      <c r="L1455">
        <f t="shared" si="132"/>
        <v>-3.1000000000001027E-3</v>
      </c>
      <c r="W1455">
        <f t="shared" si="134"/>
        <v>-7.7866459022778883E-4</v>
      </c>
      <c r="X1455">
        <f t="shared" si="135"/>
        <v>9.101623886851852E-3</v>
      </c>
      <c r="Y1455">
        <f t="shared" si="135"/>
        <v>4.0762656147271831E-3</v>
      </c>
      <c r="Z1455">
        <f t="shared" si="135"/>
        <v>-4.9067713444553487E-3</v>
      </c>
      <c r="AE1455">
        <f>W1455-mu-theta*AE1454</f>
        <v>1.2509814653942368E-3</v>
      </c>
      <c r="AF1455">
        <f t="shared" si="137"/>
        <v>9.4622738658449949E-3</v>
      </c>
      <c r="AG1455">
        <f t="shared" si="137"/>
        <v>2.5493355036608758E-3</v>
      </c>
      <c r="AK1455">
        <f t="shared" si="136"/>
        <v>1.564954626759912E-6</v>
      </c>
    </row>
    <row r="1456" spans="1:37" x14ac:dyDescent="0.3">
      <c r="A1456" s="1">
        <v>45964</v>
      </c>
      <c r="B1456">
        <v>1.1518999999999999</v>
      </c>
      <c r="C1456">
        <v>1.3142</v>
      </c>
      <c r="D1456">
        <v>154.21</v>
      </c>
      <c r="G1456">
        <v>1.1518999999999999</v>
      </c>
      <c r="H1456">
        <f t="shared" si="133"/>
        <v>1.1534</v>
      </c>
      <c r="I1456">
        <f t="shared" si="133"/>
        <v>1.1565000000000001</v>
      </c>
      <c r="J1456">
        <f t="shared" si="133"/>
        <v>1.1599999999999999</v>
      </c>
      <c r="L1456">
        <f t="shared" si="132"/>
        <v>-1.5000000000000568E-3</v>
      </c>
      <c r="W1456">
        <f t="shared" si="134"/>
        <v>1.428664198973952E-3</v>
      </c>
      <c r="X1456">
        <f t="shared" si="135"/>
        <v>-7.7866459022778883E-4</v>
      </c>
      <c r="Y1456">
        <f t="shared" si="135"/>
        <v>9.101623886851852E-3</v>
      </c>
      <c r="Z1456">
        <f t="shared" si="135"/>
        <v>4.0762656147271831E-3</v>
      </c>
      <c r="AE1456">
        <f>W1456-mu-theta*AE1455</f>
        <v>1.4758515543458336E-3</v>
      </c>
      <c r="AF1456">
        <f t="shared" si="137"/>
        <v>1.2509814653942368E-3</v>
      </c>
      <c r="AG1456">
        <f t="shared" si="137"/>
        <v>9.4622738658449949E-3</v>
      </c>
      <c r="AK1456">
        <f t="shared" si="136"/>
        <v>2.1781378104650131E-6</v>
      </c>
    </row>
    <row r="1457" spans="1:37" x14ac:dyDescent="0.3">
      <c r="A1457" s="1">
        <v>45965</v>
      </c>
      <c r="B1457">
        <v>1.1483000000000001</v>
      </c>
      <c r="C1457">
        <v>1.3019000000000001</v>
      </c>
      <c r="D1457">
        <v>153.66</v>
      </c>
      <c r="G1457">
        <v>1.1483000000000001</v>
      </c>
      <c r="H1457">
        <f t="shared" si="133"/>
        <v>1.1518999999999999</v>
      </c>
      <c r="I1457">
        <f t="shared" si="133"/>
        <v>1.1534</v>
      </c>
      <c r="J1457">
        <f t="shared" si="133"/>
        <v>1.1565000000000001</v>
      </c>
      <c r="L1457">
        <f t="shared" si="132"/>
        <v>-3.5999999999998256E-3</v>
      </c>
      <c r="W1457">
        <f t="shared" si="134"/>
        <v>-3.5665650736010075E-3</v>
      </c>
      <c r="X1457">
        <f t="shared" si="135"/>
        <v>1.428664198973952E-3</v>
      </c>
      <c r="Y1457">
        <f t="shared" si="135"/>
        <v>-7.7866459022778883E-4</v>
      </c>
      <c r="Z1457">
        <f t="shared" si="135"/>
        <v>9.101623886851852E-3</v>
      </c>
      <c r="AE1457">
        <f>W1457-mu-theta*AE1456</f>
        <v>-3.46508715804354E-3</v>
      </c>
      <c r="AF1457">
        <f t="shared" si="137"/>
        <v>1.4758515543458336E-3</v>
      </c>
      <c r="AG1457">
        <f t="shared" si="137"/>
        <v>1.2509814653942368E-3</v>
      </c>
      <c r="AK1457">
        <f t="shared" si="136"/>
        <v>1.2006829012838257E-5</v>
      </c>
    </row>
    <row r="1458" spans="1:37" x14ac:dyDescent="0.3">
      <c r="A1458" s="1">
        <v>45966</v>
      </c>
      <c r="B1458">
        <v>1.1491</v>
      </c>
      <c r="C1458">
        <v>1.3044</v>
      </c>
      <c r="D1458">
        <v>154.11000000000001</v>
      </c>
      <c r="G1458">
        <v>1.1491</v>
      </c>
      <c r="H1458">
        <f t="shared" si="133"/>
        <v>1.1483000000000001</v>
      </c>
      <c r="I1458">
        <f t="shared" si="133"/>
        <v>1.1518999999999999</v>
      </c>
      <c r="J1458">
        <f t="shared" si="133"/>
        <v>1.1534</v>
      </c>
      <c r="L1458">
        <f t="shared" si="132"/>
        <v>7.9999999999991189E-4</v>
      </c>
      <c r="W1458">
        <f t="shared" si="134"/>
        <v>2.9285435376807047E-3</v>
      </c>
      <c r="X1458">
        <f t="shared" si="135"/>
        <v>-3.5665650736010075E-3</v>
      </c>
      <c r="Y1458">
        <f t="shared" si="135"/>
        <v>1.428664198973952E-3</v>
      </c>
      <c r="Z1458">
        <f t="shared" si="135"/>
        <v>-7.7866459022778883E-4</v>
      </c>
      <c r="AE1458">
        <f>W1458-mu-theta*AE1457</f>
        <v>1.8371267833027366E-3</v>
      </c>
      <c r="AF1458">
        <f t="shared" si="137"/>
        <v>-3.46508715804354E-3</v>
      </c>
      <c r="AG1458">
        <f t="shared" si="137"/>
        <v>1.4758515543458336E-3</v>
      </c>
      <c r="AK1458">
        <f t="shared" si="136"/>
        <v>3.3750348179282603E-6</v>
      </c>
    </row>
    <row r="1459" spans="1:37" x14ac:dyDescent="0.3">
      <c r="A1459" s="1">
        <v>45967</v>
      </c>
      <c r="B1459">
        <v>1.1546000000000001</v>
      </c>
      <c r="C1459">
        <v>1.3134999999999999</v>
      </c>
      <c r="D1459">
        <v>153.06</v>
      </c>
      <c r="G1459">
        <v>1.1546000000000001</v>
      </c>
      <c r="H1459">
        <f t="shared" si="133"/>
        <v>1.1491</v>
      </c>
      <c r="I1459">
        <f t="shared" si="133"/>
        <v>1.1483000000000001</v>
      </c>
      <c r="J1459">
        <f t="shared" si="133"/>
        <v>1.1518999999999999</v>
      </c>
      <c r="L1459">
        <f t="shared" si="132"/>
        <v>5.5000000000000604E-3</v>
      </c>
      <c r="W1459">
        <f t="shared" si="134"/>
        <v>-6.8133151644929682E-3</v>
      </c>
      <c r="X1459">
        <f t="shared" si="135"/>
        <v>2.9285435376807047E-3</v>
      </c>
      <c r="Y1459">
        <f t="shared" si="135"/>
        <v>-3.5665650736010075E-3</v>
      </c>
      <c r="Z1459">
        <f t="shared" si="135"/>
        <v>1.428664198973952E-3</v>
      </c>
      <c r="AE1459">
        <f>W1459-mu-theta*AE1458</f>
        <v>-6.624614289880826E-3</v>
      </c>
      <c r="AF1459">
        <f t="shared" si="137"/>
        <v>1.8371267833027366E-3</v>
      </c>
      <c r="AG1459">
        <f t="shared" si="137"/>
        <v>-3.46508715804354E-3</v>
      </c>
      <c r="AK1459">
        <f t="shared" si="136"/>
        <v>4.3885514489693237E-5</v>
      </c>
    </row>
    <row r="1460" spans="1:37" x14ac:dyDescent="0.3">
      <c r="A1460" s="1">
        <v>45970</v>
      </c>
      <c r="B1460">
        <v>1.1565000000000001</v>
      </c>
      <c r="C1460">
        <v>1.3148</v>
      </c>
      <c r="D1460">
        <v>153.22</v>
      </c>
      <c r="G1460">
        <v>1.1565000000000001</v>
      </c>
      <c r="H1460">
        <f t="shared" si="133"/>
        <v>1.1546000000000001</v>
      </c>
      <c r="I1460">
        <f t="shared" si="133"/>
        <v>1.1491</v>
      </c>
      <c r="J1460">
        <f t="shared" si="133"/>
        <v>1.1483000000000001</v>
      </c>
      <c r="L1460">
        <f t="shared" si="132"/>
        <v>1.9000000000000128E-3</v>
      </c>
      <c r="W1460">
        <f t="shared" si="134"/>
        <v>1.0453416960668797E-3</v>
      </c>
      <c r="X1460">
        <f t="shared" si="135"/>
        <v>-6.8133151644929682E-3</v>
      </c>
      <c r="Y1460">
        <f t="shared" si="135"/>
        <v>2.9285435376807047E-3</v>
      </c>
      <c r="Z1460">
        <f t="shared" si="135"/>
        <v>-3.5665650736010075E-3</v>
      </c>
      <c r="AE1460">
        <f>W1460-mu-theta*AE1459</f>
        <v>-8.0888214710059117E-4</v>
      </c>
      <c r="AF1460">
        <f t="shared" si="137"/>
        <v>-6.624614289880826E-3</v>
      </c>
      <c r="AG1460">
        <f t="shared" si="137"/>
        <v>1.8371267833027366E-3</v>
      </c>
      <c r="AK1460">
        <f t="shared" si="136"/>
        <v>6.5429032789806243E-7</v>
      </c>
    </row>
    <row r="1461" spans="1:37" x14ac:dyDescent="0.3">
      <c r="A1461" s="1">
        <v>45971</v>
      </c>
      <c r="B1461">
        <v>1.1556</v>
      </c>
      <c r="C1461">
        <v>1.3170999999999999</v>
      </c>
      <c r="D1461">
        <v>154.01</v>
      </c>
      <c r="G1461">
        <v>1.1556</v>
      </c>
      <c r="H1461">
        <f t="shared" si="133"/>
        <v>1.1565000000000001</v>
      </c>
      <c r="I1461">
        <f t="shared" si="133"/>
        <v>1.1546000000000001</v>
      </c>
      <c r="J1461">
        <f t="shared" si="133"/>
        <v>1.1491</v>
      </c>
      <c r="L1461">
        <f t="shared" si="132"/>
        <v>-9.0000000000012292E-4</v>
      </c>
      <c r="W1461">
        <f t="shared" si="134"/>
        <v>5.1559848583735282E-3</v>
      </c>
      <c r="X1461">
        <f t="shared" si="135"/>
        <v>1.0453416960668797E-3</v>
      </c>
      <c r="Y1461">
        <f t="shared" si="135"/>
        <v>-6.8133151644929682E-3</v>
      </c>
      <c r="Z1461">
        <f t="shared" si="135"/>
        <v>2.9285435376807047E-3</v>
      </c>
      <c r="AE1461">
        <f>W1461-mu-theta*AE1460</f>
        <v>4.7058577423115472E-3</v>
      </c>
      <c r="AF1461">
        <f t="shared" si="137"/>
        <v>-8.0888214710059117E-4</v>
      </c>
      <c r="AG1461">
        <f t="shared" si="137"/>
        <v>-6.624614289880826E-3</v>
      </c>
      <c r="AK1461">
        <f t="shared" si="136"/>
        <v>2.2145097090873531E-5</v>
      </c>
    </row>
    <row r="1462" spans="1:37" x14ac:dyDescent="0.3">
      <c r="A1462" s="1">
        <v>45972</v>
      </c>
      <c r="B1462">
        <v>1.1579999999999999</v>
      </c>
      <c r="C1462">
        <v>1.3148</v>
      </c>
      <c r="D1462">
        <v>154.13</v>
      </c>
      <c r="G1462">
        <v>1.1579999999999999</v>
      </c>
      <c r="H1462">
        <f t="shared" si="133"/>
        <v>1.1556</v>
      </c>
      <c r="I1462">
        <f t="shared" si="133"/>
        <v>1.1565000000000001</v>
      </c>
      <c r="J1462">
        <f t="shared" si="133"/>
        <v>1.1546000000000001</v>
      </c>
      <c r="L1462">
        <f t="shared" si="132"/>
        <v>2.3999999999999577E-3</v>
      </c>
      <c r="W1462">
        <f t="shared" si="134"/>
        <v>7.7917018375433123E-4</v>
      </c>
      <c r="X1462">
        <f t="shared" si="135"/>
        <v>5.1559848583735282E-3</v>
      </c>
      <c r="Y1462">
        <f t="shared" si="135"/>
        <v>1.0453416960668797E-3</v>
      </c>
      <c r="Z1462">
        <f t="shared" si="135"/>
        <v>-6.8133151644929682E-3</v>
      </c>
      <c r="AE1462">
        <f>W1462-mu-theta*AE1461</f>
        <v>1.6604710013488667E-3</v>
      </c>
      <c r="AF1462">
        <f t="shared" si="137"/>
        <v>4.7058577423115472E-3</v>
      </c>
      <c r="AG1462">
        <f t="shared" si="137"/>
        <v>-8.0888214710059117E-4</v>
      </c>
      <c r="AK1462">
        <f t="shared" si="136"/>
        <v>2.7571639463205083E-6</v>
      </c>
    </row>
    <row r="1463" spans="1:37" x14ac:dyDescent="0.3">
      <c r="A1463" s="1">
        <v>45973</v>
      </c>
      <c r="B1463">
        <v>1.1592</v>
      </c>
      <c r="C1463">
        <v>1.3125</v>
      </c>
      <c r="D1463">
        <v>154.80000000000001</v>
      </c>
      <c r="G1463">
        <v>1.1592</v>
      </c>
      <c r="H1463">
        <f t="shared" si="133"/>
        <v>1.1579999999999999</v>
      </c>
      <c r="I1463">
        <f t="shared" si="133"/>
        <v>1.1556</v>
      </c>
      <c r="J1463">
        <f t="shared" si="133"/>
        <v>1.1565000000000001</v>
      </c>
      <c r="L1463">
        <f t="shared" si="132"/>
        <v>1.2000000000000899E-3</v>
      </c>
      <c r="W1463">
        <f t="shared" si="134"/>
        <v>4.3469798222280929E-3</v>
      </c>
      <c r="X1463">
        <f t="shared" si="135"/>
        <v>7.7917018375433123E-4</v>
      </c>
      <c r="Y1463">
        <f t="shared" si="135"/>
        <v>5.1559848583735282E-3</v>
      </c>
      <c r="Z1463">
        <f t="shared" si="135"/>
        <v>1.0453416960668797E-3</v>
      </c>
      <c r="AE1463">
        <f>W1463-mu-theta*AE1462</f>
        <v>4.4930305542311717E-3</v>
      </c>
      <c r="AF1463">
        <f t="shared" si="137"/>
        <v>1.6604710013488667E-3</v>
      </c>
      <c r="AG1463">
        <f t="shared" si="137"/>
        <v>4.7058577423115472E-3</v>
      </c>
      <c r="AK1463">
        <f t="shared" si="136"/>
        <v>2.0187323561254868E-5</v>
      </c>
    </row>
    <row r="1464" spans="1:37" x14ac:dyDescent="0.3">
      <c r="A1464" s="1">
        <v>45974</v>
      </c>
      <c r="B1464">
        <v>1.1637999999999999</v>
      </c>
      <c r="C1464">
        <v>1.3187</v>
      </c>
      <c r="D1464">
        <v>154.53</v>
      </c>
      <c r="G1464">
        <v>1.1637999999999999</v>
      </c>
      <c r="H1464">
        <f t="shared" si="133"/>
        <v>1.1592</v>
      </c>
      <c r="I1464">
        <f t="shared" si="133"/>
        <v>1.1579999999999999</v>
      </c>
      <c r="J1464">
        <f t="shared" si="133"/>
        <v>1.1556</v>
      </c>
      <c r="L1464">
        <f t="shared" si="132"/>
        <v>4.5999999999999375E-3</v>
      </c>
      <c r="W1464">
        <f t="shared" si="134"/>
        <v>-1.7441860465116938E-3</v>
      </c>
      <c r="X1464">
        <f t="shared" si="135"/>
        <v>4.3469798222280929E-3</v>
      </c>
      <c r="Y1464">
        <f t="shared" si="135"/>
        <v>7.7917018375433123E-4</v>
      </c>
      <c r="Z1464">
        <f t="shared" si="135"/>
        <v>5.1559848583735282E-3</v>
      </c>
      <c r="AE1464">
        <f>W1464-mu-theta*AE1463</f>
        <v>-9.1426826219417954E-4</v>
      </c>
      <c r="AF1464">
        <f t="shared" si="137"/>
        <v>4.4930305542311717E-3</v>
      </c>
      <c r="AG1464">
        <f t="shared" si="137"/>
        <v>1.6604710013488667E-3</v>
      </c>
      <c r="AK1464">
        <f t="shared" si="136"/>
        <v>8.3588645525556499E-7</v>
      </c>
    </row>
    <row r="1465" spans="1:37" x14ac:dyDescent="0.3">
      <c r="A1465" s="1">
        <v>45977</v>
      </c>
      <c r="B1465">
        <v>1.1619999999999999</v>
      </c>
      <c r="C1465">
        <v>1.3134999999999999</v>
      </c>
      <c r="D1465">
        <v>154.4</v>
      </c>
      <c r="G1465">
        <v>1.1619999999999999</v>
      </c>
      <c r="H1465">
        <f t="shared" si="133"/>
        <v>1.1637999999999999</v>
      </c>
      <c r="I1465">
        <f t="shared" si="133"/>
        <v>1.1592</v>
      </c>
      <c r="J1465">
        <f t="shared" si="133"/>
        <v>1.1579999999999999</v>
      </c>
      <c r="L1465">
        <f t="shared" si="132"/>
        <v>-1.8000000000000238E-3</v>
      </c>
      <c r="W1465">
        <f t="shared" si="134"/>
        <v>-8.4126059664787068E-4</v>
      </c>
      <c r="X1465">
        <f t="shared" si="135"/>
        <v>-1.7441860465116938E-3</v>
      </c>
      <c r="Y1465">
        <f t="shared" si="135"/>
        <v>4.3469798222280929E-3</v>
      </c>
      <c r="Z1465">
        <f t="shared" si="135"/>
        <v>7.7917018375433123E-4</v>
      </c>
      <c r="AE1465">
        <f>W1465-mu-theta*AE1464</f>
        <v>-1.3168311643084549E-3</v>
      </c>
      <c r="AF1465">
        <f t="shared" si="137"/>
        <v>-9.1426826219417954E-4</v>
      </c>
      <c r="AG1465">
        <f t="shared" si="137"/>
        <v>4.4930305542311717E-3</v>
      </c>
      <c r="AK1465">
        <f t="shared" si="136"/>
        <v>1.7340443152939611E-6</v>
      </c>
    </row>
    <row r="1466" spans="1:37" x14ac:dyDescent="0.3">
      <c r="A1466" s="1">
        <v>45978</v>
      </c>
      <c r="B1466">
        <v>1.1591</v>
      </c>
      <c r="C1466">
        <v>1.3154999999999999</v>
      </c>
      <c r="D1466">
        <v>155.22999999999999</v>
      </c>
      <c r="G1466">
        <v>1.1591</v>
      </c>
      <c r="H1466">
        <f t="shared" si="133"/>
        <v>1.1619999999999999</v>
      </c>
      <c r="I1466">
        <f t="shared" si="133"/>
        <v>1.1637999999999999</v>
      </c>
      <c r="J1466">
        <f t="shared" si="133"/>
        <v>1.1592</v>
      </c>
      <c r="L1466">
        <f t="shared" si="132"/>
        <v>-2.8999999999999027E-3</v>
      </c>
      <c r="W1466">
        <f t="shared" si="134"/>
        <v>5.3756476683936788E-3</v>
      </c>
      <c r="X1466">
        <f t="shared" si="135"/>
        <v>-8.4126059664787068E-4</v>
      </c>
      <c r="Y1466">
        <f t="shared" si="135"/>
        <v>-1.7441860465116938E-3</v>
      </c>
      <c r="Z1466">
        <f t="shared" si="135"/>
        <v>4.3469798222280929E-3</v>
      </c>
      <c r="AE1466">
        <f>W1466-mu-theta*AE1465</f>
        <v>4.8028860266884554E-3</v>
      </c>
      <c r="AF1466">
        <f t="shared" si="137"/>
        <v>-1.3168311643084549E-3</v>
      </c>
      <c r="AG1466">
        <f t="shared" si="137"/>
        <v>-9.1426826219417954E-4</v>
      </c>
      <c r="AK1466">
        <f t="shared" si="136"/>
        <v>2.3067714185359219E-5</v>
      </c>
    </row>
    <row r="1467" spans="1:37" x14ac:dyDescent="0.3">
      <c r="A1467" s="1">
        <v>45979</v>
      </c>
      <c r="B1467">
        <v>1.1578999999999999</v>
      </c>
      <c r="C1467">
        <v>1.3144</v>
      </c>
      <c r="D1467">
        <v>155.5</v>
      </c>
      <c r="G1467">
        <v>1.1578999999999999</v>
      </c>
      <c r="H1467">
        <f t="shared" si="133"/>
        <v>1.1591</v>
      </c>
      <c r="I1467">
        <f t="shared" si="133"/>
        <v>1.1619999999999999</v>
      </c>
      <c r="J1467">
        <f t="shared" si="133"/>
        <v>1.1637999999999999</v>
      </c>
      <c r="L1467">
        <f t="shared" si="132"/>
        <v>-1.2000000000000899E-3</v>
      </c>
      <c r="W1467">
        <f t="shared" si="134"/>
        <v>1.7393545062166478E-3</v>
      </c>
      <c r="X1467">
        <f t="shared" si="135"/>
        <v>5.3756476683936788E-3</v>
      </c>
      <c r="Y1467">
        <f t="shared" si="135"/>
        <v>-8.4126059664787068E-4</v>
      </c>
      <c r="Z1467">
        <f t="shared" si="135"/>
        <v>-1.7441860465116938E-3</v>
      </c>
      <c r="AE1467">
        <f>W1467-mu-theta*AE1466</f>
        <v>2.6440809378500633E-3</v>
      </c>
      <c r="AF1467">
        <f t="shared" si="137"/>
        <v>4.8028860266884554E-3</v>
      </c>
      <c r="AG1467">
        <f t="shared" si="137"/>
        <v>-1.3168311643084549E-3</v>
      </c>
      <c r="AK1467">
        <f t="shared" si="136"/>
        <v>6.9911640059020705E-6</v>
      </c>
    </row>
    <row r="1468" spans="1:37" x14ac:dyDescent="0.3">
      <c r="A1468" s="1">
        <v>45980</v>
      </c>
      <c r="B1468">
        <v>1.1535</v>
      </c>
      <c r="C1468">
        <v>1.3055000000000001</v>
      </c>
      <c r="D1468">
        <v>157.15</v>
      </c>
      <c r="G1468">
        <v>1.1535</v>
      </c>
      <c r="H1468">
        <f t="shared" si="133"/>
        <v>1.1578999999999999</v>
      </c>
      <c r="I1468">
        <f t="shared" si="133"/>
        <v>1.1591</v>
      </c>
      <c r="J1468">
        <f t="shared" si="133"/>
        <v>1.1619999999999999</v>
      </c>
      <c r="L1468">
        <f t="shared" si="132"/>
        <v>-4.3999999999999595E-3</v>
      </c>
      <c r="W1468">
        <f t="shared" si="134"/>
        <v>1.0610932475884282E-2</v>
      </c>
      <c r="X1468">
        <f t="shared" si="135"/>
        <v>1.7393545062166478E-3</v>
      </c>
      <c r="Y1468">
        <f t="shared" si="135"/>
        <v>5.3756476683936788E-3</v>
      </c>
      <c r="Z1468">
        <f t="shared" si="135"/>
        <v>-8.4126059664787068E-4</v>
      </c>
      <c r="AE1468">
        <f>W1468-mu-theta*AE1467</f>
        <v>1.0994456918622865E-2</v>
      </c>
      <c r="AF1468">
        <f t="shared" si="137"/>
        <v>2.6440809378500633E-3</v>
      </c>
      <c r="AG1468">
        <f t="shared" si="137"/>
        <v>4.8028860266884554E-3</v>
      </c>
      <c r="AK1468">
        <f t="shared" si="136"/>
        <v>1.2087808293545418E-4</v>
      </c>
    </row>
    <row r="1469" spans="1:37" x14ac:dyDescent="0.3">
      <c r="A1469" s="1">
        <v>45981</v>
      </c>
      <c r="B1469">
        <v>1.1527000000000001</v>
      </c>
      <c r="C1469">
        <v>1.3069999999999999</v>
      </c>
      <c r="D1469">
        <v>157.46</v>
      </c>
      <c r="G1469">
        <v>1.1527000000000001</v>
      </c>
      <c r="H1469">
        <f t="shared" si="133"/>
        <v>1.1535</v>
      </c>
      <c r="I1469">
        <f t="shared" si="133"/>
        <v>1.1578999999999999</v>
      </c>
      <c r="J1469">
        <f t="shared" si="133"/>
        <v>1.1591</v>
      </c>
      <c r="L1469">
        <f t="shared" si="132"/>
        <v>-7.9999999999991189E-4</v>
      </c>
      <c r="W1469">
        <f t="shared" si="134"/>
        <v>1.9726376073814973E-3</v>
      </c>
      <c r="X1469">
        <f t="shared" si="135"/>
        <v>1.0610932475884282E-2</v>
      </c>
      <c r="Y1469">
        <f t="shared" si="135"/>
        <v>1.7393545062166478E-3</v>
      </c>
      <c r="Z1469">
        <f t="shared" si="135"/>
        <v>5.3756476683936788E-3</v>
      </c>
      <c r="AE1469">
        <f>W1469-mu-theta*AE1468</f>
        <v>4.3721998071647727E-3</v>
      </c>
      <c r="AF1469">
        <f t="shared" si="137"/>
        <v>1.0994456918622865E-2</v>
      </c>
      <c r="AG1469">
        <f t="shared" si="137"/>
        <v>2.6440809378500633E-3</v>
      </c>
      <c r="AK1469">
        <f t="shared" si="136"/>
        <v>1.9116131153771675E-5</v>
      </c>
    </row>
    <row r="1470" spans="1:37" x14ac:dyDescent="0.3">
      <c r="A1470" s="1">
        <v>45984</v>
      </c>
      <c r="B1470">
        <v>1.1511</v>
      </c>
      <c r="C1470">
        <v>1.3096000000000001</v>
      </c>
      <c r="D1470">
        <v>156.56</v>
      </c>
      <c r="G1470">
        <v>1.1511</v>
      </c>
      <c r="H1470">
        <f t="shared" si="133"/>
        <v>1.1527000000000001</v>
      </c>
      <c r="I1470">
        <f t="shared" si="133"/>
        <v>1.1535</v>
      </c>
      <c r="J1470">
        <f t="shared" si="133"/>
        <v>1.1578999999999999</v>
      </c>
      <c r="L1470">
        <f t="shared" si="132"/>
        <v>-1.6000000000000458E-3</v>
      </c>
      <c r="W1470">
        <f t="shared" si="134"/>
        <v>-5.7157373301156209E-3</v>
      </c>
      <c r="X1470">
        <f t="shared" si="135"/>
        <v>1.9726376073814973E-3</v>
      </c>
      <c r="Y1470">
        <f t="shared" si="135"/>
        <v>1.0610932475884282E-2</v>
      </c>
      <c r="Z1470">
        <f t="shared" si="135"/>
        <v>1.7393545062166478E-3</v>
      </c>
      <c r="AE1470">
        <f>W1470-mu-theta*AE1469</f>
        <v>-4.9149918068865511E-3</v>
      </c>
      <c r="AF1470">
        <f t="shared" si="137"/>
        <v>4.3721998071647727E-3</v>
      </c>
      <c r="AG1470">
        <f t="shared" si="137"/>
        <v>1.0994456918622865E-2</v>
      </c>
      <c r="AK1470">
        <f t="shared" si="136"/>
        <v>2.4157144461761925E-5</v>
      </c>
    </row>
    <row r="1471" spans="1:37" x14ac:dyDescent="0.3">
      <c r="A1471" s="1">
        <v>45985</v>
      </c>
      <c r="B1471">
        <v>1.1519999999999999</v>
      </c>
      <c r="C1471">
        <v>1.3103</v>
      </c>
      <c r="D1471">
        <v>156.88</v>
      </c>
      <c r="G1471">
        <v>1.1519999999999999</v>
      </c>
      <c r="H1471">
        <f t="shared" si="133"/>
        <v>1.1511</v>
      </c>
      <c r="I1471">
        <f t="shared" si="133"/>
        <v>1.1527000000000001</v>
      </c>
      <c r="J1471">
        <f t="shared" si="133"/>
        <v>1.1535</v>
      </c>
      <c r="L1471">
        <f t="shared" si="132"/>
        <v>8.9999999999990088E-4</v>
      </c>
      <c r="W1471">
        <f t="shared" si="134"/>
        <v>2.0439448134899922E-3</v>
      </c>
      <c r="X1471">
        <f t="shared" si="135"/>
        <v>-5.7157373301156209E-3</v>
      </c>
      <c r="Y1471">
        <f t="shared" si="135"/>
        <v>1.9726376073814973E-3</v>
      </c>
      <c r="Z1471">
        <f t="shared" si="135"/>
        <v>1.0610932475884282E-2</v>
      </c>
      <c r="AE1471">
        <f>W1471-mu-theta*AE1470</f>
        <v>6.0247645390135488E-4</v>
      </c>
      <c r="AF1471">
        <f t="shared" si="137"/>
        <v>-4.9149918068865511E-3</v>
      </c>
      <c r="AG1471">
        <f t="shared" si="137"/>
        <v>4.3721998071647727E-3</v>
      </c>
      <c r="AK1471">
        <f t="shared" si="136"/>
        <v>3.6297787750555142E-7</v>
      </c>
    </row>
    <row r="1472" spans="1:37" x14ac:dyDescent="0.3">
      <c r="A1472" s="1">
        <v>45986</v>
      </c>
      <c r="B1472">
        <v>1.1569</v>
      </c>
      <c r="C1472">
        <v>1.3164</v>
      </c>
      <c r="D1472">
        <v>156.04</v>
      </c>
      <c r="G1472">
        <v>1.1569</v>
      </c>
      <c r="H1472">
        <f t="shared" si="133"/>
        <v>1.1519999999999999</v>
      </c>
      <c r="I1472">
        <f t="shared" si="133"/>
        <v>1.1511</v>
      </c>
      <c r="J1472">
        <f t="shared" si="133"/>
        <v>1.1527000000000001</v>
      </c>
      <c r="L1472">
        <f t="shared" si="132"/>
        <v>4.9000000000001265E-3</v>
      </c>
      <c r="W1472">
        <f t="shared" si="134"/>
        <v>-5.3544110147883952E-3</v>
      </c>
      <c r="X1472">
        <f t="shared" si="135"/>
        <v>2.0439448134899922E-3</v>
      </c>
      <c r="Y1472">
        <f t="shared" si="135"/>
        <v>-5.7157373301156209E-3</v>
      </c>
      <c r="Z1472">
        <f t="shared" si="135"/>
        <v>1.9726376073814973E-3</v>
      </c>
      <c r="AE1472">
        <f>W1472-mu-theta*AE1471</f>
        <v>-5.4637927279007036E-3</v>
      </c>
      <c r="AF1472">
        <f t="shared" si="137"/>
        <v>6.0247645390135488E-4</v>
      </c>
      <c r="AG1472">
        <f t="shared" si="137"/>
        <v>-4.9149918068865511E-3</v>
      </c>
      <c r="AK1472">
        <f t="shared" si="136"/>
        <v>2.9853030973460613E-5</v>
      </c>
    </row>
    <row r="1473" spans="1:37" x14ac:dyDescent="0.3">
      <c r="A1473" s="1">
        <v>45987</v>
      </c>
      <c r="B1473">
        <v>1.1595</v>
      </c>
      <c r="C1473">
        <v>1.3237000000000001</v>
      </c>
      <c r="D1473">
        <v>156.46</v>
      </c>
      <c r="G1473">
        <v>1.1595</v>
      </c>
      <c r="H1473">
        <f t="shared" si="133"/>
        <v>1.1569</v>
      </c>
      <c r="I1473">
        <f t="shared" si="133"/>
        <v>1.1519999999999999</v>
      </c>
      <c r="J1473">
        <f t="shared" si="133"/>
        <v>1.1511</v>
      </c>
      <c r="L1473">
        <f t="shared" si="132"/>
        <v>2.5999999999999357E-3</v>
      </c>
      <c r="W1473">
        <f t="shared" si="134"/>
        <v>2.6916175339657521E-3</v>
      </c>
      <c r="X1473">
        <f t="shared" si="135"/>
        <v>-5.3544110147883952E-3</v>
      </c>
      <c r="Y1473">
        <f t="shared" si="135"/>
        <v>2.0439448134899922E-3</v>
      </c>
      <c r="Z1473">
        <f t="shared" si="135"/>
        <v>-5.7157373301156209E-3</v>
      </c>
      <c r="AE1473">
        <f>W1473-mu-theta*AE1472</f>
        <v>1.1176517418767116E-3</v>
      </c>
      <c r="AF1473">
        <f t="shared" si="137"/>
        <v>-5.4637927279007036E-3</v>
      </c>
      <c r="AG1473">
        <f t="shared" si="137"/>
        <v>6.0247645390135488E-4</v>
      </c>
      <c r="AK1473">
        <f t="shared" si="136"/>
        <v>1.2491454161200477E-6</v>
      </c>
    </row>
    <row r="1474" spans="1:37" x14ac:dyDescent="0.3">
      <c r="A1474" s="1">
        <v>45988</v>
      </c>
      <c r="B1474">
        <v>1.1595</v>
      </c>
      <c r="C1474">
        <v>1.3234999999999999</v>
      </c>
      <c r="D1474">
        <v>156.28</v>
      </c>
      <c r="G1474">
        <v>1.1595</v>
      </c>
      <c r="H1474">
        <f t="shared" si="133"/>
        <v>1.1595</v>
      </c>
      <c r="I1474">
        <f t="shared" si="133"/>
        <v>1.1569</v>
      </c>
      <c r="J1474">
        <f t="shared" si="133"/>
        <v>1.1519999999999999</v>
      </c>
      <c r="L1474">
        <f t="shared" si="132"/>
        <v>0</v>
      </c>
      <c r="W1474">
        <f t="shared" si="134"/>
        <v>-1.150453790106141E-3</v>
      </c>
      <c r="X1474">
        <f t="shared" si="135"/>
        <v>2.6916175339657521E-3</v>
      </c>
      <c r="Y1474">
        <f t="shared" si="135"/>
        <v>-5.3544110147883952E-3</v>
      </c>
      <c r="Z1474">
        <f t="shared" si="135"/>
        <v>2.0439448134899922E-3</v>
      </c>
      <c r="AE1474">
        <f>W1474-mu-theta*AE1473</f>
        <v>-1.135456333412664E-3</v>
      </c>
      <c r="AF1474">
        <f t="shared" si="137"/>
        <v>1.1176517418767116E-3</v>
      </c>
      <c r="AG1474">
        <f t="shared" si="137"/>
        <v>-5.4637927279007036E-3</v>
      </c>
      <c r="AK1474">
        <f t="shared" si="136"/>
        <v>1.2892610850869308E-6</v>
      </c>
    </row>
    <row r="1475" spans="1:37" x14ac:dyDescent="0.3">
      <c r="A1475" s="1">
        <v>45991</v>
      </c>
      <c r="B1475">
        <v>1.1595</v>
      </c>
      <c r="C1475">
        <v>1.3225</v>
      </c>
      <c r="D1475">
        <v>156.1</v>
      </c>
      <c r="G1475">
        <v>1.1595</v>
      </c>
      <c r="H1475">
        <f t="shared" si="133"/>
        <v>1.1595</v>
      </c>
      <c r="I1475">
        <f t="shared" si="133"/>
        <v>1.1595</v>
      </c>
      <c r="J1475">
        <f t="shared" si="133"/>
        <v>1.1569</v>
      </c>
      <c r="L1475">
        <f t="shared" si="132"/>
        <v>0</v>
      </c>
      <c r="W1475">
        <f t="shared" si="134"/>
        <v>-1.1517788584592195E-3</v>
      </c>
      <c r="X1475">
        <f t="shared" si="135"/>
        <v>-1.150453790106141E-3</v>
      </c>
      <c r="Y1475">
        <f t="shared" si="135"/>
        <v>2.6916175339657521E-3</v>
      </c>
      <c r="Z1475">
        <f t="shared" si="135"/>
        <v>-5.3544110147883952E-3</v>
      </c>
      <c r="AE1475">
        <f>W1475-mu-theta*AE1474</f>
        <v>-1.6807510339050243E-3</v>
      </c>
      <c r="AF1475">
        <f t="shared" si="137"/>
        <v>-1.135456333412664E-3</v>
      </c>
      <c r="AG1475">
        <f t="shared" si="137"/>
        <v>1.1176517418767116E-3</v>
      </c>
      <c r="AK1475">
        <f t="shared" si="136"/>
        <v>2.8249240379728081E-6</v>
      </c>
    </row>
    <row r="1476" spans="1:37" x14ac:dyDescent="0.3">
      <c r="A1476" s="1">
        <v>45992</v>
      </c>
      <c r="B1476">
        <v>1.1608000000000001</v>
      </c>
      <c r="C1476">
        <v>1.3210999999999999</v>
      </c>
      <c r="D1476">
        <v>155.43</v>
      </c>
      <c r="G1476">
        <v>1.1608000000000001</v>
      </c>
      <c r="H1476">
        <f t="shared" si="133"/>
        <v>1.1595</v>
      </c>
      <c r="I1476">
        <f t="shared" si="133"/>
        <v>1.1595</v>
      </c>
      <c r="J1476">
        <f t="shared" si="133"/>
        <v>1.1595</v>
      </c>
      <c r="L1476">
        <f t="shared" si="132"/>
        <v>1.3000000000000789E-3</v>
      </c>
      <c r="W1476">
        <f t="shared" si="134"/>
        <v>-4.2921204356181136E-3</v>
      </c>
      <c r="X1476">
        <f t="shared" si="135"/>
        <v>-1.1517788584592195E-3</v>
      </c>
      <c r="Y1476">
        <f t="shared" si="135"/>
        <v>-1.150453790106141E-3</v>
      </c>
      <c r="Z1476">
        <f t="shared" si="135"/>
        <v>2.6916175339657521E-3</v>
      </c>
      <c r="AE1476">
        <f>W1476-mu-theta*AE1475</f>
        <v>-4.9527435340211909E-3</v>
      </c>
      <c r="AF1476">
        <f t="shared" si="137"/>
        <v>-1.6807510339050243E-3</v>
      </c>
      <c r="AG1476">
        <f t="shared" si="137"/>
        <v>-1.135456333412664E-3</v>
      </c>
      <c r="AK1476">
        <f t="shared" si="136"/>
        <v>2.4529668513788714E-5</v>
      </c>
    </row>
    <row r="1477" spans="1:37" x14ac:dyDescent="0.3">
      <c r="A1477" s="1">
        <v>45993</v>
      </c>
      <c r="B1477">
        <v>1.1624000000000001</v>
      </c>
      <c r="C1477">
        <v>1.3211999999999999</v>
      </c>
      <c r="D1477">
        <v>155.85</v>
      </c>
      <c r="G1477">
        <v>1.1624000000000001</v>
      </c>
      <c r="H1477">
        <f t="shared" si="133"/>
        <v>1.1608000000000001</v>
      </c>
      <c r="I1477">
        <f t="shared" si="133"/>
        <v>1.1595</v>
      </c>
      <c r="J1477">
        <f t="shared" si="133"/>
        <v>1.1595</v>
      </c>
      <c r="L1477">
        <f t="shared" si="132"/>
        <v>1.6000000000000458E-3</v>
      </c>
      <c r="W1477">
        <f t="shared" si="134"/>
        <v>2.7021810461300101E-3</v>
      </c>
      <c r="X1477">
        <f t="shared" si="135"/>
        <v>-4.2921204356181136E-3</v>
      </c>
      <c r="Y1477">
        <f t="shared" si="135"/>
        <v>-1.1517788584592195E-3</v>
      </c>
      <c r="Z1477">
        <f t="shared" si="135"/>
        <v>-1.150453790106141E-3</v>
      </c>
      <c r="AE1477">
        <f>W1477-mu-theta*AE1476</f>
        <v>1.251598257745313E-3</v>
      </c>
      <c r="AF1477">
        <f t="shared" si="137"/>
        <v>-4.9527435340211909E-3</v>
      </c>
      <c r="AG1477">
        <f t="shared" si="137"/>
        <v>-1.6807510339050243E-3</v>
      </c>
      <c r="AK1477">
        <f t="shared" si="136"/>
        <v>1.5664981987911029E-6</v>
      </c>
    </row>
    <row r="1478" spans="1:37" x14ac:dyDescent="0.3">
      <c r="A1478" s="1">
        <v>45994</v>
      </c>
      <c r="B1478">
        <v>1.1668000000000001</v>
      </c>
      <c r="C1478">
        <v>1.335</v>
      </c>
      <c r="D1478">
        <v>155.24</v>
      </c>
      <c r="G1478">
        <v>1.1668000000000001</v>
      </c>
      <c r="H1478">
        <f t="shared" si="133"/>
        <v>1.1624000000000001</v>
      </c>
      <c r="I1478">
        <f t="shared" si="133"/>
        <v>1.1608000000000001</v>
      </c>
      <c r="J1478">
        <f t="shared" si="133"/>
        <v>1.1595</v>
      </c>
      <c r="L1478">
        <f t="shared" ref="L1478:L1517" si="138">G1478-H1478</f>
        <v>4.3999999999999595E-3</v>
      </c>
      <c r="W1478">
        <f t="shared" si="134"/>
        <v>-3.9140198909206622E-3</v>
      </c>
      <c r="X1478">
        <f t="shared" si="135"/>
        <v>2.7021810461300101E-3</v>
      </c>
      <c r="Y1478">
        <f t="shared" si="135"/>
        <v>-4.2921204356181136E-3</v>
      </c>
      <c r="Z1478">
        <f t="shared" si="135"/>
        <v>-1.1517788584592195E-3</v>
      </c>
      <c r="AE1478">
        <f>W1478-mu-theta*AE1477</f>
        <v>-3.8666836228925254E-3</v>
      </c>
      <c r="AF1478">
        <f t="shared" si="137"/>
        <v>1.251598257745313E-3</v>
      </c>
      <c r="AG1478">
        <f t="shared" si="137"/>
        <v>-4.9527435340211909E-3</v>
      </c>
      <c r="AK1478">
        <f t="shared" si="136"/>
        <v>1.4951242239545266E-5</v>
      </c>
    </row>
    <row r="1479" spans="1:37" x14ac:dyDescent="0.3">
      <c r="A1479" s="1">
        <v>45995</v>
      </c>
      <c r="B1479">
        <v>1.1642999999999999</v>
      </c>
      <c r="C1479">
        <v>1.3325</v>
      </c>
      <c r="D1479">
        <v>155.08000000000001</v>
      </c>
      <c r="G1479">
        <v>1.1642999999999999</v>
      </c>
      <c r="H1479">
        <f t="shared" ref="H1479:J1517" si="139">G1478</f>
        <v>1.1668000000000001</v>
      </c>
      <c r="I1479">
        <f t="shared" si="139"/>
        <v>1.1624000000000001</v>
      </c>
      <c r="J1479">
        <f t="shared" si="139"/>
        <v>1.1608000000000001</v>
      </c>
      <c r="L1479">
        <f t="shared" si="138"/>
        <v>-2.5000000000001688E-3</v>
      </c>
      <c r="W1479">
        <f t="shared" ref="W1479:W1517" si="140">(D1479-D1478)/D1478</f>
        <v>-1.0306622004637759E-3</v>
      </c>
      <c r="X1479">
        <f t="shared" si="135"/>
        <v>-3.9140198909206622E-3</v>
      </c>
      <c r="Y1479">
        <f t="shared" si="135"/>
        <v>2.7021810461300101E-3</v>
      </c>
      <c r="Z1479">
        <f t="shared" si="135"/>
        <v>-4.2921204356181136E-3</v>
      </c>
      <c r="AE1479">
        <f>W1479-mu-theta*AE1478</f>
        <v>-2.2190367011869928E-3</v>
      </c>
      <c r="AF1479">
        <f t="shared" si="137"/>
        <v>-3.8666836228925254E-3</v>
      </c>
      <c r="AG1479">
        <f t="shared" si="137"/>
        <v>1.251598257745313E-3</v>
      </c>
      <c r="AK1479">
        <f t="shared" si="136"/>
        <v>4.9241238812148513E-6</v>
      </c>
    </row>
    <row r="1480" spans="1:37" x14ac:dyDescent="0.3">
      <c r="A1480" s="1">
        <v>45998</v>
      </c>
      <c r="B1480">
        <v>1.1639999999999999</v>
      </c>
      <c r="C1480">
        <v>1.3320000000000001</v>
      </c>
      <c r="D1480">
        <v>155.16</v>
      </c>
      <c r="G1480">
        <v>1.1639999999999999</v>
      </c>
      <c r="H1480">
        <f t="shared" si="139"/>
        <v>1.1642999999999999</v>
      </c>
      <c r="I1480">
        <f t="shared" si="139"/>
        <v>1.1668000000000001</v>
      </c>
      <c r="J1480">
        <f t="shared" si="139"/>
        <v>1.1624000000000001</v>
      </c>
      <c r="L1480">
        <f t="shared" si="138"/>
        <v>-2.9999999999996696E-4</v>
      </c>
      <c r="W1480">
        <f t="shared" si="140"/>
        <v>5.1586278050028426E-4</v>
      </c>
      <c r="X1480">
        <f t="shared" ref="X1480:Z1517" si="141">W1479</f>
        <v>-1.0306622004637759E-3</v>
      </c>
      <c r="Y1480">
        <f t="shared" si="141"/>
        <v>-3.9140198909206622E-3</v>
      </c>
      <c r="Z1480">
        <f t="shared" si="141"/>
        <v>2.7021810461300101E-3</v>
      </c>
      <c r="AE1480">
        <f>W1480-mu-theta*AE1479</f>
        <v>-2.7471904452961603E-4</v>
      </c>
      <c r="AF1480">
        <f t="shared" si="137"/>
        <v>-2.2190367011869928E-3</v>
      </c>
      <c r="AG1480">
        <f t="shared" si="137"/>
        <v>-3.8666836228925254E-3</v>
      </c>
      <c r="AK1480">
        <f t="shared" ref="AK1480:AK1517" si="142">POWER(AE1480,2)</f>
        <v>7.5470553427265158E-8</v>
      </c>
    </row>
    <row r="1481" spans="1:37" x14ac:dyDescent="0.3">
      <c r="A1481" s="1">
        <v>45999</v>
      </c>
      <c r="B1481">
        <v>1.1635</v>
      </c>
      <c r="C1481">
        <v>1.3319000000000001</v>
      </c>
      <c r="D1481">
        <v>155.88999999999999</v>
      </c>
      <c r="G1481">
        <v>1.1635</v>
      </c>
      <c r="H1481">
        <f t="shared" si="139"/>
        <v>1.1639999999999999</v>
      </c>
      <c r="I1481">
        <f t="shared" si="139"/>
        <v>1.1642999999999999</v>
      </c>
      <c r="J1481">
        <f t="shared" si="139"/>
        <v>1.1668000000000001</v>
      </c>
      <c r="L1481">
        <f t="shared" si="138"/>
        <v>-4.9999999999994493E-4</v>
      </c>
      <c r="W1481">
        <f t="shared" si="140"/>
        <v>4.7048208301107876E-3</v>
      </c>
      <c r="X1481">
        <f t="shared" si="141"/>
        <v>5.1586278050028426E-4</v>
      </c>
      <c r="Y1481">
        <f t="shared" si="141"/>
        <v>-1.0306622004637759E-3</v>
      </c>
      <c r="Z1481">
        <f t="shared" si="141"/>
        <v>-3.9140198909206622E-3</v>
      </c>
      <c r="AE1481">
        <f>W1481-mu-theta*AE1480</f>
        <v>4.3836571266763127E-3</v>
      </c>
      <c r="AF1481">
        <f t="shared" ref="AF1481:AG1517" si="143">AE1480</f>
        <v>-2.7471904452961603E-4</v>
      </c>
      <c r="AG1481">
        <f t="shared" si="143"/>
        <v>-2.2190367011869928E-3</v>
      </c>
      <c r="AK1481">
        <f t="shared" si="142"/>
        <v>1.9216449804260025E-5</v>
      </c>
    </row>
    <row r="1482" spans="1:37" x14ac:dyDescent="0.3">
      <c r="A1482" s="1">
        <v>46000</v>
      </c>
      <c r="B1482">
        <v>1.1625000000000001</v>
      </c>
      <c r="C1482">
        <v>1.3301000000000001</v>
      </c>
      <c r="D1482">
        <v>156.84</v>
      </c>
      <c r="G1482">
        <v>1.1625000000000001</v>
      </c>
      <c r="H1482">
        <f t="shared" si="139"/>
        <v>1.1635</v>
      </c>
      <c r="I1482">
        <f t="shared" si="139"/>
        <v>1.1639999999999999</v>
      </c>
      <c r="J1482">
        <f t="shared" si="139"/>
        <v>1.1642999999999999</v>
      </c>
      <c r="L1482">
        <f t="shared" si="138"/>
        <v>-9.9999999999988987E-4</v>
      </c>
      <c r="W1482">
        <f t="shared" si="140"/>
        <v>6.0940406697031057E-3</v>
      </c>
      <c r="X1482">
        <f t="shared" si="141"/>
        <v>4.7048208301107876E-3</v>
      </c>
      <c r="Y1482">
        <f t="shared" si="141"/>
        <v>5.1586278050028426E-4</v>
      </c>
      <c r="Z1482">
        <f t="shared" si="141"/>
        <v>-1.0306622004637759E-3</v>
      </c>
      <c r="AE1482">
        <f>W1482-mu-theta*AE1481</f>
        <v>6.8975523424783724E-3</v>
      </c>
      <c r="AF1482">
        <f t="shared" si="143"/>
        <v>4.3836571266763127E-3</v>
      </c>
      <c r="AG1482">
        <f t="shared" si="143"/>
        <v>-2.7471904452961603E-4</v>
      </c>
      <c r="AK1482">
        <f t="shared" si="142"/>
        <v>4.7576228317228886E-5</v>
      </c>
    </row>
    <row r="1483" spans="1:37" x14ac:dyDescent="0.3">
      <c r="A1483" s="1">
        <v>46001</v>
      </c>
      <c r="B1483">
        <v>1.1692</v>
      </c>
      <c r="C1483">
        <v>1.3380000000000001</v>
      </c>
      <c r="D1483">
        <v>156.01</v>
      </c>
      <c r="G1483">
        <v>1.1692</v>
      </c>
      <c r="H1483">
        <f t="shared" si="139"/>
        <v>1.1625000000000001</v>
      </c>
      <c r="I1483">
        <f t="shared" si="139"/>
        <v>1.1635</v>
      </c>
      <c r="J1483">
        <f t="shared" si="139"/>
        <v>1.1639999999999999</v>
      </c>
      <c r="L1483">
        <f t="shared" si="138"/>
        <v>6.6999999999999282E-3</v>
      </c>
      <c r="W1483">
        <f t="shared" si="140"/>
        <v>-5.2920173425147444E-3</v>
      </c>
      <c r="X1483">
        <f t="shared" si="141"/>
        <v>6.0940406697031057E-3</v>
      </c>
      <c r="Y1483">
        <f t="shared" si="141"/>
        <v>4.7048208301107876E-3</v>
      </c>
      <c r="Z1483">
        <f t="shared" si="141"/>
        <v>5.1586278050028426E-4</v>
      </c>
      <c r="AE1483">
        <f>W1483-mu-theta*AE1482</f>
        <v>-3.8815739957668849E-3</v>
      </c>
      <c r="AF1483">
        <f t="shared" si="143"/>
        <v>6.8975523424783724E-3</v>
      </c>
      <c r="AG1483">
        <f t="shared" si="143"/>
        <v>4.3836571266763127E-3</v>
      </c>
      <c r="AK1483">
        <f t="shared" si="142"/>
        <v>1.5066616684613701E-5</v>
      </c>
    </row>
    <row r="1484" spans="1:37" x14ac:dyDescent="0.3">
      <c r="A1484" s="1">
        <v>46002</v>
      </c>
      <c r="B1484">
        <v>1.1737</v>
      </c>
      <c r="C1484">
        <v>1.3386</v>
      </c>
      <c r="D1484">
        <v>155.61000000000001</v>
      </c>
      <c r="G1484">
        <v>1.1737</v>
      </c>
      <c r="H1484">
        <f t="shared" si="139"/>
        <v>1.1692</v>
      </c>
      <c r="I1484">
        <f t="shared" si="139"/>
        <v>1.1625000000000001</v>
      </c>
      <c r="J1484">
        <f t="shared" si="139"/>
        <v>1.1635</v>
      </c>
      <c r="L1484">
        <f t="shared" si="138"/>
        <v>4.4999999999999485E-3</v>
      </c>
      <c r="W1484">
        <f t="shared" si="140"/>
        <v>-2.5639382090890152E-3</v>
      </c>
      <c r="X1484">
        <f t="shared" si="141"/>
        <v>-5.2920173425147444E-3</v>
      </c>
      <c r="Y1484">
        <f t="shared" si="141"/>
        <v>6.0940406697031057E-3</v>
      </c>
      <c r="Z1484">
        <f t="shared" si="141"/>
        <v>4.7048208301107876E-3</v>
      </c>
      <c r="AE1484">
        <f>W1484-mu-theta*AE1483</f>
        <v>-3.7559077040975556E-3</v>
      </c>
      <c r="AF1484">
        <f t="shared" si="143"/>
        <v>-3.8815739957668849E-3</v>
      </c>
      <c r="AG1484">
        <f t="shared" si="143"/>
        <v>6.8975523424783724E-3</v>
      </c>
      <c r="AK1484">
        <f t="shared" si="142"/>
        <v>1.4106842681699372E-5</v>
      </c>
    </row>
    <row r="1485" spans="1:37" x14ac:dyDescent="0.3">
      <c r="A1485" s="1">
        <v>46005</v>
      </c>
      <c r="B1485">
        <v>1.1733</v>
      </c>
      <c r="C1485">
        <v>1.337</v>
      </c>
      <c r="D1485">
        <v>155.85</v>
      </c>
      <c r="G1485">
        <v>1.1733</v>
      </c>
      <c r="H1485">
        <f t="shared" si="139"/>
        <v>1.1737</v>
      </c>
      <c r="I1485">
        <f t="shared" si="139"/>
        <v>1.1692</v>
      </c>
      <c r="J1485">
        <f t="shared" si="139"/>
        <v>1.1625000000000001</v>
      </c>
      <c r="L1485">
        <f t="shared" si="138"/>
        <v>-3.9999999999995595E-4</v>
      </c>
      <c r="W1485">
        <f t="shared" si="140"/>
        <v>1.5423173317908917E-3</v>
      </c>
      <c r="X1485">
        <f t="shared" si="141"/>
        <v>-2.5639382090890152E-3</v>
      </c>
      <c r="Y1485">
        <f t="shared" si="141"/>
        <v>-5.2920173425147444E-3</v>
      </c>
      <c r="Z1485">
        <f t="shared" si="141"/>
        <v>6.0940406697031057E-3</v>
      </c>
      <c r="AE1485">
        <f>W1485-mu-theta*AE1484</f>
        <v>3.8068754715904647E-4</v>
      </c>
      <c r="AF1485">
        <f t="shared" si="143"/>
        <v>-3.7559077040975556E-3</v>
      </c>
      <c r="AG1485">
        <f t="shared" si="143"/>
        <v>-3.8815739957668849E-3</v>
      </c>
      <c r="AK1485">
        <f t="shared" si="142"/>
        <v>1.4492300856197124E-7</v>
      </c>
    </row>
    <row r="1486" spans="1:37" x14ac:dyDescent="0.3">
      <c r="A1486" s="1">
        <v>46006</v>
      </c>
      <c r="B1486">
        <v>1.1752</v>
      </c>
      <c r="C1486">
        <v>1.3371</v>
      </c>
      <c r="D1486">
        <v>155.19</v>
      </c>
      <c r="G1486">
        <v>1.1752</v>
      </c>
      <c r="H1486">
        <f t="shared" si="139"/>
        <v>1.1733</v>
      </c>
      <c r="I1486">
        <f t="shared" si="139"/>
        <v>1.1737</v>
      </c>
      <c r="J1486">
        <f t="shared" si="139"/>
        <v>1.1692</v>
      </c>
      <c r="L1486">
        <f t="shared" si="138"/>
        <v>1.9000000000000128E-3</v>
      </c>
      <c r="W1486">
        <f t="shared" si="140"/>
        <v>-4.2348411934552237E-3</v>
      </c>
      <c r="X1486">
        <f t="shared" si="141"/>
        <v>1.5423173317908917E-3</v>
      </c>
      <c r="Y1486">
        <f t="shared" si="141"/>
        <v>-2.5639382090890152E-3</v>
      </c>
      <c r="Z1486">
        <f t="shared" si="141"/>
        <v>-5.2920173425147444E-3</v>
      </c>
      <c r="AE1486">
        <f>W1486-mu-theta*AE1485</f>
        <v>-4.3977695745398135E-3</v>
      </c>
      <c r="AF1486">
        <f t="shared" si="143"/>
        <v>3.8068754715904647E-4</v>
      </c>
      <c r="AG1486">
        <f t="shared" si="143"/>
        <v>-3.7559077040975556E-3</v>
      </c>
      <c r="AK1486">
        <f t="shared" si="142"/>
        <v>1.9340377230748091E-5</v>
      </c>
    </row>
    <row r="1487" spans="1:37" x14ac:dyDescent="0.3">
      <c r="A1487" s="1">
        <v>46007</v>
      </c>
      <c r="B1487">
        <v>1.1746000000000001</v>
      </c>
      <c r="C1487">
        <v>1.3422000000000001</v>
      </c>
      <c r="D1487">
        <v>154.68</v>
      </c>
      <c r="G1487">
        <v>1.1746000000000001</v>
      </c>
      <c r="H1487">
        <f t="shared" si="139"/>
        <v>1.1752</v>
      </c>
      <c r="I1487">
        <f t="shared" si="139"/>
        <v>1.1733</v>
      </c>
      <c r="J1487">
        <f t="shared" si="139"/>
        <v>1.1737</v>
      </c>
      <c r="L1487">
        <f t="shared" si="138"/>
        <v>-5.9999999999993392E-4</v>
      </c>
      <c r="W1487">
        <f t="shared" si="140"/>
        <v>-3.2862942199883426E-3</v>
      </c>
      <c r="X1487">
        <f t="shared" si="141"/>
        <v>-4.2348411934552237E-3</v>
      </c>
      <c r="Y1487">
        <f t="shared" si="141"/>
        <v>1.5423173317908917E-3</v>
      </c>
      <c r="Z1487">
        <f t="shared" si="141"/>
        <v>-2.5639382090890152E-3</v>
      </c>
      <c r="AE1487">
        <f>W1487-mu-theta*AE1486</f>
        <v>-4.6028892144021746E-3</v>
      </c>
      <c r="AF1487">
        <f t="shared" si="143"/>
        <v>-4.3977695745398135E-3</v>
      </c>
      <c r="AG1487">
        <f t="shared" si="143"/>
        <v>3.8068754715904647E-4</v>
      </c>
      <c r="AK1487">
        <f t="shared" si="142"/>
        <v>2.1186589120059868E-5</v>
      </c>
    </row>
    <row r="1488" spans="1:37" x14ac:dyDescent="0.3">
      <c r="A1488" s="1">
        <v>46008</v>
      </c>
      <c r="B1488">
        <v>1.1738999999999999</v>
      </c>
      <c r="C1488">
        <v>1.3372999999999999</v>
      </c>
      <c r="D1488">
        <v>155.65</v>
      </c>
      <c r="G1488">
        <v>1.1738999999999999</v>
      </c>
      <c r="H1488">
        <f t="shared" si="139"/>
        <v>1.1746000000000001</v>
      </c>
      <c r="I1488">
        <f t="shared" si="139"/>
        <v>1.1752</v>
      </c>
      <c r="J1488">
        <f t="shared" si="139"/>
        <v>1.1733</v>
      </c>
      <c r="L1488">
        <f t="shared" si="138"/>
        <v>-7.0000000000014495E-4</v>
      </c>
      <c r="W1488">
        <f t="shared" si="140"/>
        <v>6.2710111197310497E-3</v>
      </c>
      <c r="X1488">
        <f t="shared" si="141"/>
        <v>-3.2862942199883426E-3</v>
      </c>
      <c r="Y1488">
        <f t="shared" si="141"/>
        <v>-4.2348411934552237E-3</v>
      </c>
      <c r="Z1488">
        <f t="shared" si="141"/>
        <v>1.5423173317908917E-3</v>
      </c>
      <c r="AE1488">
        <f>W1488-mu-theta*AE1487</f>
        <v>4.9048939313913274E-3</v>
      </c>
      <c r="AF1488">
        <f t="shared" si="143"/>
        <v>-4.6028892144021746E-3</v>
      </c>
      <c r="AG1488">
        <f t="shared" si="143"/>
        <v>-4.3977695745398135E-3</v>
      </c>
      <c r="AK1488">
        <f t="shared" si="142"/>
        <v>2.4057984478199473E-5</v>
      </c>
    </row>
    <row r="1489" spans="1:37" x14ac:dyDescent="0.3">
      <c r="A1489" s="1">
        <v>46009</v>
      </c>
      <c r="B1489">
        <v>1.1718999999999999</v>
      </c>
      <c r="C1489">
        <v>1.3378000000000001</v>
      </c>
      <c r="D1489">
        <v>155.5</v>
      </c>
      <c r="G1489">
        <v>1.1718999999999999</v>
      </c>
      <c r="H1489">
        <f t="shared" si="139"/>
        <v>1.1738999999999999</v>
      </c>
      <c r="I1489">
        <f t="shared" si="139"/>
        <v>1.1746000000000001</v>
      </c>
      <c r="J1489">
        <f t="shared" si="139"/>
        <v>1.1752</v>
      </c>
      <c r="L1489">
        <f t="shared" si="138"/>
        <v>-2.0000000000000018E-3</v>
      </c>
      <c r="W1489">
        <f t="shared" si="140"/>
        <v>-9.6370061034375639E-4</v>
      </c>
      <c r="X1489">
        <f t="shared" si="141"/>
        <v>6.2710111197310497E-3</v>
      </c>
      <c r="Y1489">
        <f t="shared" si="141"/>
        <v>-3.2862942199883426E-3</v>
      </c>
      <c r="Z1489">
        <f t="shared" si="141"/>
        <v>-4.2348411934552237E-3</v>
      </c>
      <c r="AE1489">
        <f>W1489-mu-theta*AE1488</f>
        <v>-3.4346331069524212E-5</v>
      </c>
      <c r="AF1489">
        <f t="shared" si="143"/>
        <v>4.9048939313913274E-3</v>
      </c>
      <c r="AG1489">
        <f t="shared" si="143"/>
        <v>-4.6028892144021746E-3</v>
      </c>
      <c r="AK1489">
        <f t="shared" si="142"/>
        <v>1.1796704579373642E-9</v>
      </c>
    </row>
    <row r="1490" spans="1:37" x14ac:dyDescent="0.3">
      <c r="A1490" s="1">
        <v>46012</v>
      </c>
      <c r="B1490">
        <v>1.1705000000000001</v>
      </c>
      <c r="C1490">
        <v>1.3367</v>
      </c>
      <c r="D1490">
        <v>157.63</v>
      </c>
      <c r="G1490">
        <v>1.1705000000000001</v>
      </c>
      <c r="H1490">
        <f t="shared" si="139"/>
        <v>1.1718999999999999</v>
      </c>
      <c r="I1490">
        <f t="shared" si="139"/>
        <v>1.1738999999999999</v>
      </c>
      <c r="J1490">
        <f t="shared" si="139"/>
        <v>1.1746000000000001</v>
      </c>
      <c r="L1490">
        <f t="shared" si="138"/>
        <v>-1.3999999999998458E-3</v>
      </c>
      <c r="W1490">
        <f t="shared" si="140"/>
        <v>1.3697749196141451E-2</v>
      </c>
      <c r="X1490">
        <f t="shared" si="141"/>
        <v>-9.6370061034375639E-4</v>
      </c>
      <c r="Y1490">
        <f t="shared" si="141"/>
        <v>6.2710111197310497E-3</v>
      </c>
      <c r="Z1490">
        <f t="shared" si="141"/>
        <v>-3.2862942199883426E-3</v>
      </c>
      <c r="AE1490">
        <f>W1490-mu-theta*AE1489</f>
        <v>1.3434618863565326E-2</v>
      </c>
      <c r="AF1490">
        <f t="shared" si="143"/>
        <v>-3.4346331069524212E-5</v>
      </c>
      <c r="AG1490">
        <f t="shared" si="143"/>
        <v>4.9048939313913274E-3</v>
      </c>
      <c r="AK1490">
        <f t="shared" si="142"/>
        <v>1.8048898400926529E-4</v>
      </c>
    </row>
    <row r="1491" spans="1:37" x14ac:dyDescent="0.3">
      <c r="A1491" s="1">
        <v>46013</v>
      </c>
      <c r="B1491">
        <v>1.1755</v>
      </c>
      <c r="C1491">
        <v>1.3458000000000001</v>
      </c>
      <c r="D1491">
        <v>157.07</v>
      </c>
      <c r="G1491">
        <v>1.1755</v>
      </c>
      <c r="H1491">
        <f t="shared" si="139"/>
        <v>1.1705000000000001</v>
      </c>
      <c r="I1491">
        <f t="shared" si="139"/>
        <v>1.1718999999999999</v>
      </c>
      <c r="J1491">
        <f t="shared" si="139"/>
        <v>1.1738999999999999</v>
      </c>
      <c r="L1491">
        <f t="shared" si="138"/>
        <v>4.9999999999998934E-3</v>
      </c>
      <c r="W1491">
        <f t="shared" si="140"/>
        <v>-3.5526232316183612E-3</v>
      </c>
      <c r="X1491">
        <f t="shared" si="141"/>
        <v>1.3697749196141451E-2</v>
      </c>
      <c r="Y1491">
        <f t="shared" si="141"/>
        <v>-9.6370061034375639E-4</v>
      </c>
      <c r="Z1491">
        <f t="shared" si="141"/>
        <v>6.2710111197310497E-3</v>
      </c>
      <c r="AE1491">
        <f>W1491-mu-theta*AE1490</f>
        <v>-5.6393083869947904E-4</v>
      </c>
      <c r="AF1491">
        <f t="shared" si="143"/>
        <v>1.3434618863565326E-2</v>
      </c>
      <c r="AG1491">
        <f t="shared" si="143"/>
        <v>-3.4346331069524212E-5</v>
      </c>
      <c r="AK1491">
        <f t="shared" si="142"/>
        <v>3.1801799083629786E-7</v>
      </c>
    </row>
    <row r="1492" spans="1:37" x14ac:dyDescent="0.3">
      <c r="A1492" s="1">
        <v>46014</v>
      </c>
      <c r="B1492">
        <v>1.1792</v>
      </c>
      <c r="C1492">
        <v>1.3495999999999999</v>
      </c>
      <c r="D1492">
        <v>156.26</v>
      </c>
      <c r="G1492">
        <v>1.1792</v>
      </c>
      <c r="H1492">
        <f t="shared" si="139"/>
        <v>1.1755</v>
      </c>
      <c r="I1492">
        <f t="shared" si="139"/>
        <v>1.1705000000000001</v>
      </c>
      <c r="J1492">
        <f t="shared" si="139"/>
        <v>1.1718999999999999</v>
      </c>
      <c r="L1492">
        <f t="shared" si="138"/>
        <v>3.7000000000000366E-3</v>
      </c>
      <c r="W1492">
        <f t="shared" si="140"/>
        <v>-5.1569363977844417E-3</v>
      </c>
      <c r="X1492">
        <f t="shared" si="141"/>
        <v>-3.5526232316183612E-3</v>
      </c>
      <c r="Y1492">
        <f t="shared" si="141"/>
        <v>1.3697749196141451E-2</v>
      </c>
      <c r="Z1492">
        <f t="shared" si="141"/>
        <v>-9.6370061034375639E-4</v>
      </c>
      <c r="AE1492">
        <f>W1492-mu-theta*AE1491</f>
        <v>-5.547924729256218E-3</v>
      </c>
      <c r="AF1492">
        <f t="shared" si="143"/>
        <v>-5.6393083869947904E-4</v>
      </c>
      <c r="AG1492">
        <f t="shared" si="143"/>
        <v>1.3434618863565326E-2</v>
      </c>
      <c r="AK1492">
        <f t="shared" si="142"/>
        <v>3.077946880149268E-5</v>
      </c>
    </row>
    <row r="1493" spans="1:37" x14ac:dyDescent="0.3">
      <c r="A1493" s="1">
        <v>46015</v>
      </c>
      <c r="B1493">
        <v>1.1781999999999999</v>
      </c>
      <c r="C1493">
        <v>1.3502000000000001</v>
      </c>
      <c r="D1493">
        <v>155.83000000000001</v>
      </c>
      <c r="G1493">
        <v>1.1781999999999999</v>
      </c>
      <c r="H1493">
        <f t="shared" si="139"/>
        <v>1.1792</v>
      </c>
      <c r="I1493">
        <f t="shared" si="139"/>
        <v>1.1755</v>
      </c>
      <c r="J1493">
        <f t="shared" si="139"/>
        <v>1.1705000000000001</v>
      </c>
      <c r="L1493">
        <f t="shared" si="138"/>
        <v>-1.0000000000001119E-3</v>
      </c>
      <c r="W1493">
        <f t="shared" si="140"/>
        <v>-2.7518238832713324E-3</v>
      </c>
      <c r="X1493">
        <f t="shared" si="141"/>
        <v>-5.1569363977844417E-3</v>
      </c>
      <c r="Y1493">
        <f t="shared" si="141"/>
        <v>-3.5526232316183612E-3</v>
      </c>
      <c r="Z1493">
        <f t="shared" si="141"/>
        <v>1.3697749196141451E-2</v>
      </c>
      <c r="AE1493">
        <f>W1493-mu-theta*AE1492</f>
        <v>-4.3461017297755271E-3</v>
      </c>
      <c r="AF1493">
        <f t="shared" si="143"/>
        <v>-5.547924729256218E-3</v>
      </c>
      <c r="AG1493">
        <f t="shared" si="143"/>
        <v>-5.6393083869947904E-4</v>
      </c>
      <c r="AK1493">
        <f t="shared" si="142"/>
        <v>1.888860024555783E-5</v>
      </c>
    </row>
    <row r="1494" spans="1:37" x14ac:dyDescent="0.3">
      <c r="A1494" s="1">
        <v>46016</v>
      </c>
      <c r="B1494">
        <v>1.1777</v>
      </c>
      <c r="C1494">
        <v>1.3515999999999999</v>
      </c>
      <c r="D1494">
        <v>155.893</v>
      </c>
      <c r="G1494">
        <v>1.1777</v>
      </c>
      <c r="H1494">
        <f t="shared" si="139"/>
        <v>1.1781999999999999</v>
      </c>
      <c r="I1494">
        <f t="shared" si="139"/>
        <v>1.1792</v>
      </c>
      <c r="J1494">
        <f t="shared" si="139"/>
        <v>1.1755</v>
      </c>
      <c r="L1494">
        <f t="shared" si="138"/>
        <v>-4.9999999999994493E-4</v>
      </c>
      <c r="W1494">
        <f t="shared" si="140"/>
        <v>4.0428672271057033E-4</v>
      </c>
      <c r="X1494">
        <f t="shared" si="141"/>
        <v>-2.7518238832713324E-3</v>
      </c>
      <c r="Y1494">
        <f t="shared" si="141"/>
        <v>-5.1569363977844417E-3</v>
      </c>
      <c r="Z1494">
        <f t="shared" si="141"/>
        <v>-3.5526232316183612E-3</v>
      </c>
      <c r="AE1494">
        <f>W1494-mu-theta*AE1493</f>
        <v>-8.9983406382211097E-4</v>
      </c>
      <c r="AF1494">
        <f t="shared" si="143"/>
        <v>-4.3461017297755271E-3</v>
      </c>
      <c r="AG1494">
        <f t="shared" si="143"/>
        <v>-5.547924729256218E-3</v>
      </c>
      <c r="AK1494">
        <f t="shared" si="142"/>
        <v>8.0970134241461485E-7</v>
      </c>
    </row>
    <row r="1495" spans="1:37" x14ac:dyDescent="0.3">
      <c r="A1495" s="1">
        <v>46019</v>
      </c>
      <c r="B1495">
        <v>1.1763999999999999</v>
      </c>
      <c r="C1495">
        <v>1.3476999999999999</v>
      </c>
      <c r="D1495">
        <v>156.41</v>
      </c>
      <c r="G1495">
        <v>1.1763999999999999</v>
      </c>
      <c r="H1495">
        <f t="shared" si="139"/>
        <v>1.1777</v>
      </c>
      <c r="I1495">
        <f t="shared" si="139"/>
        <v>1.1781999999999999</v>
      </c>
      <c r="J1495">
        <f t="shared" si="139"/>
        <v>1.1792</v>
      </c>
      <c r="L1495">
        <f t="shared" si="138"/>
        <v>-1.3000000000000789E-3</v>
      </c>
      <c r="W1495">
        <f t="shared" si="140"/>
        <v>3.3163772587607903E-3</v>
      </c>
      <c r="X1495">
        <f t="shared" si="141"/>
        <v>4.0428672271057033E-4</v>
      </c>
      <c r="Y1495">
        <f t="shared" si="141"/>
        <v>-2.7518238832713324E-3</v>
      </c>
      <c r="Z1495">
        <f t="shared" si="141"/>
        <v>-5.1569363977844417E-3</v>
      </c>
      <c r="AE1495">
        <f>W1495-mu-theta*AE1494</f>
        <v>2.8442915508212255E-3</v>
      </c>
      <c r="AF1495">
        <f t="shared" si="143"/>
        <v>-8.9983406382211097E-4</v>
      </c>
      <c r="AG1495">
        <f t="shared" si="143"/>
        <v>-4.3461017297755271E-3</v>
      </c>
      <c r="AK1495">
        <f t="shared" si="142"/>
        <v>8.0899944260730129E-6</v>
      </c>
    </row>
    <row r="1496" spans="1:37" x14ac:dyDescent="0.3">
      <c r="A1496" s="1">
        <v>46020</v>
      </c>
      <c r="B1496">
        <v>1.1767000000000001</v>
      </c>
      <c r="C1496">
        <v>1.3505</v>
      </c>
      <c r="D1496">
        <v>155.99</v>
      </c>
      <c r="G1496">
        <v>1.1767000000000001</v>
      </c>
      <c r="H1496">
        <f t="shared" si="139"/>
        <v>1.1763999999999999</v>
      </c>
      <c r="I1496">
        <f t="shared" si="139"/>
        <v>1.1777</v>
      </c>
      <c r="J1496">
        <f t="shared" si="139"/>
        <v>1.1781999999999999</v>
      </c>
      <c r="L1496">
        <f t="shared" si="138"/>
        <v>3.00000000000189E-4</v>
      </c>
      <c r="W1496">
        <f t="shared" si="140"/>
        <v>-2.6852503036889426E-3</v>
      </c>
      <c r="X1496">
        <f t="shared" si="141"/>
        <v>3.3163772587607903E-3</v>
      </c>
      <c r="Y1496">
        <f t="shared" si="141"/>
        <v>4.0428672271057033E-4</v>
      </c>
      <c r="Z1496">
        <f t="shared" si="141"/>
        <v>-2.7518238832713324E-3</v>
      </c>
      <c r="AE1496">
        <f>W1496-mu-theta*AE1495</f>
        <v>-2.2533888571986348E-3</v>
      </c>
      <c r="AF1496">
        <f t="shared" si="143"/>
        <v>2.8442915508212255E-3</v>
      </c>
      <c r="AG1496">
        <f t="shared" si="143"/>
        <v>-8.9983406382211097E-4</v>
      </c>
      <c r="AK1496">
        <f t="shared" si="142"/>
        <v>5.0777613417469697E-6</v>
      </c>
    </row>
    <row r="1497" spans="1:37" x14ac:dyDescent="0.3">
      <c r="A1497" s="1">
        <v>46021</v>
      </c>
      <c r="B1497">
        <v>1.1745000000000001</v>
      </c>
      <c r="C1497">
        <v>1.3464</v>
      </c>
      <c r="D1497">
        <v>156.30000000000001</v>
      </c>
      <c r="G1497">
        <v>1.1745000000000001</v>
      </c>
      <c r="H1497">
        <f t="shared" si="139"/>
        <v>1.1767000000000001</v>
      </c>
      <c r="I1497">
        <f t="shared" si="139"/>
        <v>1.1763999999999999</v>
      </c>
      <c r="J1497">
        <f t="shared" si="139"/>
        <v>1.1777</v>
      </c>
      <c r="L1497">
        <f t="shared" si="138"/>
        <v>-2.1999999999999797E-3</v>
      </c>
      <c r="W1497">
        <f t="shared" si="140"/>
        <v>1.9873068786460816E-3</v>
      </c>
      <c r="X1497">
        <f t="shared" si="141"/>
        <v>-2.6852503036889426E-3</v>
      </c>
      <c r="Y1497">
        <f t="shared" si="141"/>
        <v>3.3163772587607903E-3</v>
      </c>
      <c r="Z1497">
        <f t="shared" si="141"/>
        <v>4.0428672271057033E-4</v>
      </c>
      <c r="AE1497">
        <f>W1497-mu-theta*AE1496</f>
        <v>1.1884313859160892E-3</v>
      </c>
      <c r="AF1497">
        <f t="shared" si="143"/>
        <v>-2.2533888571986348E-3</v>
      </c>
      <c r="AG1497">
        <f t="shared" si="143"/>
        <v>2.8442915508212255E-3</v>
      </c>
      <c r="AK1497">
        <f t="shared" si="142"/>
        <v>1.4123691590304365E-6</v>
      </c>
    </row>
    <row r="1498" spans="1:37" x14ac:dyDescent="0.3">
      <c r="A1498" s="1">
        <v>46022</v>
      </c>
      <c r="B1498">
        <v>1.1739999999999999</v>
      </c>
      <c r="C1498">
        <v>1.3471</v>
      </c>
      <c r="D1498">
        <v>156.66</v>
      </c>
      <c r="G1498">
        <v>1.1739999999999999</v>
      </c>
      <c r="H1498">
        <f t="shared" si="139"/>
        <v>1.1745000000000001</v>
      </c>
      <c r="I1498">
        <f t="shared" si="139"/>
        <v>1.1767000000000001</v>
      </c>
      <c r="J1498">
        <f t="shared" si="139"/>
        <v>1.1763999999999999</v>
      </c>
      <c r="L1498">
        <f t="shared" si="138"/>
        <v>-5.0000000000016698E-4</v>
      </c>
      <c r="W1498">
        <f t="shared" si="140"/>
        <v>2.3032629558540321E-3</v>
      </c>
      <c r="X1498">
        <f t="shared" si="141"/>
        <v>1.9873068786460816E-3</v>
      </c>
      <c r="Y1498">
        <f t="shared" si="141"/>
        <v>-2.6852503036889426E-3</v>
      </c>
      <c r="Z1498">
        <f t="shared" si="141"/>
        <v>3.3163772587607903E-3</v>
      </c>
      <c r="AE1498">
        <f>W1498-mu-theta*AE1497</f>
        <v>2.3353487969678191E-3</v>
      </c>
      <c r="AF1498">
        <f t="shared" si="143"/>
        <v>1.1884313859160892E-3</v>
      </c>
      <c r="AG1498">
        <f t="shared" si="143"/>
        <v>-2.2533888571986348E-3</v>
      </c>
      <c r="AK1498">
        <f t="shared" si="142"/>
        <v>5.4538540034990402E-6</v>
      </c>
    </row>
    <row r="1499" spans="1:37" x14ac:dyDescent="0.3">
      <c r="A1499" s="1">
        <v>46023</v>
      </c>
      <c r="B1499">
        <v>1.1747000000000001</v>
      </c>
      <c r="C1499">
        <v>1.3464</v>
      </c>
      <c r="D1499">
        <v>156.66</v>
      </c>
      <c r="G1499">
        <v>1.1747000000000001</v>
      </c>
      <c r="H1499">
        <f t="shared" si="139"/>
        <v>1.1739999999999999</v>
      </c>
      <c r="I1499">
        <f t="shared" si="139"/>
        <v>1.1745000000000001</v>
      </c>
      <c r="J1499">
        <f t="shared" si="139"/>
        <v>1.1767000000000001</v>
      </c>
      <c r="L1499">
        <f t="shared" si="138"/>
        <v>7.0000000000014495E-4</v>
      </c>
      <c r="W1499">
        <f t="shared" si="140"/>
        <v>0</v>
      </c>
      <c r="X1499">
        <f t="shared" si="141"/>
        <v>2.3032629558540321E-3</v>
      </c>
      <c r="Y1499">
        <f t="shared" si="141"/>
        <v>1.9873068786460816E-3</v>
      </c>
      <c r="Z1499">
        <f t="shared" si="141"/>
        <v>-2.6852503036889426E-3</v>
      </c>
      <c r="AE1499">
        <f>W1499-mu-theta*AE1498</f>
        <v>3.0898700223710274E-4</v>
      </c>
      <c r="AF1499">
        <f t="shared" si="143"/>
        <v>2.3353487969678191E-3</v>
      </c>
      <c r="AG1499">
        <f t="shared" si="143"/>
        <v>1.1884313859160892E-3</v>
      </c>
      <c r="AK1499">
        <f t="shared" si="142"/>
        <v>9.5472967551471332E-8</v>
      </c>
    </row>
    <row r="1500" spans="1:37" x14ac:dyDescent="0.3">
      <c r="A1500" s="1">
        <v>46026</v>
      </c>
      <c r="B1500">
        <v>1.1719999999999999</v>
      </c>
      <c r="C1500">
        <v>1.3452999999999999</v>
      </c>
      <c r="D1500">
        <v>156.69999999999999</v>
      </c>
      <c r="G1500">
        <v>1.1719999999999999</v>
      </c>
      <c r="H1500">
        <f t="shared" si="139"/>
        <v>1.1747000000000001</v>
      </c>
      <c r="I1500">
        <f t="shared" si="139"/>
        <v>1.1739999999999999</v>
      </c>
      <c r="J1500">
        <f t="shared" si="139"/>
        <v>1.1745000000000001</v>
      </c>
      <c r="L1500">
        <f t="shared" si="138"/>
        <v>-2.7000000000001467E-3</v>
      </c>
      <c r="W1500">
        <f t="shared" si="140"/>
        <v>2.5533001404309997E-4</v>
      </c>
      <c r="X1500">
        <f t="shared" si="141"/>
        <v>0</v>
      </c>
      <c r="Y1500">
        <f t="shared" si="141"/>
        <v>2.3032629558540321E-3</v>
      </c>
      <c r="Z1500">
        <f t="shared" si="141"/>
        <v>1.9873068786460816E-3</v>
      </c>
      <c r="AE1500">
        <f>W1500-mu-theta*AE1499</f>
        <v>7.5090914723049165E-5</v>
      </c>
      <c r="AF1500">
        <f t="shared" si="143"/>
        <v>3.0898700223710274E-4</v>
      </c>
      <c r="AG1500">
        <f t="shared" si="143"/>
        <v>2.3353487969678191E-3</v>
      </c>
      <c r="AK1500">
        <f t="shared" si="142"/>
        <v>5.6386454739442421E-9</v>
      </c>
    </row>
    <row r="1501" spans="1:37" x14ac:dyDescent="0.3">
      <c r="A1501" s="1">
        <v>46027</v>
      </c>
      <c r="B1501">
        <v>1.1720999999999999</v>
      </c>
      <c r="C1501">
        <v>1.3540000000000001</v>
      </c>
      <c r="D1501">
        <v>156.35</v>
      </c>
      <c r="G1501">
        <v>1.1720999999999999</v>
      </c>
      <c r="H1501">
        <f t="shared" si="139"/>
        <v>1.1719999999999999</v>
      </c>
      <c r="I1501">
        <f t="shared" si="139"/>
        <v>1.1747000000000001</v>
      </c>
      <c r="J1501">
        <f t="shared" si="139"/>
        <v>1.1739999999999999</v>
      </c>
      <c r="L1501">
        <f t="shared" si="138"/>
        <v>9.9999999999988987E-5</v>
      </c>
      <c r="W1501">
        <f t="shared" si="140"/>
        <v>-2.2335673261007936E-3</v>
      </c>
      <c r="X1501">
        <f t="shared" si="141"/>
        <v>2.5533001404309997E-4</v>
      </c>
      <c r="Y1501">
        <f t="shared" si="141"/>
        <v>0</v>
      </c>
      <c r="Z1501">
        <f t="shared" si="141"/>
        <v>2.3032629558540321E-3</v>
      </c>
      <c r="AE1501">
        <f>W1501-mu-theta*AE1500</f>
        <v>-2.470276139447987E-3</v>
      </c>
      <c r="AF1501">
        <f t="shared" si="143"/>
        <v>7.5090914723049165E-5</v>
      </c>
      <c r="AG1501">
        <f t="shared" si="143"/>
        <v>3.0898700223710274E-4</v>
      </c>
      <c r="AK1501">
        <f t="shared" si="142"/>
        <v>6.1022642051260509E-6</v>
      </c>
    </row>
    <row r="1502" spans="1:37" x14ac:dyDescent="0.3">
      <c r="A1502" s="1">
        <v>46028</v>
      </c>
      <c r="B1502">
        <v>1.1686000000000001</v>
      </c>
      <c r="C1502">
        <v>1.3498000000000001</v>
      </c>
      <c r="D1502">
        <v>156.63</v>
      </c>
      <c r="G1502">
        <v>1.1686000000000001</v>
      </c>
      <c r="H1502">
        <f t="shared" si="139"/>
        <v>1.1720999999999999</v>
      </c>
      <c r="I1502">
        <f t="shared" si="139"/>
        <v>1.1719999999999999</v>
      </c>
      <c r="J1502">
        <f t="shared" si="139"/>
        <v>1.1747000000000001</v>
      </c>
      <c r="L1502">
        <f t="shared" si="138"/>
        <v>-3.4999999999998366E-3</v>
      </c>
      <c r="W1502">
        <f t="shared" si="140"/>
        <v>1.7908538535337457E-3</v>
      </c>
      <c r="X1502">
        <f t="shared" si="141"/>
        <v>-2.2335673261007936E-3</v>
      </c>
      <c r="Y1502">
        <f t="shared" si="141"/>
        <v>2.5533001404309997E-4</v>
      </c>
      <c r="Z1502">
        <f t="shared" si="141"/>
        <v>0</v>
      </c>
      <c r="AE1502">
        <f>W1502-mu-theta*AE1501</f>
        <v>9.3961509583888195E-4</v>
      </c>
      <c r="AF1502">
        <f t="shared" si="143"/>
        <v>-2.470276139447987E-3</v>
      </c>
      <c r="AG1502">
        <f t="shared" si="143"/>
        <v>7.5090914723049165E-5</v>
      </c>
      <c r="AK1502">
        <f t="shared" si="142"/>
        <v>8.8287652832831127E-7</v>
      </c>
    </row>
    <row r="1503" spans="1:37" x14ac:dyDescent="0.3">
      <c r="A1503" s="1">
        <v>46029</v>
      </c>
      <c r="B1503">
        <v>1.1673</v>
      </c>
      <c r="C1503">
        <v>1.3455999999999999</v>
      </c>
      <c r="D1503">
        <v>156.76</v>
      </c>
      <c r="G1503">
        <v>1.1673</v>
      </c>
      <c r="H1503">
        <f t="shared" si="139"/>
        <v>1.1686000000000001</v>
      </c>
      <c r="I1503">
        <f t="shared" si="139"/>
        <v>1.1720999999999999</v>
      </c>
      <c r="J1503">
        <f t="shared" si="139"/>
        <v>1.1719999999999999</v>
      </c>
      <c r="L1503">
        <f t="shared" si="138"/>
        <v>-1.3000000000000789E-3</v>
      </c>
      <c r="W1503">
        <f t="shared" si="140"/>
        <v>8.2998148502838186E-4</v>
      </c>
      <c r="X1503">
        <f t="shared" si="141"/>
        <v>1.7908538535337457E-3</v>
      </c>
      <c r="Y1503">
        <f t="shared" si="141"/>
        <v>-2.2335673261007936E-3</v>
      </c>
      <c r="Z1503">
        <f t="shared" si="141"/>
        <v>2.5533001404309997E-4</v>
      </c>
      <c r="AE1503">
        <f>W1503-mu-theta*AE1502</f>
        <v>8.0199541602477432E-4</v>
      </c>
      <c r="AF1503">
        <f t="shared" si="143"/>
        <v>9.3961509583888195E-4</v>
      </c>
      <c r="AG1503">
        <f t="shared" si="143"/>
        <v>-2.470276139447987E-3</v>
      </c>
      <c r="AK1503">
        <f t="shared" si="142"/>
        <v>6.4319664732475079E-7</v>
      </c>
    </row>
    <row r="1504" spans="1:37" x14ac:dyDescent="0.3">
      <c r="A1504" s="1">
        <v>46030</v>
      </c>
      <c r="B1504">
        <v>1.1657999999999999</v>
      </c>
      <c r="C1504">
        <v>1.3432999999999999</v>
      </c>
      <c r="D1504">
        <v>156.87</v>
      </c>
      <c r="G1504">
        <v>1.1657999999999999</v>
      </c>
      <c r="H1504">
        <f t="shared" si="139"/>
        <v>1.1673</v>
      </c>
      <c r="I1504">
        <f t="shared" si="139"/>
        <v>1.1686000000000001</v>
      </c>
      <c r="J1504">
        <f t="shared" si="139"/>
        <v>1.1720999999999999</v>
      </c>
      <c r="L1504">
        <f t="shared" si="138"/>
        <v>-1.5000000000000568E-3</v>
      </c>
      <c r="W1504">
        <f t="shared" si="140"/>
        <v>7.0170961980105674E-4</v>
      </c>
      <c r="X1504">
        <f t="shared" si="141"/>
        <v>8.2998148502838186E-4</v>
      </c>
      <c r="Y1504">
        <f t="shared" si="141"/>
        <v>1.7908538535337457E-3</v>
      </c>
      <c r="Z1504">
        <f t="shared" si="141"/>
        <v>-2.2335673261007936E-3</v>
      </c>
      <c r="AE1504">
        <f>W1504-mu-theta*AE1503</f>
        <v>6.4049792463924046E-4</v>
      </c>
      <c r="AF1504">
        <f t="shared" si="143"/>
        <v>8.0199541602477432E-4</v>
      </c>
      <c r="AG1504">
        <f t="shared" si="143"/>
        <v>9.3961509583888195E-4</v>
      </c>
      <c r="AK1504">
        <f t="shared" si="142"/>
        <v>4.1023759146717414E-7</v>
      </c>
    </row>
    <row r="1505" spans="1:37" x14ac:dyDescent="0.3">
      <c r="A1505" s="1">
        <v>46033</v>
      </c>
      <c r="B1505">
        <v>1.1629</v>
      </c>
      <c r="C1505">
        <v>1.3393999999999999</v>
      </c>
      <c r="D1505">
        <v>158</v>
      </c>
      <c r="G1505">
        <v>1.1629</v>
      </c>
      <c r="H1505">
        <f t="shared" si="139"/>
        <v>1.1657999999999999</v>
      </c>
      <c r="I1505">
        <f t="shared" si="139"/>
        <v>1.1673</v>
      </c>
      <c r="J1505">
        <f t="shared" si="139"/>
        <v>1.1686000000000001</v>
      </c>
      <c r="L1505">
        <f t="shared" si="138"/>
        <v>-2.8999999999999027E-3</v>
      </c>
      <c r="W1505">
        <f t="shared" si="140"/>
        <v>7.20341684197103E-3</v>
      </c>
      <c r="X1505">
        <f t="shared" si="141"/>
        <v>7.0170961980105674E-4</v>
      </c>
      <c r="Y1505">
        <f t="shared" si="141"/>
        <v>8.2998148502838186E-4</v>
      </c>
      <c r="Z1505">
        <f t="shared" si="141"/>
        <v>1.7908538535337457E-3</v>
      </c>
      <c r="AE1505">
        <f>W1505-mu-theta*AE1504</f>
        <v>7.1032146820623676E-3</v>
      </c>
      <c r="AF1505">
        <f t="shared" si="143"/>
        <v>6.4049792463924046E-4</v>
      </c>
      <c r="AG1505">
        <f t="shared" si="143"/>
        <v>8.0199541602477432E-4</v>
      </c>
      <c r="AK1505">
        <f t="shared" si="142"/>
        <v>5.0455658819466379E-5</v>
      </c>
    </row>
    <row r="1506" spans="1:37" x14ac:dyDescent="0.3">
      <c r="A1506" s="1">
        <v>46034</v>
      </c>
      <c r="B1506">
        <v>1.1668000000000001</v>
      </c>
      <c r="C1506">
        <v>1.3462000000000001</v>
      </c>
      <c r="D1506">
        <v>158.15</v>
      </c>
      <c r="G1506">
        <v>1.1668000000000001</v>
      </c>
      <c r="H1506">
        <f t="shared" si="139"/>
        <v>1.1629</v>
      </c>
      <c r="I1506">
        <f t="shared" si="139"/>
        <v>1.1657999999999999</v>
      </c>
      <c r="J1506">
        <f t="shared" si="139"/>
        <v>1.1673</v>
      </c>
      <c r="L1506">
        <f t="shared" si="138"/>
        <v>3.9000000000000146E-3</v>
      </c>
      <c r="W1506">
        <f t="shared" si="140"/>
        <v>9.493670886076309E-4</v>
      </c>
      <c r="X1506">
        <f t="shared" si="141"/>
        <v>7.20341684197103E-3</v>
      </c>
      <c r="Y1506">
        <f t="shared" si="141"/>
        <v>7.0170961980105674E-4</v>
      </c>
      <c r="Z1506">
        <f t="shared" si="141"/>
        <v>8.2998148502838186E-4</v>
      </c>
      <c r="AE1506">
        <f>W1506-mu-theta*AE1505</f>
        <v>2.4094636536965775E-3</v>
      </c>
      <c r="AF1506">
        <f t="shared" si="143"/>
        <v>7.1032146820623676E-3</v>
      </c>
      <c r="AG1506">
        <f t="shared" si="143"/>
        <v>6.4049792463924046E-4</v>
      </c>
      <c r="AK1506">
        <f t="shared" si="142"/>
        <v>5.8055150984848604E-6</v>
      </c>
    </row>
    <row r="1507" spans="1:37" x14ac:dyDescent="0.3">
      <c r="A1507" s="1">
        <v>46035</v>
      </c>
      <c r="B1507">
        <v>1.1645000000000001</v>
      </c>
      <c r="C1507">
        <v>1.3421000000000001</v>
      </c>
      <c r="D1507">
        <v>159.13</v>
      </c>
      <c r="G1507">
        <v>1.1645000000000001</v>
      </c>
      <c r="H1507">
        <f t="shared" si="139"/>
        <v>1.1668000000000001</v>
      </c>
      <c r="I1507">
        <f t="shared" si="139"/>
        <v>1.1629</v>
      </c>
      <c r="J1507">
        <f t="shared" si="139"/>
        <v>1.1657999999999999</v>
      </c>
      <c r="L1507">
        <f t="shared" si="138"/>
        <v>-2.2999999999999687E-3</v>
      </c>
      <c r="W1507">
        <f t="shared" si="140"/>
        <v>6.1966487511855182E-3</v>
      </c>
      <c r="X1507">
        <f t="shared" si="141"/>
        <v>9.493670886076309E-4</v>
      </c>
      <c r="Y1507">
        <f t="shared" si="141"/>
        <v>7.20341684197103E-3</v>
      </c>
      <c r="Z1507">
        <f t="shared" si="141"/>
        <v>7.0170961980105674E-4</v>
      </c>
      <c r="AE1507">
        <f>W1507-mu-theta*AE1506</f>
        <v>6.5235293608322965E-3</v>
      </c>
      <c r="AF1507">
        <f t="shared" si="143"/>
        <v>2.4094636536965775E-3</v>
      </c>
      <c r="AG1507">
        <f t="shared" si="143"/>
        <v>7.1032146820623676E-3</v>
      </c>
      <c r="AK1507">
        <f t="shared" si="142"/>
        <v>4.255643532164103E-5</v>
      </c>
    </row>
    <row r="1508" spans="1:37" x14ac:dyDescent="0.3">
      <c r="A1508" s="1">
        <v>46036</v>
      </c>
      <c r="B1508">
        <v>1.1640999999999999</v>
      </c>
      <c r="C1508">
        <v>1.3436999999999999</v>
      </c>
      <c r="D1508">
        <v>158.38999999999999</v>
      </c>
      <c r="G1508">
        <v>1.1640999999999999</v>
      </c>
      <c r="H1508">
        <f t="shared" si="139"/>
        <v>1.1645000000000001</v>
      </c>
      <c r="I1508">
        <f t="shared" si="139"/>
        <v>1.1668000000000001</v>
      </c>
      <c r="J1508">
        <f t="shared" si="139"/>
        <v>1.1629</v>
      </c>
      <c r="L1508">
        <f t="shared" si="138"/>
        <v>-4.0000000000017799E-4</v>
      </c>
      <c r="W1508">
        <f t="shared" si="140"/>
        <v>-4.6502859297430348E-3</v>
      </c>
      <c r="X1508">
        <f t="shared" si="141"/>
        <v>6.1966487511855182E-3</v>
      </c>
      <c r="Y1508">
        <f t="shared" si="141"/>
        <v>9.493670886076309E-4</v>
      </c>
      <c r="Z1508">
        <f t="shared" si="141"/>
        <v>7.20341684197103E-3</v>
      </c>
      <c r="AE1508">
        <f>W1508-mu-theta*AE1507</f>
        <v>-3.3301432418801347E-3</v>
      </c>
      <c r="AF1508">
        <f t="shared" si="143"/>
        <v>6.5235293608322965E-3</v>
      </c>
      <c r="AG1508">
        <f t="shared" si="143"/>
        <v>2.4094636536965775E-3</v>
      </c>
      <c r="AK1508">
        <f t="shared" si="142"/>
        <v>1.1089854011439933E-5</v>
      </c>
    </row>
    <row r="1509" spans="1:37" x14ac:dyDescent="0.3">
      <c r="A1509" s="1">
        <v>46037</v>
      </c>
      <c r="B1509">
        <v>1.1607000000000001</v>
      </c>
      <c r="C1509">
        <v>1.3376999999999999</v>
      </c>
      <c r="D1509">
        <v>158.63</v>
      </c>
      <c r="G1509">
        <v>1.1607000000000001</v>
      </c>
      <c r="H1509">
        <f t="shared" si="139"/>
        <v>1.1640999999999999</v>
      </c>
      <c r="I1509">
        <f t="shared" si="139"/>
        <v>1.1645000000000001</v>
      </c>
      <c r="J1509">
        <f t="shared" si="139"/>
        <v>1.1668000000000001</v>
      </c>
      <c r="L1509">
        <f t="shared" si="138"/>
        <v>-3.3999999999998476E-3</v>
      </c>
      <c r="W1509">
        <f t="shared" si="140"/>
        <v>1.5152471746954297E-3</v>
      </c>
      <c r="X1509">
        <f t="shared" si="141"/>
        <v>-4.6502859297430348E-3</v>
      </c>
      <c r="Y1509">
        <f t="shared" si="141"/>
        <v>6.1966487511855182E-3</v>
      </c>
      <c r="Z1509">
        <f t="shared" si="141"/>
        <v>9.493670886076309E-4</v>
      </c>
      <c r="AE1509">
        <f>W1509-mu-theta*AE1508</f>
        <v>4.5641003477977019E-4</v>
      </c>
      <c r="AF1509">
        <f t="shared" si="143"/>
        <v>-3.3301432418801347E-3</v>
      </c>
      <c r="AG1509">
        <f t="shared" si="143"/>
        <v>6.5235293608322965E-3</v>
      </c>
      <c r="AK1509">
        <f t="shared" si="142"/>
        <v>2.0831011984767103E-7</v>
      </c>
    </row>
    <row r="1510" spans="1:37" x14ac:dyDescent="0.3">
      <c r="A1510" s="1">
        <v>46040</v>
      </c>
      <c r="B1510">
        <v>1.1583000000000001</v>
      </c>
      <c r="C1510">
        <v>1.3365</v>
      </c>
      <c r="D1510">
        <v>157.85</v>
      </c>
      <c r="G1510">
        <v>1.1583000000000001</v>
      </c>
      <c r="H1510">
        <f t="shared" si="139"/>
        <v>1.1607000000000001</v>
      </c>
      <c r="I1510">
        <f t="shared" si="139"/>
        <v>1.1640999999999999</v>
      </c>
      <c r="J1510">
        <f t="shared" si="139"/>
        <v>1.1645000000000001</v>
      </c>
      <c r="L1510">
        <f t="shared" si="138"/>
        <v>-2.3999999999999577E-3</v>
      </c>
      <c r="W1510">
        <f t="shared" si="140"/>
        <v>-4.9171026917985321E-3</v>
      </c>
      <c r="X1510">
        <f t="shared" si="141"/>
        <v>1.5152471746954297E-3</v>
      </c>
      <c r="Y1510">
        <f t="shared" si="141"/>
        <v>-4.6502859297430348E-3</v>
      </c>
      <c r="Z1510">
        <f t="shared" si="141"/>
        <v>6.1966487511855182E-3</v>
      </c>
      <c r="AE1510">
        <f>W1510-mu-theta*AE1509</f>
        <v>-5.061749333898885E-3</v>
      </c>
      <c r="AF1510">
        <f t="shared" si="143"/>
        <v>4.5641003477977019E-4</v>
      </c>
      <c r="AG1510">
        <f t="shared" si="143"/>
        <v>-3.3301432418801347E-3</v>
      </c>
      <c r="AK1510">
        <f t="shared" si="142"/>
        <v>2.5621306319225808E-5</v>
      </c>
    </row>
    <row r="1511" spans="1:37" x14ac:dyDescent="0.3">
      <c r="A1511" s="1">
        <v>46041</v>
      </c>
      <c r="B1511">
        <v>1.1641999999999999</v>
      </c>
      <c r="C1511">
        <v>1.3413999999999999</v>
      </c>
      <c r="D1511">
        <v>158.08000000000001</v>
      </c>
      <c r="G1511">
        <v>1.1641999999999999</v>
      </c>
      <c r="H1511">
        <f t="shared" si="139"/>
        <v>1.1583000000000001</v>
      </c>
      <c r="I1511">
        <f t="shared" si="139"/>
        <v>1.1607000000000001</v>
      </c>
      <c r="J1511">
        <f t="shared" si="139"/>
        <v>1.1640999999999999</v>
      </c>
      <c r="L1511">
        <f t="shared" si="138"/>
        <v>5.8999999999997943E-3</v>
      </c>
      <c r="W1511">
        <f t="shared" si="140"/>
        <v>1.457079505860109E-3</v>
      </c>
      <c r="X1511">
        <f t="shared" si="141"/>
        <v>-4.9171026917985321E-3</v>
      </c>
      <c r="Y1511">
        <f t="shared" si="141"/>
        <v>1.5152471746954297E-3</v>
      </c>
      <c r="Z1511">
        <f t="shared" si="141"/>
        <v>-4.6502859297430348E-3</v>
      </c>
      <c r="AE1511">
        <f>W1511-mu-theta*AE1510</f>
        <v>-1.982063743127707E-5</v>
      </c>
      <c r="AF1511">
        <f t="shared" si="143"/>
        <v>-5.061749333898885E-3</v>
      </c>
      <c r="AG1511">
        <f t="shared" si="143"/>
        <v>4.5641003477977019E-4</v>
      </c>
      <c r="AK1511">
        <f t="shared" si="142"/>
        <v>3.9285766818214171E-10</v>
      </c>
    </row>
    <row r="1512" spans="1:37" x14ac:dyDescent="0.3">
      <c r="A1512" s="1">
        <v>46042</v>
      </c>
      <c r="B1512">
        <v>1.1720999999999999</v>
      </c>
      <c r="C1512">
        <v>1.3436999999999999</v>
      </c>
      <c r="D1512">
        <v>158.16</v>
      </c>
      <c r="G1512">
        <v>1.1720999999999999</v>
      </c>
      <c r="H1512">
        <f t="shared" si="139"/>
        <v>1.1641999999999999</v>
      </c>
      <c r="I1512">
        <f t="shared" si="139"/>
        <v>1.1583000000000001</v>
      </c>
      <c r="J1512">
        <f t="shared" si="139"/>
        <v>1.1607000000000001</v>
      </c>
      <c r="L1512">
        <f t="shared" si="138"/>
        <v>7.9000000000000181E-3</v>
      </c>
      <c r="W1512">
        <f t="shared" si="140"/>
        <v>5.0607287449382641E-4</v>
      </c>
      <c r="X1512">
        <f t="shared" si="141"/>
        <v>1.457079505860109E-3</v>
      </c>
      <c r="Y1512">
        <f t="shared" si="141"/>
        <v>-4.9171026917985321E-3</v>
      </c>
      <c r="Z1512">
        <f t="shared" si="141"/>
        <v>1.5152471746954297E-3</v>
      </c>
      <c r="AE1512">
        <f>W1512-mu-theta*AE1511</f>
        <v>2.464494914118783E-4</v>
      </c>
      <c r="AF1512">
        <f t="shared" si="143"/>
        <v>-1.982063743127707E-5</v>
      </c>
      <c r="AG1512">
        <f t="shared" si="143"/>
        <v>-5.061749333898885E-3</v>
      </c>
      <c r="AK1512">
        <f t="shared" si="142"/>
        <v>6.0737351817173473E-8</v>
      </c>
    </row>
    <row r="1513" spans="1:37" x14ac:dyDescent="0.3">
      <c r="A1513" s="1">
        <v>46043</v>
      </c>
      <c r="B1513">
        <v>1.1681999999999999</v>
      </c>
      <c r="C1513">
        <v>1.3429</v>
      </c>
      <c r="D1513">
        <v>158.27000000000001</v>
      </c>
      <c r="G1513">
        <v>1.1681999999999999</v>
      </c>
      <c r="H1513">
        <f t="shared" si="139"/>
        <v>1.1720999999999999</v>
      </c>
      <c r="I1513">
        <f t="shared" si="139"/>
        <v>1.1641999999999999</v>
      </c>
      <c r="J1513">
        <f t="shared" si="139"/>
        <v>1.1583000000000001</v>
      </c>
      <c r="L1513">
        <f t="shared" si="138"/>
        <v>-3.9000000000000146E-3</v>
      </c>
      <c r="W1513">
        <f t="shared" si="140"/>
        <v>6.9549822964095633E-4</v>
      </c>
      <c r="X1513">
        <f t="shared" si="141"/>
        <v>5.0607287449382641E-4</v>
      </c>
      <c r="Y1513">
        <f t="shared" si="141"/>
        <v>1.457079505860109E-3</v>
      </c>
      <c r="Z1513">
        <f t="shared" si="141"/>
        <v>-4.9171026917985321E-3</v>
      </c>
      <c r="AE1513">
        <f>W1513-mu-theta*AE1512</f>
        <v>5.0016065052244552E-4</v>
      </c>
      <c r="AF1513">
        <f t="shared" si="143"/>
        <v>2.464494914118783E-4</v>
      </c>
      <c r="AG1513">
        <f t="shared" si="143"/>
        <v>-1.982063743127707E-5</v>
      </c>
      <c r="AK1513">
        <f t="shared" si="142"/>
        <v>2.5016067633103586E-7</v>
      </c>
    </row>
    <row r="1514" spans="1:37" x14ac:dyDescent="0.3">
      <c r="A1514" s="1">
        <v>46044</v>
      </c>
      <c r="B1514">
        <v>1.1752</v>
      </c>
      <c r="C1514">
        <v>1.3492</v>
      </c>
      <c r="D1514">
        <v>158.38</v>
      </c>
      <c r="G1514">
        <v>1.1752</v>
      </c>
      <c r="H1514">
        <f t="shared" si="139"/>
        <v>1.1681999999999999</v>
      </c>
      <c r="I1514">
        <f t="shared" si="139"/>
        <v>1.1720999999999999</v>
      </c>
      <c r="J1514">
        <f t="shared" si="139"/>
        <v>1.1641999999999999</v>
      </c>
      <c r="L1514">
        <f t="shared" si="138"/>
        <v>7.0000000000001172E-3</v>
      </c>
      <c r="W1514">
        <f t="shared" si="140"/>
        <v>6.9501484804438752E-4</v>
      </c>
      <c r="X1514">
        <f t="shared" si="141"/>
        <v>6.9549822964095633E-4</v>
      </c>
      <c r="Y1514">
        <f t="shared" si="141"/>
        <v>5.0607287449382641E-4</v>
      </c>
      <c r="Z1514">
        <f t="shared" si="141"/>
        <v>1.457079505860109E-3</v>
      </c>
      <c r="AE1514">
        <f>W1514-mu-theta*AE1513</f>
        <v>5.6093095107482595E-4</v>
      </c>
      <c r="AF1514">
        <f t="shared" si="143"/>
        <v>5.0016065052244552E-4</v>
      </c>
      <c r="AG1514">
        <f t="shared" si="143"/>
        <v>2.464494914118783E-4</v>
      </c>
      <c r="AK1514">
        <f t="shared" si="142"/>
        <v>3.1464353187370878E-7</v>
      </c>
    </row>
    <row r="1515" spans="1:37" x14ac:dyDescent="0.3">
      <c r="A1515" s="1">
        <v>46047</v>
      </c>
      <c r="B1515">
        <v>1.1831</v>
      </c>
      <c r="C1515">
        <v>1.3628</v>
      </c>
      <c r="D1515">
        <v>155.07</v>
      </c>
      <c r="G1515">
        <v>1.1831</v>
      </c>
      <c r="H1515">
        <f t="shared" si="139"/>
        <v>1.1752</v>
      </c>
      <c r="I1515">
        <f t="shared" si="139"/>
        <v>1.1681999999999999</v>
      </c>
      <c r="J1515">
        <f t="shared" si="139"/>
        <v>1.1720999999999999</v>
      </c>
      <c r="L1515">
        <f t="shared" si="138"/>
        <v>7.9000000000000181E-3</v>
      </c>
      <c r="W1515">
        <f t="shared" si="140"/>
        <v>-2.0899103422149276E-2</v>
      </c>
      <c r="X1515">
        <f t="shared" si="141"/>
        <v>6.9501484804438752E-4</v>
      </c>
      <c r="Y1515">
        <f t="shared" si="141"/>
        <v>6.9549822964095633E-4</v>
      </c>
      <c r="Z1515">
        <f t="shared" si="141"/>
        <v>5.0607287449382641E-4</v>
      </c>
      <c r="AE1515">
        <f>W1515-mu-theta*AE1514</f>
        <v>-2.1018515498268778E-2</v>
      </c>
      <c r="AF1515">
        <f t="shared" si="143"/>
        <v>5.6093095107482595E-4</v>
      </c>
      <c r="AG1515">
        <f t="shared" si="143"/>
        <v>5.0016065052244552E-4</v>
      </c>
      <c r="AK1515">
        <f t="shared" si="142"/>
        <v>4.4177799375096484E-4</v>
      </c>
    </row>
    <row r="1516" spans="1:37" x14ac:dyDescent="0.3">
      <c r="A1516" s="1">
        <v>46048</v>
      </c>
      <c r="B1516">
        <v>1.1875</v>
      </c>
      <c r="C1516">
        <v>1.3681000000000001</v>
      </c>
      <c r="D1516">
        <v>154.13999999999999</v>
      </c>
      <c r="G1516">
        <v>1.1875</v>
      </c>
      <c r="H1516">
        <f t="shared" si="139"/>
        <v>1.1831</v>
      </c>
      <c r="I1516">
        <f t="shared" si="139"/>
        <v>1.1752</v>
      </c>
      <c r="J1516">
        <f t="shared" si="139"/>
        <v>1.1681999999999999</v>
      </c>
      <c r="L1516">
        <f t="shared" si="138"/>
        <v>4.3999999999999595E-3</v>
      </c>
      <c r="W1516">
        <f t="shared" si="140"/>
        <v>-5.9972915457535752E-3</v>
      </c>
      <c r="X1516">
        <f t="shared" si="141"/>
        <v>-2.0899103422149276E-2</v>
      </c>
      <c r="Y1516">
        <f t="shared" si="141"/>
        <v>6.9501484804438752E-4</v>
      </c>
      <c r="Z1516">
        <f t="shared" si="141"/>
        <v>6.9549822964095633E-4</v>
      </c>
      <c r="AE1516">
        <f>W1516-mu-theta*AE1515</f>
        <v>-1.1326646134422608E-2</v>
      </c>
      <c r="AF1516">
        <f t="shared" si="143"/>
        <v>-2.1018515498268778E-2</v>
      </c>
      <c r="AG1516">
        <f t="shared" si="143"/>
        <v>5.6093095107482595E-4</v>
      </c>
      <c r="AK1516">
        <f t="shared" si="142"/>
        <v>1.2829291265443061E-4</v>
      </c>
    </row>
    <row r="1517" spans="1:37" x14ac:dyDescent="0.3">
      <c r="A1517" s="1">
        <v>46049</v>
      </c>
      <c r="B1517">
        <v>1.2039</v>
      </c>
      <c r="C1517">
        <v>1.3844000000000001</v>
      </c>
      <c r="D1517">
        <v>152.15</v>
      </c>
      <c r="G1517">
        <v>1.2039</v>
      </c>
      <c r="H1517">
        <f t="shared" si="139"/>
        <v>1.1875</v>
      </c>
      <c r="I1517">
        <f t="shared" si="139"/>
        <v>1.1831</v>
      </c>
      <c r="J1517">
        <f t="shared" si="139"/>
        <v>1.1752</v>
      </c>
      <c r="L1517">
        <f t="shared" si="138"/>
        <v>1.639999999999997E-2</v>
      </c>
      <c r="W1517">
        <f t="shared" si="140"/>
        <v>-1.2910341248215784E-2</v>
      </c>
      <c r="X1517">
        <f t="shared" si="141"/>
        <v>-5.9972915457535752E-3</v>
      </c>
      <c r="Y1517">
        <f t="shared" si="141"/>
        <v>-2.0899103422149276E-2</v>
      </c>
      <c r="Z1517">
        <f t="shared" si="141"/>
        <v>6.9501484804438752E-4</v>
      </c>
      <c r="AE1517">
        <f>W1517-mu-theta*AE1516</f>
        <v>-1.5899780290704785E-2</v>
      </c>
      <c r="AF1517">
        <f t="shared" si="143"/>
        <v>-1.1326646134422608E-2</v>
      </c>
      <c r="AG1517">
        <f t="shared" si="143"/>
        <v>-2.1018515498268778E-2</v>
      </c>
      <c r="AK1517">
        <f t="shared" si="142"/>
        <v>2.5280301329268435E-4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CCB0-9C21-4136-BF6E-23B8E474093E}">
  <dimension ref="A1:I1537"/>
  <sheetViews>
    <sheetView workbookViewId="0">
      <selection activeCell="L9" sqref="L9"/>
    </sheetView>
  </sheetViews>
  <sheetFormatPr defaultRowHeight="15.9" x14ac:dyDescent="0.3"/>
  <sheetData>
    <row r="1" spans="1:9" x14ac:dyDescent="0.3">
      <c r="A1" t="s">
        <v>10</v>
      </c>
    </row>
    <row r="2" spans="1:9" ht="16.5" thickBot="1" x14ac:dyDescent="0.35"/>
    <row r="3" spans="1:9" x14ac:dyDescent="0.3">
      <c r="A3" s="6" t="s">
        <v>11</v>
      </c>
      <c r="B3" s="6"/>
    </row>
    <row r="4" spans="1:9" x14ac:dyDescent="0.3">
      <c r="A4" s="3" t="s">
        <v>12</v>
      </c>
      <c r="B4" s="3">
        <v>0.43819684893161392</v>
      </c>
    </row>
    <row r="5" spans="1:9" x14ac:dyDescent="0.3">
      <c r="A5" s="3" t="s">
        <v>13</v>
      </c>
      <c r="B5" s="3">
        <v>0.19201647841359568</v>
      </c>
    </row>
    <row r="6" spans="1:9" x14ac:dyDescent="0.3">
      <c r="A6" s="3" t="s">
        <v>14</v>
      </c>
      <c r="B6" s="3">
        <v>0.19148174411737703</v>
      </c>
    </row>
    <row r="7" spans="1:9" x14ac:dyDescent="0.3">
      <c r="A7" s="3" t="s">
        <v>15</v>
      </c>
      <c r="B7" s="3">
        <v>2.577474883656429E-2</v>
      </c>
    </row>
    <row r="8" spans="1:9" ht="16.5" thickBot="1" x14ac:dyDescent="0.35">
      <c r="A8" s="4" t="s">
        <v>16</v>
      </c>
      <c r="B8" s="4">
        <v>1513</v>
      </c>
    </row>
    <row r="10" spans="1:9" ht="16.5" thickBot="1" x14ac:dyDescent="0.35">
      <c r="A10" t="s">
        <v>17</v>
      </c>
    </row>
    <row r="11" spans="1:9" x14ac:dyDescent="0.3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">
      <c r="A12" s="3" t="s">
        <v>18</v>
      </c>
      <c r="B12" s="3">
        <v>1</v>
      </c>
      <c r="C12" s="3">
        <v>0.23855545123992794</v>
      </c>
      <c r="D12" s="3">
        <v>0.23855545123992794</v>
      </c>
      <c r="E12" s="3">
        <v>359.08764366046091</v>
      </c>
      <c r="F12" s="3">
        <v>5.1517960650668126E-72</v>
      </c>
    </row>
    <row r="13" spans="1:9" x14ac:dyDescent="0.3">
      <c r="A13" s="3" t="s">
        <v>19</v>
      </c>
      <c r="B13" s="3">
        <v>1511</v>
      </c>
      <c r="C13" s="3">
        <v>1.0038142308354261</v>
      </c>
      <c r="D13" s="3">
        <v>6.6433767758797225E-4</v>
      </c>
      <c r="E13" s="3"/>
      <c r="F13" s="3"/>
    </row>
    <row r="14" spans="1:9" ht="16.5" thickBot="1" x14ac:dyDescent="0.35">
      <c r="A14" s="4" t="s">
        <v>20</v>
      </c>
      <c r="B14" s="4">
        <v>1512</v>
      </c>
      <c r="C14" s="4">
        <v>1.242369682075354</v>
      </c>
      <c r="D14" s="4"/>
      <c r="E14" s="4"/>
      <c r="F14" s="4"/>
    </row>
    <row r="15" spans="1:9" ht="16.5" thickBot="1" x14ac:dyDescent="0.35"/>
    <row r="16" spans="1:9" x14ac:dyDescent="0.3">
      <c r="A16" s="5"/>
      <c r="B16" s="5" t="s">
        <v>27</v>
      </c>
      <c r="C16" s="5" t="s">
        <v>15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33</v>
      </c>
    </row>
    <row r="17" spans="1:9" x14ac:dyDescent="0.3">
      <c r="A17" s="3" t="s">
        <v>21</v>
      </c>
      <c r="B17" s="3">
        <v>0.21546391281762159</v>
      </c>
      <c r="C17" s="3">
        <v>1.1347735400397522E-2</v>
      </c>
      <c r="D17" s="3">
        <v>18.987393097839917</v>
      </c>
      <c r="E17" s="3">
        <v>2.8830998909366326E-72</v>
      </c>
      <c r="F17" s="3">
        <v>0.19320493013593354</v>
      </c>
      <c r="G17" s="3">
        <v>0.23772289549930964</v>
      </c>
      <c r="H17" s="3">
        <v>0.19320493013593354</v>
      </c>
      <c r="I17" s="3">
        <v>0.23772289549930964</v>
      </c>
    </row>
    <row r="18" spans="1:9" ht="16.5" thickBot="1" x14ac:dyDescent="0.35">
      <c r="A18" s="4" t="s">
        <v>6</v>
      </c>
      <c r="B18" s="4">
        <v>-0.19300013595456794</v>
      </c>
      <c r="C18" s="4">
        <v>1.0184914425254623E-2</v>
      </c>
      <c r="D18" s="4">
        <v>-18.949608008095066</v>
      </c>
      <c r="E18" s="4">
        <v>5.1517960650672539E-72</v>
      </c>
      <c r="F18" s="4">
        <v>-0.21297820433623604</v>
      </c>
      <c r="G18" s="4">
        <v>-0.17302206757289984</v>
      </c>
      <c r="H18" s="4">
        <v>-0.21297820433623604</v>
      </c>
      <c r="I18" s="4">
        <v>-0.17302206757289984</v>
      </c>
    </row>
    <row r="22" spans="1:9" x14ac:dyDescent="0.3">
      <c r="A22" t="s">
        <v>34</v>
      </c>
    </row>
    <row r="23" spans="1:9" ht="16.5" thickBot="1" x14ac:dyDescent="0.35"/>
    <row r="24" spans="1:9" x14ac:dyDescent="0.3">
      <c r="A24" s="5" t="s">
        <v>35</v>
      </c>
      <c r="B24" s="5" t="s">
        <v>36</v>
      </c>
      <c r="C24" s="5" t="s">
        <v>37</v>
      </c>
    </row>
    <row r="25" spans="1:9" x14ac:dyDescent="0.3">
      <c r="A25" s="3">
        <v>1</v>
      </c>
      <c r="B25" s="3">
        <v>0.21546391281762159</v>
      </c>
      <c r="C25" s="3">
        <v>0.87723608718237844</v>
      </c>
    </row>
    <row r="26" spans="1:9" x14ac:dyDescent="0.3">
      <c r="A26" s="3">
        <v>2</v>
      </c>
      <c r="B26" s="3">
        <v>4.5726642600651957E-3</v>
      </c>
      <c r="C26" s="3">
        <v>-3.7726642600652838E-3</v>
      </c>
    </row>
    <row r="27" spans="1:9" x14ac:dyDescent="0.3">
      <c r="A27" s="3">
        <v>3</v>
      </c>
      <c r="B27" s="3">
        <v>4.4182641513015597E-3</v>
      </c>
      <c r="C27" s="3">
        <v>-6.6182641513015394E-3</v>
      </c>
    </row>
    <row r="28" spans="1:9" x14ac:dyDescent="0.3">
      <c r="A28" s="3">
        <v>4</v>
      </c>
      <c r="B28" s="3">
        <v>4.8428644504016072E-3</v>
      </c>
      <c r="C28" s="3">
        <v>1.7571355495985541E-3</v>
      </c>
    </row>
    <row r="29" spans="1:9" x14ac:dyDescent="0.3">
      <c r="A29" s="3">
        <v>5</v>
      </c>
      <c r="B29" s="3">
        <v>3.569063553101437E-3</v>
      </c>
      <c r="C29" s="3">
        <v>-1.0769063553101532E-2</v>
      </c>
    </row>
    <row r="30" spans="1:9" x14ac:dyDescent="0.3">
      <c r="A30" s="3">
        <v>6</v>
      </c>
      <c r="B30" s="3">
        <v>4.9586645319743272E-3</v>
      </c>
      <c r="C30" s="3">
        <v>-1.2158664531974422E-2</v>
      </c>
    </row>
    <row r="31" spans="1:9" x14ac:dyDescent="0.3">
      <c r="A31" s="3">
        <v>7</v>
      </c>
      <c r="B31" s="3">
        <v>6.3482655108472452E-3</v>
      </c>
      <c r="C31" s="3">
        <v>-2.2482655108472527E-3</v>
      </c>
    </row>
    <row r="32" spans="1:9" x14ac:dyDescent="0.3">
      <c r="A32" s="3">
        <v>8</v>
      </c>
      <c r="B32" s="3">
        <v>5.5569649534335241E-3</v>
      </c>
      <c r="C32" s="3">
        <v>-6.95696495343337E-3</v>
      </c>
    </row>
    <row r="33" spans="1:3" x14ac:dyDescent="0.3">
      <c r="A33" s="3">
        <v>9</v>
      </c>
      <c r="B33" s="3">
        <v>5.8271651437698802E-3</v>
      </c>
      <c r="C33" s="3">
        <v>-6.4271651437700361E-3</v>
      </c>
    </row>
    <row r="34" spans="1:3" x14ac:dyDescent="0.3">
      <c r="A34" s="3">
        <v>10</v>
      </c>
      <c r="B34" s="3">
        <v>5.9429652253426557E-3</v>
      </c>
      <c r="C34" s="3">
        <v>-9.3429652253425033E-3</v>
      </c>
    </row>
    <row r="35" spans="1:3" x14ac:dyDescent="0.3">
      <c r="A35" s="3">
        <v>11</v>
      </c>
      <c r="B35" s="3">
        <v>6.5991656875881433E-3</v>
      </c>
      <c r="C35" s="3">
        <v>-1.1199165687588303E-2</v>
      </c>
    </row>
    <row r="36" spans="1:3" x14ac:dyDescent="0.3">
      <c r="A36" s="3">
        <v>12</v>
      </c>
      <c r="B36" s="3">
        <v>7.4869663129792097E-3</v>
      </c>
      <c r="C36" s="3">
        <v>-3.0869663129790281E-3</v>
      </c>
    </row>
    <row r="37" spans="1:3" x14ac:dyDescent="0.3">
      <c r="A37" s="3">
        <v>13</v>
      </c>
      <c r="B37" s="3">
        <v>6.6377657147790592E-3</v>
      </c>
      <c r="C37" s="3">
        <v>-5.8377657147791473E-3</v>
      </c>
    </row>
    <row r="38" spans="1:3" x14ac:dyDescent="0.3">
      <c r="A38" s="3">
        <v>14</v>
      </c>
      <c r="B38" s="3">
        <v>6.4833656060154232E-3</v>
      </c>
      <c r="C38" s="3">
        <v>-7.4833656060153131E-3</v>
      </c>
    </row>
    <row r="39" spans="1:3" x14ac:dyDescent="0.3">
      <c r="A39" s="3">
        <v>15</v>
      </c>
      <c r="B39" s="3">
        <v>6.6763657419699751E-3</v>
      </c>
      <c r="C39" s="3">
        <v>-1.1763657419701368E-3</v>
      </c>
    </row>
    <row r="40" spans="1:3" x14ac:dyDescent="0.3">
      <c r="A40" s="3">
        <v>16</v>
      </c>
      <c r="B40" s="3">
        <v>5.6148649942198703E-3</v>
      </c>
      <c r="C40" s="3">
        <v>2.5851350057801148E-3</v>
      </c>
    </row>
    <row r="41" spans="1:3" x14ac:dyDescent="0.3">
      <c r="A41" s="3">
        <v>17</v>
      </c>
      <c r="B41" s="3">
        <v>4.0322638793924281E-3</v>
      </c>
      <c r="C41" s="3">
        <v>-1.2322638793922924E-3</v>
      </c>
    </row>
    <row r="42" spans="1:3" x14ac:dyDescent="0.3">
      <c r="A42" s="3">
        <v>18</v>
      </c>
      <c r="B42" s="3">
        <v>3.4918634987196051E-3</v>
      </c>
      <c r="C42" s="3">
        <v>-1.1191863498719645E-2</v>
      </c>
    </row>
    <row r="43" spans="1:3" x14ac:dyDescent="0.3">
      <c r="A43" s="3">
        <v>19</v>
      </c>
      <c r="B43" s="3">
        <v>4.9779645455697852E-3</v>
      </c>
      <c r="C43" s="3">
        <v>-1.1777964545569702E-2</v>
      </c>
    </row>
    <row r="44" spans="1:3" x14ac:dyDescent="0.3">
      <c r="A44" s="3">
        <v>20</v>
      </c>
      <c r="B44" s="3">
        <v>6.2903654700608436E-3</v>
      </c>
      <c r="C44" s="3">
        <v>-1.0690365470061025E-2</v>
      </c>
    </row>
    <row r="45" spans="1:3" x14ac:dyDescent="0.3">
      <c r="A45" s="3">
        <v>21</v>
      </c>
      <c r="B45" s="3">
        <v>7.1395660682609663E-3</v>
      </c>
      <c r="C45" s="3">
        <v>-3.3395660682609407E-3</v>
      </c>
    </row>
    <row r="46" spans="1:3" x14ac:dyDescent="0.3">
      <c r="A46" s="3">
        <v>22</v>
      </c>
      <c r="B46" s="3">
        <v>6.4061655516336191E-3</v>
      </c>
      <c r="C46" s="3">
        <v>-5.6061655516334852E-3</v>
      </c>
    </row>
    <row r="47" spans="1:3" x14ac:dyDescent="0.3">
      <c r="A47" s="3">
        <v>23</v>
      </c>
      <c r="B47" s="3">
        <v>6.2517654428699276E-3</v>
      </c>
      <c r="C47" s="3">
        <v>-9.6517654428699973E-3</v>
      </c>
    </row>
    <row r="48" spans="1:3" x14ac:dyDescent="0.3">
      <c r="A48" s="3">
        <v>24</v>
      </c>
      <c r="B48" s="3">
        <v>6.9079659051154707E-3</v>
      </c>
      <c r="C48" s="3">
        <v>-2.9079659051154672E-3</v>
      </c>
    </row>
    <row r="49" spans="1:3" x14ac:dyDescent="0.3">
      <c r="A49" s="3">
        <v>25</v>
      </c>
      <c r="B49" s="3">
        <v>6.1359653612972076E-3</v>
      </c>
      <c r="C49" s="3">
        <v>-9.1359653612973213E-3</v>
      </c>
    </row>
    <row r="50" spans="1:3" x14ac:dyDescent="0.3">
      <c r="A50" s="3">
        <v>26</v>
      </c>
      <c r="B50" s="3">
        <v>6.7149657691609188E-3</v>
      </c>
      <c r="C50" s="3">
        <v>-7.9149657691607866E-3</v>
      </c>
    </row>
    <row r="51" spans="1:3" x14ac:dyDescent="0.3">
      <c r="A51" s="3">
        <v>27</v>
      </c>
      <c r="B51" s="3">
        <v>6.9465659323063866E-3</v>
      </c>
      <c r="C51" s="3">
        <v>-5.8465659323065078E-3</v>
      </c>
    </row>
    <row r="52" spans="1:3" x14ac:dyDescent="0.3">
      <c r="A52" s="3">
        <v>28</v>
      </c>
      <c r="B52" s="3">
        <v>6.7342657827563768E-3</v>
      </c>
      <c r="C52" s="3">
        <v>2.9657342172436651E-3</v>
      </c>
    </row>
    <row r="53" spans="1:3" x14ac:dyDescent="0.3">
      <c r="A53" s="3">
        <v>29</v>
      </c>
      <c r="B53" s="3">
        <v>4.8621644639970651E-3</v>
      </c>
      <c r="C53" s="3">
        <v>-3.9621644639969422E-3</v>
      </c>
    </row>
    <row r="54" spans="1:3" x14ac:dyDescent="0.3">
      <c r="A54" s="3">
        <v>30</v>
      </c>
      <c r="B54" s="3">
        <v>4.6884643416379157E-3</v>
      </c>
      <c r="C54" s="3">
        <v>9.1153565836191164E-4</v>
      </c>
    </row>
    <row r="55" spans="1:3" x14ac:dyDescent="0.3">
      <c r="A55" s="3">
        <v>31</v>
      </c>
      <c r="B55" s="3">
        <v>3.6076635802923807E-3</v>
      </c>
      <c r="C55" s="3">
        <v>-6.4076635802922943E-3</v>
      </c>
    </row>
    <row r="56" spans="1:3" x14ac:dyDescent="0.3">
      <c r="A56" s="3">
        <v>32</v>
      </c>
      <c r="B56" s="3">
        <v>4.1480639609651482E-3</v>
      </c>
      <c r="C56" s="3">
        <v>-9.0480639609650526E-3</v>
      </c>
    </row>
    <row r="57" spans="1:3" x14ac:dyDescent="0.3">
      <c r="A57" s="3">
        <v>33</v>
      </c>
      <c r="B57" s="3">
        <v>5.0937646271425052E-3</v>
      </c>
      <c r="C57" s="3">
        <v>-5.1937646271424942E-3</v>
      </c>
    </row>
    <row r="58" spans="1:3" x14ac:dyDescent="0.3">
      <c r="A58" s="3">
        <v>34</v>
      </c>
      <c r="B58" s="3">
        <v>5.1130646407379632E-3</v>
      </c>
      <c r="C58" s="3">
        <v>2.9869353592620329E-3</v>
      </c>
    </row>
    <row r="59" spans="1:3" x14ac:dyDescent="0.3">
      <c r="A59" s="3">
        <v>35</v>
      </c>
      <c r="B59" s="3">
        <v>3.549763539505979E-3</v>
      </c>
      <c r="C59" s="3">
        <v>-1.2497635395060103E-3</v>
      </c>
    </row>
    <row r="60" spans="1:3" x14ac:dyDescent="0.3">
      <c r="A60" s="3">
        <v>36</v>
      </c>
      <c r="B60" s="3">
        <v>3.1058632268104736E-3</v>
      </c>
      <c r="C60" s="3">
        <v>4.1941367731893886E-3</v>
      </c>
    </row>
    <row r="61" spans="1:3" x14ac:dyDescent="0.3">
      <c r="A61" s="3">
        <v>37</v>
      </c>
      <c r="B61" s="3">
        <v>1.6969622343421531E-3</v>
      </c>
      <c r="C61" s="3">
        <v>5.0303776565782665E-4</v>
      </c>
    </row>
    <row r="62" spans="1:3" x14ac:dyDescent="0.3">
      <c r="A62" s="3">
        <v>38</v>
      </c>
      <c r="B62" s="3">
        <v>1.2723619352421056E-3</v>
      </c>
      <c r="C62" s="3">
        <v>2.327638064757942E-3</v>
      </c>
    </row>
    <row r="63" spans="1:3" x14ac:dyDescent="0.3">
      <c r="A63" s="3">
        <v>39</v>
      </c>
      <c r="B63" s="3">
        <v>5.7756144580564661E-4</v>
      </c>
      <c r="C63" s="3">
        <v>2.922438554194412E-3</v>
      </c>
    </row>
    <row r="64" spans="1:3" x14ac:dyDescent="0.3">
      <c r="A64" s="3">
        <v>40</v>
      </c>
      <c r="B64" s="3">
        <v>-9.7939030035354424E-5</v>
      </c>
      <c r="C64" s="3">
        <v>6.3979390300353267E-3</v>
      </c>
    </row>
    <row r="65" spans="1:3" x14ac:dyDescent="0.3">
      <c r="A65" s="3">
        <v>41</v>
      </c>
      <c r="B65" s="3">
        <v>-1.313839886549123E-3</v>
      </c>
      <c r="C65" s="3">
        <v>1.1713839886549088E-2</v>
      </c>
    </row>
    <row r="66" spans="1:3" x14ac:dyDescent="0.3">
      <c r="A66" s="3">
        <v>42</v>
      </c>
      <c r="B66" s="3">
        <v>-3.3210413004766126E-3</v>
      </c>
      <c r="C66" s="3">
        <v>-1.8789586995232588E-3</v>
      </c>
    </row>
    <row r="67" spans="1:3" x14ac:dyDescent="0.3">
      <c r="A67" s="3">
        <v>43</v>
      </c>
      <c r="B67" s="3">
        <v>-2.3174405935128817E-3</v>
      </c>
      <c r="C67" s="3">
        <v>3.1174405935127936E-3</v>
      </c>
    </row>
    <row r="68" spans="1:3" x14ac:dyDescent="0.3">
      <c r="A68" s="3">
        <v>44</v>
      </c>
      <c r="B68" s="3">
        <v>-2.4718407022765176E-3</v>
      </c>
      <c r="C68" s="3">
        <v>7.2718407022764331E-3</v>
      </c>
    </row>
    <row r="69" spans="1:3" x14ac:dyDescent="0.3">
      <c r="A69" s="3">
        <v>45</v>
      </c>
      <c r="B69" s="3">
        <v>-3.3982413548584445E-3</v>
      </c>
      <c r="C69" s="3">
        <v>6.2982413548585692E-3</v>
      </c>
    </row>
    <row r="70" spans="1:3" x14ac:dyDescent="0.3">
      <c r="A70" s="3">
        <v>46</v>
      </c>
      <c r="B70" s="3">
        <v>-3.9579417491266977E-3</v>
      </c>
      <c r="C70" s="3">
        <v>-3.2420582508733975E-3</v>
      </c>
    </row>
    <row r="71" spans="1:3" x14ac:dyDescent="0.3">
      <c r="A71" s="3">
        <v>47</v>
      </c>
      <c r="B71" s="3">
        <v>-2.5683407702538075E-3</v>
      </c>
      <c r="C71" s="3">
        <v>-1.731659229746163E-3</v>
      </c>
    </row>
    <row r="72" spans="1:3" x14ac:dyDescent="0.3">
      <c r="A72" s="3">
        <v>48</v>
      </c>
      <c r="B72" s="3">
        <v>-1.7384401856491705E-3</v>
      </c>
      <c r="C72" s="3">
        <v>8.5384401856493097E-3</v>
      </c>
    </row>
    <row r="73" spans="1:3" x14ac:dyDescent="0.3">
      <c r="A73" s="3">
        <v>49</v>
      </c>
      <c r="B73" s="3">
        <v>-3.0508411101402566E-3</v>
      </c>
      <c r="C73" s="3">
        <v>-2.8491588898597597E-3</v>
      </c>
    </row>
    <row r="74" spans="1:3" x14ac:dyDescent="0.3">
      <c r="A74" s="3">
        <v>50</v>
      </c>
      <c r="B74" s="3">
        <v>-1.9121403080082922E-3</v>
      </c>
      <c r="C74" s="3">
        <v>-8.7859691991709621E-5</v>
      </c>
    </row>
    <row r="75" spans="1:3" x14ac:dyDescent="0.3">
      <c r="A75" s="3">
        <v>51</v>
      </c>
      <c r="B75" s="3">
        <v>-1.5261400360991606E-3</v>
      </c>
      <c r="C75" s="3">
        <v>-2.5738599639008319E-3</v>
      </c>
    </row>
    <row r="76" spans="1:3" x14ac:dyDescent="0.3">
      <c r="A76" s="3">
        <v>52</v>
      </c>
      <c r="B76" s="3">
        <v>-7.3483947868543953E-4</v>
      </c>
      <c r="C76" s="3">
        <v>-1.9651605213147072E-3</v>
      </c>
    </row>
    <row r="77" spans="1:3" x14ac:dyDescent="0.3">
      <c r="A77" s="3">
        <v>53</v>
      </c>
      <c r="B77" s="3">
        <v>-2.1373911160807446E-4</v>
      </c>
      <c r="C77" s="3">
        <v>8.5137391116080485E-3</v>
      </c>
    </row>
    <row r="78" spans="1:3" x14ac:dyDescent="0.3">
      <c r="A78" s="3">
        <v>54</v>
      </c>
      <c r="B78" s="3">
        <v>-1.8156402400309746E-3</v>
      </c>
      <c r="C78" s="3">
        <v>6.6156402400311121E-3</v>
      </c>
    </row>
    <row r="79" spans="1:3" x14ac:dyDescent="0.3">
      <c r="A79" s="3">
        <v>55</v>
      </c>
      <c r="B79" s="3">
        <v>-2.7420408926129292E-3</v>
      </c>
      <c r="C79" s="3">
        <v>-2.8579591073871202E-3</v>
      </c>
    </row>
    <row r="80" spans="1:3" x14ac:dyDescent="0.3">
      <c r="A80" s="3">
        <v>56</v>
      </c>
      <c r="B80" s="3">
        <v>-1.6612401312673386E-3</v>
      </c>
      <c r="C80" s="3">
        <v>-1.638759868732742E-3</v>
      </c>
    </row>
    <row r="81" spans="1:3" x14ac:dyDescent="0.3">
      <c r="A81" s="3">
        <v>57</v>
      </c>
      <c r="B81" s="3">
        <v>-1.0243396826172535E-3</v>
      </c>
      <c r="C81" s="3">
        <v>1.0243396826172535E-3</v>
      </c>
    </row>
    <row r="82" spans="1:3" x14ac:dyDescent="0.3">
      <c r="A82" s="3">
        <v>58</v>
      </c>
      <c r="B82" s="3">
        <v>-1.0243396826172535E-3</v>
      </c>
      <c r="C82" s="3">
        <v>3.3243396826174443E-3</v>
      </c>
    </row>
    <row r="83" spans="1:3" x14ac:dyDescent="0.3">
      <c r="A83" s="3">
        <v>59</v>
      </c>
      <c r="B83" s="3">
        <v>-1.4682399953127867E-3</v>
      </c>
      <c r="C83" s="3">
        <v>5.6823999531266378E-4</v>
      </c>
    </row>
    <row r="84" spans="1:3" x14ac:dyDescent="0.3">
      <c r="A84" s="3">
        <v>60</v>
      </c>
      <c r="B84" s="3">
        <v>-1.294539872953665E-3</v>
      </c>
      <c r="C84" s="3">
        <v>3.1945398729536778E-3</v>
      </c>
    </row>
    <row r="85" spans="1:3" x14ac:dyDescent="0.3">
      <c r="A85" s="3">
        <v>61</v>
      </c>
      <c r="B85" s="3">
        <v>-1.6612401312673386E-3</v>
      </c>
      <c r="C85" s="3">
        <v>4.6124013126724872E-4</v>
      </c>
    </row>
    <row r="86" spans="1:3" x14ac:dyDescent="0.3">
      <c r="A86" s="3">
        <v>62</v>
      </c>
      <c r="B86" s="3">
        <v>-1.429639968121843E-3</v>
      </c>
      <c r="C86" s="3">
        <v>2.4296399681219549E-3</v>
      </c>
    </row>
    <row r="87" spans="1:3" x14ac:dyDescent="0.3">
      <c r="A87" s="3">
        <v>63</v>
      </c>
      <c r="B87" s="3">
        <v>-1.6226401040764227E-3</v>
      </c>
      <c r="C87" s="3">
        <v>7.622640104076428E-3</v>
      </c>
    </row>
    <row r="88" spans="1:3" x14ac:dyDescent="0.3">
      <c r="A88" s="3">
        <v>64</v>
      </c>
      <c r="B88" s="3">
        <v>-2.7806409198038451E-3</v>
      </c>
      <c r="C88" s="3">
        <v>-1.0193590801961805E-3</v>
      </c>
    </row>
    <row r="89" spans="1:3" x14ac:dyDescent="0.3">
      <c r="A89" s="3">
        <v>65</v>
      </c>
      <c r="B89" s="3">
        <v>-2.0472404031764702E-3</v>
      </c>
      <c r="C89" s="3">
        <v>7.9472404031764865E-3</v>
      </c>
    </row>
    <row r="90" spans="1:3" x14ac:dyDescent="0.3">
      <c r="A90" s="3">
        <v>66</v>
      </c>
      <c r="B90" s="3">
        <v>-3.1859412053084346E-3</v>
      </c>
      <c r="C90" s="3">
        <v>-1.6140587946914808E-3</v>
      </c>
    </row>
    <row r="91" spans="1:3" x14ac:dyDescent="0.3">
      <c r="A91" s="3">
        <v>67</v>
      </c>
      <c r="B91" s="3">
        <v>-2.2595405527265355E-3</v>
      </c>
      <c r="C91" s="3">
        <v>3.9595405527263483E-3</v>
      </c>
    </row>
    <row r="92" spans="1:3" x14ac:dyDescent="0.3">
      <c r="A92" s="3">
        <v>68</v>
      </c>
      <c r="B92" s="3">
        <v>-2.5876407838492654E-3</v>
      </c>
      <c r="C92" s="3">
        <v>6.787640783849247E-3</v>
      </c>
    </row>
    <row r="93" spans="1:3" x14ac:dyDescent="0.3">
      <c r="A93" s="3">
        <v>69</v>
      </c>
      <c r="B93" s="3">
        <v>-3.3982413548584445E-3</v>
      </c>
      <c r="C93" s="3">
        <v>8.9982413548584939E-3</v>
      </c>
    </row>
    <row r="94" spans="1:3" x14ac:dyDescent="0.3">
      <c r="A94" s="3">
        <v>70</v>
      </c>
      <c r="B94" s="3">
        <v>-4.479042116204035E-3</v>
      </c>
      <c r="C94" s="3">
        <v>5.8790421162041029E-3</v>
      </c>
    </row>
    <row r="95" spans="1:3" x14ac:dyDescent="0.3">
      <c r="A95" s="3">
        <v>71</v>
      </c>
      <c r="B95" s="3">
        <v>-4.7492423065404465E-3</v>
      </c>
      <c r="C95" s="3">
        <v>2.0492423065405219E-3</v>
      </c>
    </row>
    <row r="96" spans="1:3" x14ac:dyDescent="0.3">
      <c r="A96" s="3">
        <v>72</v>
      </c>
      <c r="B96" s="3">
        <v>-4.2281419394631092E-3</v>
      </c>
      <c r="C96" s="3">
        <v>8.5281419394630797E-3</v>
      </c>
    </row>
    <row r="97" spans="1:3" x14ac:dyDescent="0.3">
      <c r="A97" s="3">
        <v>73</v>
      </c>
      <c r="B97" s="3">
        <v>-5.0580425240677462E-3</v>
      </c>
      <c r="C97" s="3">
        <v>6.85804252406777E-3</v>
      </c>
    </row>
    <row r="98" spans="1:3" x14ac:dyDescent="0.3">
      <c r="A98" s="3">
        <v>74</v>
      </c>
      <c r="B98" s="3">
        <v>-5.4054427687859896E-3</v>
      </c>
      <c r="C98" s="3">
        <v>1.3605442768785975E-2</v>
      </c>
    </row>
    <row r="99" spans="1:3" x14ac:dyDescent="0.3">
      <c r="A99" s="3">
        <v>75</v>
      </c>
      <c r="B99" s="3">
        <v>-6.9880438836134318E-3</v>
      </c>
      <c r="C99" s="3">
        <v>1.1188043883613413E-2</v>
      </c>
    </row>
    <row r="100" spans="1:3" x14ac:dyDescent="0.3">
      <c r="A100" s="3">
        <v>76</v>
      </c>
      <c r="B100" s="3">
        <v>-7.7986444546226108E-3</v>
      </c>
      <c r="C100" s="3">
        <v>1.0398644454622546E-2</v>
      </c>
    </row>
    <row r="101" spans="1:3" x14ac:dyDescent="0.3">
      <c r="A101" s="3">
        <v>77</v>
      </c>
      <c r="B101" s="3">
        <v>-8.3004448081044901E-3</v>
      </c>
      <c r="C101" s="3">
        <v>1.4300444808104495E-2</v>
      </c>
    </row>
    <row r="102" spans="1:3" x14ac:dyDescent="0.3">
      <c r="A102" s="3">
        <v>78</v>
      </c>
      <c r="B102" s="3">
        <v>-9.4584456238318848E-3</v>
      </c>
      <c r="C102" s="3">
        <v>1.9158445623831927E-2</v>
      </c>
    </row>
    <row r="103" spans="1:3" x14ac:dyDescent="0.3">
      <c r="A103" s="3">
        <v>79</v>
      </c>
      <c r="B103" s="3">
        <v>-1.1330546942591196E-2</v>
      </c>
      <c r="C103" s="3">
        <v>7.6305469425911598E-3</v>
      </c>
    </row>
    <row r="104" spans="1:3" x14ac:dyDescent="0.3">
      <c r="A104" s="3">
        <v>80</v>
      </c>
      <c r="B104" s="3">
        <v>-1.0616446439559307E-2</v>
      </c>
      <c r="C104" s="3">
        <v>1.8216446439559358E-2</v>
      </c>
    </row>
    <row r="105" spans="1:3" x14ac:dyDescent="0.3">
      <c r="A105" s="3">
        <v>81</v>
      </c>
      <c r="B105" s="3">
        <v>-1.2083247472814029E-2</v>
      </c>
      <c r="C105" s="3">
        <v>1.7683247472814079E-2</v>
      </c>
    </row>
    <row r="106" spans="1:3" x14ac:dyDescent="0.3">
      <c r="A106" s="3">
        <v>82</v>
      </c>
      <c r="B106" s="3">
        <v>-1.316404823415962E-2</v>
      </c>
      <c r="C106" s="3">
        <v>5.9640482341595247E-3</v>
      </c>
    </row>
    <row r="107" spans="1:3" x14ac:dyDescent="0.3">
      <c r="A107" s="3">
        <v>83</v>
      </c>
      <c r="B107" s="3">
        <v>-1.1774447255286702E-2</v>
      </c>
      <c r="C107" s="3">
        <v>1.0474447255286623E-2</v>
      </c>
    </row>
    <row r="108" spans="1:3" x14ac:dyDescent="0.3">
      <c r="A108" s="3">
        <v>84</v>
      </c>
      <c r="B108" s="3">
        <v>-1.1523547078545748E-2</v>
      </c>
      <c r="C108" s="3">
        <v>1.5423547078545763E-2</v>
      </c>
    </row>
    <row r="109" spans="1:3" x14ac:dyDescent="0.3">
      <c r="A109" s="3">
        <v>85</v>
      </c>
      <c r="B109" s="3">
        <v>-1.2276247608768581E-2</v>
      </c>
      <c r="C109" s="3">
        <v>1.8376247608768576E-2</v>
      </c>
    </row>
    <row r="110" spans="1:3" x14ac:dyDescent="0.3">
      <c r="A110" s="3">
        <v>86</v>
      </c>
      <c r="B110" s="3">
        <v>-1.3453548438091434E-2</v>
      </c>
      <c r="C110" s="3">
        <v>1.4853548438091502E-2</v>
      </c>
    </row>
    <row r="111" spans="1:3" x14ac:dyDescent="0.3">
      <c r="A111" s="3">
        <v>87</v>
      </c>
      <c r="B111" s="3">
        <v>-1.3723748628427845E-2</v>
      </c>
      <c r="C111" s="3">
        <v>4.8237486284279374E-3</v>
      </c>
    </row>
    <row r="112" spans="1:3" x14ac:dyDescent="0.3">
      <c r="A112" s="3">
        <v>88</v>
      </c>
      <c r="B112" s="3">
        <v>-1.2006047418432197E-2</v>
      </c>
      <c r="C112" s="3">
        <v>7.006047418432082E-3</v>
      </c>
    </row>
    <row r="113" spans="1:3" x14ac:dyDescent="0.3">
      <c r="A113" s="3">
        <v>89</v>
      </c>
      <c r="B113" s="3">
        <v>-1.1041046738659355E-2</v>
      </c>
      <c r="C113" s="3">
        <v>1.1341046738659322E-2</v>
      </c>
    </row>
    <row r="114" spans="1:3" x14ac:dyDescent="0.3">
      <c r="A114" s="3">
        <v>90</v>
      </c>
      <c r="B114" s="3">
        <v>-1.1098946779445701E-2</v>
      </c>
      <c r="C114" s="3">
        <v>1.5398946779445671E-2</v>
      </c>
    </row>
    <row r="115" spans="1:3" x14ac:dyDescent="0.3">
      <c r="A115" s="3">
        <v>91</v>
      </c>
      <c r="B115" s="3">
        <v>-1.1928847364050338E-2</v>
      </c>
      <c r="C115" s="3">
        <v>1.4928847364050452E-2</v>
      </c>
    </row>
    <row r="116" spans="1:3" x14ac:dyDescent="0.3">
      <c r="A116" s="3">
        <v>92</v>
      </c>
      <c r="B116" s="3">
        <v>-1.2507847771914077E-2</v>
      </c>
      <c r="C116" s="3">
        <v>1.5407847771913979E-2</v>
      </c>
    </row>
    <row r="117" spans="1:3" x14ac:dyDescent="0.3">
      <c r="A117" s="3">
        <v>93</v>
      </c>
      <c r="B117" s="3">
        <v>-1.3067548166182302E-2</v>
      </c>
      <c r="C117" s="3">
        <v>1.5867548166182438E-2</v>
      </c>
    </row>
    <row r="118" spans="1:3" x14ac:dyDescent="0.3">
      <c r="A118" s="3">
        <v>94</v>
      </c>
      <c r="B118" s="3">
        <v>-1.3607948546855125E-2</v>
      </c>
      <c r="C118" s="3">
        <v>1.9607948546855131E-2</v>
      </c>
    </row>
    <row r="119" spans="1:3" x14ac:dyDescent="0.3">
      <c r="A119" s="3">
        <v>95</v>
      </c>
      <c r="B119" s="3">
        <v>-1.476594936258252E-2</v>
      </c>
      <c r="C119" s="3">
        <v>5.465949362582434E-3</v>
      </c>
    </row>
    <row r="120" spans="1:3" x14ac:dyDescent="0.3">
      <c r="A120" s="3">
        <v>96</v>
      </c>
      <c r="B120" s="3">
        <v>-1.2971048098205012E-2</v>
      </c>
      <c r="C120" s="3">
        <v>1.5271048098204981E-2</v>
      </c>
    </row>
    <row r="121" spans="1:3" x14ac:dyDescent="0.3">
      <c r="A121" s="3">
        <v>97</v>
      </c>
      <c r="B121" s="3">
        <v>-1.3414948410900518E-2</v>
      </c>
      <c r="C121" s="3">
        <v>7.0149484109005567E-3</v>
      </c>
    </row>
    <row r="122" spans="1:3" x14ac:dyDescent="0.3">
      <c r="A122" s="3">
        <v>98</v>
      </c>
      <c r="B122" s="3">
        <v>-1.2179747540791291E-2</v>
      </c>
      <c r="C122" s="3">
        <v>1.137974754079138E-2</v>
      </c>
    </row>
    <row r="123" spans="1:3" x14ac:dyDescent="0.3">
      <c r="A123" s="3">
        <v>99</v>
      </c>
      <c r="B123" s="3">
        <v>-1.2025347432027655E-2</v>
      </c>
      <c r="C123" s="3">
        <v>1.6625347432027593E-2</v>
      </c>
    </row>
    <row r="124" spans="1:3" x14ac:dyDescent="0.3">
      <c r="A124" s="3">
        <v>100</v>
      </c>
      <c r="B124" s="3">
        <v>-1.2913148057418666E-2</v>
      </c>
      <c r="C124" s="3">
        <v>1.251314805741871E-2</v>
      </c>
    </row>
    <row r="125" spans="1:3" x14ac:dyDescent="0.3">
      <c r="A125" s="3">
        <v>101</v>
      </c>
      <c r="B125" s="3">
        <v>-1.2835948003036834E-2</v>
      </c>
      <c r="C125" s="3">
        <v>1.2035948003036701E-2</v>
      </c>
    </row>
    <row r="126" spans="1:3" x14ac:dyDescent="0.3">
      <c r="A126" s="3">
        <v>102</v>
      </c>
      <c r="B126" s="3">
        <v>-1.2681547894273171E-2</v>
      </c>
      <c r="C126" s="3">
        <v>2.0881547894273156E-2</v>
      </c>
    </row>
    <row r="127" spans="1:3" x14ac:dyDescent="0.3">
      <c r="A127" s="3">
        <v>103</v>
      </c>
      <c r="B127" s="3">
        <v>-1.4264149009100613E-2</v>
      </c>
      <c r="C127" s="3">
        <v>1.7564149009100694E-2</v>
      </c>
    </row>
    <row r="128" spans="1:3" x14ac:dyDescent="0.3">
      <c r="A128" s="3">
        <v>104</v>
      </c>
      <c r="B128" s="3">
        <v>-1.4901049457750698E-2</v>
      </c>
      <c r="C128" s="3">
        <v>1.2301049457750762E-2</v>
      </c>
    </row>
    <row r="129" spans="1:3" x14ac:dyDescent="0.3">
      <c r="A129" s="3">
        <v>105</v>
      </c>
      <c r="B129" s="3">
        <v>-1.4399249104268846E-2</v>
      </c>
      <c r="C129" s="3">
        <v>8.699249104268808E-3</v>
      </c>
    </row>
    <row r="130" spans="1:3" x14ac:dyDescent="0.3">
      <c r="A130" s="3">
        <v>106</v>
      </c>
      <c r="B130" s="3">
        <v>-1.3299148329327798E-2</v>
      </c>
      <c r="C130" s="3">
        <v>1.2899148329327842E-2</v>
      </c>
    </row>
    <row r="131" spans="1:3" x14ac:dyDescent="0.3">
      <c r="A131" s="3">
        <v>107</v>
      </c>
      <c r="B131" s="3">
        <v>-1.3221948274945966E-2</v>
      </c>
      <c r="C131" s="3">
        <v>1.2121948274945865E-2</v>
      </c>
    </row>
    <row r="132" spans="1:3" x14ac:dyDescent="0.3">
      <c r="A132" s="3">
        <v>108</v>
      </c>
      <c r="B132" s="3">
        <v>-1.3009648125395928E-2</v>
      </c>
      <c r="C132" s="3">
        <v>1.0909648125395938E-2</v>
      </c>
    </row>
    <row r="133" spans="1:3" x14ac:dyDescent="0.3">
      <c r="A133" s="3">
        <v>109</v>
      </c>
      <c r="B133" s="3">
        <v>-1.2604347839891339E-2</v>
      </c>
      <c r="C133" s="3">
        <v>8.8043478398913133E-3</v>
      </c>
    </row>
    <row r="134" spans="1:3" x14ac:dyDescent="0.3">
      <c r="A134" s="3">
        <v>110</v>
      </c>
      <c r="B134" s="3">
        <v>-1.1870947323263992E-2</v>
      </c>
      <c r="C134" s="3">
        <v>1.417094732326396E-2</v>
      </c>
    </row>
    <row r="135" spans="1:3" x14ac:dyDescent="0.3">
      <c r="A135" s="3">
        <v>111</v>
      </c>
      <c r="B135" s="3">
        <v>-1.2314847635959469E-2</v>
      </c>
      <c r="C135" s="3">
        <v>1.341484763595957E-2</v>
      </c>
    </row>
    <row r="136" spans="1:3" x14ac:dyDescent="0.3">
      <c r="A136" s="3">
        <v>112</v>
      </c>
      <c r="B136" s="3">
        <v>-1.2527147785509535E-2</v>
      </c>
      <c r="C136" s="3">
        <v>1.5727147785509626E-2</v>
      </c>
    </row>
    <row r="137" spans="1:3" x14ac:dyDescent="0.3">
      <c r="A137" s="3">
        <v>113</v>
      </c>
      <c r="B137" s="3">
        <v>-1.3144748220564162E-2</v>
      </c>
      <c r="C137" s="3">
        <v>1.5444748220564131E-2</v>
      </c>
    </row>
    <row r="138" spans="1:3" x14ac:dyDescent="0.3">
      <c r="A138" s="3">
        <v>114</v>
      </c>
      <c r="B138" s="3">
        <v>-1.3588648533259667E-2</v>
      </c>
      <c r="C138" s="3">
        <v>1.1288648533259699E-2</v>
      </c>
    </row>
    <row r="139" spans="1:3" x14ac:dyDescent="0.3">
      <c r="A139" s="3">
        <v>115</v>
      </c>
      <c r="B139" s="3">
        <v>-1.3144748220564162E-2</v>
      </c>
      <c r="C139" s="3">
        <v>1.0044748220564059E-2</v>
      </c>
    </row>
    <row r="140" spans="1:3" x14ac:dyDescent="0.3">
      <c r="A140" s="3">
        <v>116</v>
      </c>
      <c r="B140" s="3">
        <v>-1.2546447799104965E-2</v>
      </c>
      <c r="C140" s="3">
        <v>1.5846447799105046E-2</v>
      </c>
    </row>
    <row r="141" spans="1:3" x14ac:dyDescent="0.3">
      <c r="A141" s="3">
        <v>117</v>
      </c>
      <c r="B141" s="3">
        <v>-1.3183348247755078E-2</v>
      </c>
      <c r="C141" s="3">
        <v>1.2183348247754966E-2</v>
      </c>
    </row>
    <row r="142" spans="1:3" x14ac:dyDescent="0.3">
      <c r="A142" s="3">
        <v>118</v>
      </c>
      <c r="B142" s="3">
        <v>-1.299034811180047E-2</v>
      </c>
      <c r="C142" s="3">
        <v>6.1903481118005532E-3</v>
      </c>
    </row>
    <row r="143" spans="1:3" x14ac:dyDescent="0.3">
      <c r="A143" s="3">
        <v>119</v>
      </c>
      <c r="B143" s="3">
        <v>-1.167794718730944E-2</v>
      </c>
      <c r="C143" s="3">
        <v>5.3779471873094675E-3</v>
      </c>
    </row>
    <row r="144" spans="1:3" x14ac:dyDescent="0.3">
      <c r="A144" s="3">
        <v>120</v>
      </c>
      <c r="B144" s="3">
        <v>-1.0462046330795671E-2</v>
      </c>
      <c r="C144" s="3">
        <v>5.7620463307955228E-3</v>
      </c>
    </row>
    <row r="145" spans="1:3" x14ac:dyDescent="0.3">
      <c r="A145" s="3">
        <v>121</v>
      </c>
      <c r="B145" s="3">
        <v>-9.5549456918091746E-3</v>
      </c>
      <c r="C145" s="3">
        <v>1.0854945691809254E-2</v>
      </c>
    </row>
    <row r="146" spans="1:3" x14ac:dyDescent="0.3">
      <c r="A146" s="3">
        <v>122</v>
      </c>
      <c r="B146" s="3">
        <v>-9.8058458685501282E-3</v>
      </c>
      <c r="C146" s="3">
        <v>5.6058458685501467E-3</v>
      </c>
    </row>
    <row r="147" spans="1:3" x14ac:dyDescent="0.3">
      <c r="A147" s="3">
        <v>123</v>
      </c>
      <c r="B147" s="3">
        <v>-8.9952452975409214E-3</v>
      </c>
      <c r="C147" s="3">
        <v>1.2395245297540991E-2</v>
      </c>
    </row>
    <row r="148" spans="1:3" x14ac:dyDescent="0.3">
      <c r="A148" s="3">
        <v>124</v>
      </c>
      <c r="B148" s="3">
        <v>-9.6514457597864645E-3</v>
      </c>
      <c r="C148" s="3">
        <v>1.7451445759786272E-2</v>
      </c>
    </row>
    <row r="149" spans="1:3" x14ac:dyDescent="0.3">
      <c r="A149" s="3">
        <v>125</v>
      </c>
      <c r="B149" s="3">
        <v>-1.1156846820232075E-2</v>
      </c>
      <c r="C149" s="3">
        <v>8.756846820232117E-3</v>
      </c>
    </row>
    <row r="150" spans="1:3" x14ac:dyDescent="0.3">
      <c r="A150" s="3">
        <v>126</v>
      </c>
      <c r="B150" s="3">
        <v>-1.0693646493941111E-2</v>
      </c>
      <c r="C150" s="3">
        <v>1.3593646493941236E-2</v>
      </c>
    </row>
    <row r="151" spans="1:3" x14ac:dyDescent="0.3">
      <c r="A151" s="3">
        <v>127</v>
      </c>
      <c r="B151" s="3">
        <v>-1.1253346888209392E-2</v>
      </c>
      <c r="C151" s="3">
        <v>7.8533468882093227E-3</v>
      </c>
    </row>
    <row r="152" spans="1:3" x14ac:dyDescent="0.3">
      <c r="A152" s="3">
        <v>128</v>
      </c>
      <c r="B152" s="3">
        <v>-1.0597146425963849E-2</v>
      </c>
      <c r="C152" s="3">
        <v>1.7397146425963766E-2</v>
      </c>
    </row>
    <row r="153" spans="1:3" x14ac:dyDescent="0.3">
      <c r="A153" s="3">
        <v>129</v>
      </c>
      <c r="B153" s="3">
        <v>-1.190954735045488E-2</v>
      </c>
      <c r="C153" s="3">
        <v>7.2095473504549534E-3</v>
      </c>
    </row>
    <row r="154" spans="1:3" x14ac:dyDescent="0.3">
      <c r="A154" s="3">
        <v>130</v>
      </c>
      <c r="B154" s="3">
        <v>-1.1002446711468439E-2</v>
      </c>
      <c r="C154" s="3">
        <v>1.3602446711468374E-2</v>
      </c>
    </row>
    <row r="155" spans="1:3" x14ac:dyDescent="0.3">
      <c r="A155" s="3">
        <v>131</v>
      </c>
      <c r="B155" s="3">
        <v>-1.150424706495029E-2</v>
      </c>
      <c r="C155" s="3">
        <v>1.1304247064950312E-2</v>
      </c>
    </row>
    <row r="156" spans="1:3" x14ac:dyDescent="0.3">
      <c r="A156" s="3">
        <v>132</v>
      </c>
      <c r="B156" s="3">
        <v>-1.1465647037759402E-2</v>
      </c>
      <c r="C156" s="3">
        <v>1.8065647037759341E-2</v>
      </c>
    </row>
    <row r="157" spans="1:3" x14ac:dyDescent="0.3">
      <c r="A157" s="3">
        <v>133</v>
      </c>
      <c r="B157" s="3">
        <v>-1.2739447935059517E-2</v>
      </c>
      <c r="C157" s="3">
        <v>1.1639447935059638E-2</v>
      </c>
    </row>
    <row r="158" spans="1:3" x14ac:dyDescent="0.3">
      <c r="A158" s="3">
        <v>134</v>
      </c>
      <c r="B158" s="3">
        <v>-1.2527147785509535E-2</v>
      </c>
      <c r="C158" s="3">
        <v>5.6271477855096286E-3</v>
      </c>
    </row>
    <row r="159" spans="1:3" x14ac:dyDescent="0.3">
      <c r="A159" s="3">
        <v>135</v>
      </c>
      <c r="B159" s="3">
        <v>-1.1195446847423018E-2</v>
      </c>
      <c r="C159" s="3">
        <v>1.1395446847422996E-2</v>
      </c>
    </row>
    <row r="160" spans="1:3" x14ac:dyDescent="0.3">
      <c r="A160" s="3">
        <v>136</v>
      </c>
      <c r="B160" s="3">
        <v>-1.1234046874613934E-2</v>
      </c>
      <c r="C160" s="3">
        <v>7.2340468746139308E-3</v>
      </c>
    </row>
    <row r="161" spans="1:3" x14ac:dyDescent="0.3">
      <c r="A161" s="3">
        <v>137</v>
      </c>
      <c r="B161" s="3">
        <v>-1.0462046330795671E-2</v>
      </c>
      <c r="C161" s="3">
        <v>1.1662046330795539E-2</v>
      </c>
    </row>
    <row r="162" spans="1:3" x14ac:dyDescent="0.3">
      <c r="A162" s="3">
        <v>138</v>
      </c>
      <c r="B162" s="3">
        <v>-1.0693646493941111E-2</v>
      </c>
      <c r="C162" s="3">
        <v>1.5493646493941249E-2</v>
      </c>
    </row>
    <row r="163" spans="1:3" x14ac:dyDescent="0.3">
      <c r="A163" s="3">
        <v>139</v>
      </c>
      <c r="B163" s="3">
        <v>-1.1620047146523066E-2</v>
      </c>
      <c r="C163" s="3">
        <v>1.7120047146522904E-2</v>
      </c>
    </row>
    <row r="164" spans="1:3" x14ac:dyDescent="0.3">
      <c r="A164" s="3">
        <v>140</v>
      </c>
      <c r="B164" s="3">
        <v>-1.2681547894273171E-2</v>
      </c>
      <c r="C164" s="3">
        <v>1.6681547894273174E-2</v>
      </c>
    </row>
    <row r="165" spans="1:3" x14ac:dyDescent="0.3">
      <c r="A165" s="3">
        <v>141</v>
      </c>
      <c r="B165" s="3">
        <v>-1.3453548438091434E-2</v>
      </c>
      <c r="C165" s="3">
        <v>8.9535484380914854E-3</v>
      </c>
    </row>
    <row r="166" spans="1:3" x14ac:dyDescent="0.3">
      <c r="A166" s="3">
        <v>142</v>
      </c>
      <c r="B166" s="3">
        <v>-1.2585047826295881E-2</v>
      </c>
      <c r="C166" s="3">
        <v>1.6885047826295851E-2</v>
      </c>
    </row>
    <row r="167" spans="1:3" x14ac:dyDescent="0.3">
      <c r="A167" s="3">
        <v>143</v>
      </c>
      <c r="B167" s="3">
        <v>-1.3414948410900518E-2</v>
      </c>
      <c r="C167" s="3">
        <v>8.3149484109006355E-3</v>
      </c>
    </row>
    <row r="168" spans="1:3" x14ac:dyDescent="0.3">
      <c r="A168" s="3">
        <v>144</v>
      </c>
      <c r="B168" s="3">
        <v>-1.2430647717532245E-2</v>
      </c>
      <c r="C168" s="3">
        <v>1.1130647717532166E-2</v>
      </c>
    </row>
    <row r="169" spans="1:3" x14ac:dyDescent="0.3">
      <c r="A169" s="3">
        <v>145</v>
      </c>
      <c r="B169" s="3">
        <v>-1.2179747540791291E-2</v>
      </c>
      <c r="C169" s="3">
        <v>7.079747540791409E-3</v>
      </c>
    </row>
    <row r="170" spans="1:3" x14ac:dyDescent="0.3">
      <c r="A170" s="3">
        <v>146</v>
      </c>
      <c r="B170" s="3">
        <v>-1.1195446847423018E-2</v>
      </c>
      <c r="C170" s="3">
        <v>4.1954468474229012E-3</v>
      </c>
    </row>
    <row r="171" spans="1:3" x14ac:dyDescent="0.3">
      <c r="A171" s="3">
        <v>147</v>
      </c>
      <c r="B171" s="3">
        <v>-9.8444458957410164E-3</v>
      </c>
      <c r="C171" s="3">
        <v>7.1444458957410917E-3</v>
      </c>
    </row>
    <row r="172" spans="1:3" x14ac:dyDescent="0.3">
      <c r="A172" s="3">
        <v>148</v>
      </c>
      <c r="B172" s="3">
        <v>-9.3233455286637068E-3</v>
      </c>
      <c r="C172" s="3">
        <v>8.6233455286635619E-3</v>
      </c>
    </row>
    <row r="173" spans="1:3" x14ac:dyDescent="0.3">
      <c r="A173" s="3">
        <v>149</v>
      </c>
      <c r="B173" s="3">
        <v>-9.1882454334954733E-3</v>
      </c>
      <c r="C173" s="3">
        <v>1.628824543349558E-2</v>
      </c>
    </row>
    <row r="174" spans="1:3" x14ac:dyDescent="0.3">
      <c r="A174" s="3">
        <v>150</v>
      </c>
      <c r="B174" s="3">
        <v>-1.0558546398772933E-2</v>
      </c>
      <c r="C174" s="3">
        <v>1.1658546398772812E-2</v>
      </c>
    </row>
    <row r="175" spans="1:3" x14ac:dyDescent="0.3">
      <c r="A175" s="3">
        <v>151</v>
      </c>
      <c r="B175" s="3">
        <v>-1.0770846548322943E-2</v>
      </c>
      <c r="C175" s="3">
        <v>2.0670846548322963E-2</v>
      </c>
    </row>
    <row r="176" spans="1:3" x14ac:dyDescent="0.3">
      <c r="A176" s="3">
        <v>152</v>
      </c>
      <c r="B176" s="3">
        <v>-1.2681547894273171E-2</v>
      </c>
      <c r="C176" s="3">
        <v>1.7781547894273275E-2</v>
      </c>
    </row>
    <row r="177" spans="1:3" x14ac:dyDescent="0.3">
      <c r="A177" s="3">
        <v>153</v>
      </c>
      <c r="B177" s="3">
        <v>-1.3665848587641471E-2</v>
      </c>
      <c r="C177" s="3">
        <v>7.7658485876414551E-3</v>
      </c>
    </row>
    <row r="178" spans="1:3" x14ac:dyDescent="0.3">
      <c r="A178" s="3">
        <v>154</v>
      </c>
      <c r="B178" s="3">
        <v>-1.2527147785509535E-2</v>
      </c>
      <c r="C178" s="3">
        <v>1.2627147785509524E-2</v>
      </c>
    </row>
    <row r="179" spans="1:3" x14ac:dyDescent="0.3">
      <c r="A179" s="3">
        <v>155</v>
      </c>
      <c r="B179" s="3">
        <v>-1.2546447799104965E-2</v>
      </c>
      <c r="C179" s="3">
        <v>8.8464477991049284E-3</v>
      </c>
    </row>
    <row r="180" spans="1:3" x14ac:dyDescent="0.3">
      <c r="A180" s="3">
        <v>156</v>
      </c>
      <c r="B180" s="3">
        <v>-1.1832347296073076E-2</v>
      </c>
      <c r="C180" s="3">
        <v>1.4532347296073E-2</v>
      </c>
    </row>
    <row r="181" spans="1:3" x14ac:dyDescent="0.3">
      <c r="A181" s="3">
        <v>157</v>
      </c>
      <c r="B181" s="3">
        <v>-1.2353447663150385E-2</v>
      </c>
      <c r="C181" s="3">
        <v>1.5153447663150521E-2</v>
      </c>
    </row>
    <row r="182" spans="1:3" x14ac:dyDescent="0.3">
      <c r="A182" s="3">
        <v>158</v>
      </c>
      <c r="B182" s="3">
        <v>-1.2893848043823208E-2</v>
      </c>
      <c r="C182" s="3">
        <v>1.4993848043823199E-2</v>
      </c>
    </row>
    <row r="183" spans="1:3" x14ac:dyDescent="0.3">
      <c r="A183" s="3">
        <v>159</v>
      </c>
      <c r="B183" s="3">
        <v>-1.3299148329327798E-2</v>
      </c>
      <c r="C183" s="3">
        <v>1.409914832932771E-2</v>
      </c>
    </row>
    <row r="184" spans="1:3" x14ac:dyDescent="0.3">
      <c r="A184" s="3">
        <v>160</v>
      </c>
      <c r="B184" s="3">
        <v>-1.3453548438091434E-2</v>
      </c>
      <c r="C184" s="3">
        <v>1.2553548438091533E-2</v>
      </c>
    </row>
    <row r="185" spans="1:3" x14ac:dyDescent="0.3">
      <c r="A185" s="3">
        <v>161</v>
      </c>
      <c r="B185" s="3">
        <v>-1.327984831573234E-2</v>
      </c>
      <c r="C185" s="3">
        <v>1.5379848315732331E-2</v>
      </c>
    </row>
    <row r="186" spans="1:3" x14ac:dyDescent="0.3">
      <c r="A186" s="3">
        <v>162</v>
      </c>
      <c r="B186" s="3">
        <v>-1.3685148601236929E-2</v>
      </c>
      <c r="C186" s="3">
        <v>1.1685148601236928E-2</v>
      </c>
    </row>
    <row r="187" spans="1:3" x14ac:dyDescent="0.3">
      <c r="A187" s="3">
        <v>163</v>
      </c>
      <c r="B187" s="3">
        <v>-1.3299148329327798E-2</v>
      </c>
      <c r="C187" s="3">
        <v>1.1999148329327719E-2</v>
      </c>
    </row>
    <row r="188" spans="1:3" x14ac:dyDescent="0.3">
      <c r="A188" s="3">
        <v>164</v>
      </c>
      <c r="B188" s="3">
        <v>-1.3048248152586844E-2</v>
      </c>
      <c r="C188" s="3">
        <v>1.7848248152586982E-2</v>
      </c>
    </row>
    <row r="189" spans="1:3" x14ac:dyDescent="0.3">
      <c r="A189" s="3">
        <v>165</v>
      </c>
      <c r="B189" s="3">
        <v>-1.3974648805168799E-2</v>
      </c>
      <c r="C189" s="3">
        <v>1.6474648805168746E-2</v>
      </c>
    </row>
    <row r="190" spans="1:3" x14ac:dyDescent="0.3">
      <c r="A190" s="3">
        <v>166</v>
      </c>
      <c r="B190" s="3">
        <v>-1.4457149145055193E-2</v>
      </c>
      <c r="C190" s="3">
        <v>1.4457149145055193E-2</v>
      </c>
    </row>
    <row r="191" spans="1:3" x14ac:dyDescent="0.3">
      <c r="A191" s="3">
        <v>167</v>
      </c>
      <c r="B191" s="3">
        <v>-1.4457149145055193E-2</v>
      </c>
      <c r="C191" s="3">
        <v>1.9357149145055097E-2</v>
      </c>
    </row>
    <row r="192" spans="1:3" x14ac:dyDescent="0.3">
      <c r="A192" s="3">
        <v>168</v>
      </c>
      <c r="B192" s="3">
        <v>-1.5402849811232577E-2</v>
      </c>
      <c r="C192" s="3">
        <v>1.200284981123273E-2</v>
      </c>
    </row>
    <row r="193" spans="1:3" x14ac:dyDescent="0.3">
      <c r="A193" s="3">
        <v>169</v>
      </c>
      <c r="B193" s="3">
        <v>-1.4746649348987062E-2</v>
      </c>
      <c r="C193" s="3">
        <v>2.8946649348987052E-2</v>
      </c>
    </row>
    <row r="194" spans="1:3" x14ac:dyDescent="0.3">
      <c r="A194" s="3">
        <v>170</v>
      </c>
      <c r="B194" s="3">
        <v>-1.7487251279541927E-2</v>
      </c>
      <c r="C194" s="3">
        <v>2.1987251279541875E-2</v>
      </c>
    </row>
    <row r="195" spans="1:3" x14ac:dyDescent="0.3">
      <c r="A195" s="3">
        <v>171</v>
      </c>
      <c r="B195" s="3">
        <v>-1.835575189133748E-2</v>
      </c>
      <c r="C195" s="3">
        <v>2.0855751891337426E-2</v>
      </c>
    </row>
    <row r="196" spans="1:3" x14ac:dyDescent="0.3">
      <c r="A196" s="3">
        <v>172</v>
      </c>
      <c r="B196" s="3">
        <v>-1.8838252231223873E-2</v>
      </c>
      <c r="C196" s="3">
        <v>1.6838252231223871E-2</v>
      </c>
    </row>
    <row r="197" spans="1:3" x14ac:dyDescent="0.3">
      <c r="A197" s="3">
        <v>173</v>
      </c>
      <c r="B197" s="3">
        <v>-1.8452251959314742E-2</v>
      </c>
      <c r="C197" s="3">
        <v>1.7252251959314874E-2</v>
      </c>
    </row>
    <row r="198" spans="1:3" x14ac:dyDescent="0.3">
      <c r="A198" s="3">
        <v>174</v>
      </c>
      <c r="B198" s="3">
        <v>-1.8220651796169302E-2</v>
      </c>
      <c r="C198" s="3">
        <v>1.7520651796169157E-2</v>
      </c>
    </row>
    <row r="199" spans="1:3" x14ac:dyDescent="0.3">
      <c r="A199" s="3">
        <v>175</v>
      </c>
      <c r="B199" s="3">
        <v>-1.8085551701001068E-2</v>
      </c>
      <c r="C199" s="3">
        <v>1.6085551701001066E-2</v>
      </c>
    </row>
    <row r="200" spans="1:3" x14ac:dyDescent="0.3">
      <c r="A200" s="3">
        <v>176</v>
      </c>
      <c r="B200" s="3">
        <v>-1.7699551429091936E-2</v>
      </c>
      <c r="C200" s="3">
        <v>2.3199551429091997E-2</v>
      </c>
    </row>
    <row r="201" spans="1:3" x14ac:dyDescent="0.3">
      <c r="A201" s="3">
        <v>177</v>
      </c>
      <c r="B201" s="3">
        <v>-1.8761052176842069E-2</v>
      </c>
      <c r="C201" s="3">
        <v>1.6261052176842122E-2</v>
      </c>
    </row>
    <row r="202" spans="1:3" x14ac:dyDescent="0.3">
      <c r="A202" s="3">
        <v>178</v>
      </c>
      <c r="B202" s="3">
        <v>-1.8278551836955648E-2</v>
      </c>
      <c r="C202" s="3">
        <v>2.1478551836955517E-2</v>
      </c>
    </row>
    <row r="203" spans="1:3" x14ac:dyDescent="0.3">
      <c r="A203" s="3">
        <v>179</v>
      </c>
      <c r="B203" s="3">
        <v>-1.8896152272010247E-2</v>
      </c>
      <c r="C203" s="3">
        <v>1.9696152272010381E-2</v>
      </c>
    </row>
    <row r="204" spans="1:3" x14ac:dyDescent="0.3">
      <c r="A204" s="3">
        <v>180</v>
      </c>
      <c r="B204" s="3">
        <v>-1.9050552380773939E-2</v>
      </c>
      <c r="C204" s="3">
        <v>2.3650552380773876E-2</v>
      </c>
    </row>
    <row r="205" spans="1:3" x14ac:dyDescent="0.3">
      <c r="A205" s="3">
        <v>181</v>
      </c>
      <c r="B205" s="3">
        <v>-1.9938353006164922E-2</v>
      </c>
      <c r="C205" s="3">
        <v>2.6838353006164828E-2</v>
      </c>
    </row>
    <row r="206" spans="1:3" x14ac:dyDescent="0.3">
      <c r="A206" s="3">
        <v>182</v>
      </c>
      <c r="B206" s="3">
        <v>-2.1270053944251438E-2</v>
      </c>
      <c r="C206" s="3">
        <v>2.0170053944251559E-2</v>
      </c>
    </row>
    <row r="207" spans="1:3" x14ac:dyDescent="0.3">
      <c r="A207" s="3">
        <v>183</v>
      </c>
      <c r="B207" s="3">
        <v>-2.1057753794701428E-2</v>
      </c>
      <c r="C207" s="3">
        <v>1.9757753794701349E-2</v>
      </c>
    </row>
    <row r="208" spans="1:3" x14ac:dyDescent="0.3">
      <c r="A208" s="3">
        <v>184</v>
      </c>
      <c r="B208" s="3">
        <v>-2.0806853617960475E-2</v>
      </c>
      <c r="C208" s="3">
        <v>1.2706853617960479E-2</v>
      </c>
    </row>
    <row r="209" spans="1:3" x14ac:dyDescent="0.3">
      <c r="A209" s="3">
        <v>185</v>
      </c>
      <c r="B209" s="3">
        <v>-1.924355251672849E-2</v>
      </c>
      <c r="C209" s="3">
        <v>2.1643552516728448E-2</v>
      </c>
    </row>
    <row r="210" spans="1:3" x14ac:dyDescent="0.3">
      <c r="A210" s="3">
        <v>186</v>
      </c>
      <c r="B210" s="3">
        <v>-1.9706752843019426E-2</v>
      </c>
      <c r="C210" s="3">
        <v>1.9806752843019415E-2</v>
      </c>
    </row>
    <row r="211" spans="1:3" x14ac:dyDescent="0.3">
      <c r="A211" s="3">
        <v>187</v>
      </c>
      <c r="B211" s="3">
        <v>-1.9726052856614884E-2</v>
      </c>
      <c r="C211" s="3">
        <v>2.1526052856614908E-2</v>
      </c>
    </row>
    <row r="212" spans="1:3" x14ac:dyDescent="0.3">
      <c r="A212" s="3">
        <v>188</v>
      </c>
      <c r="B212" s="3">
        <v>-2.00734531013331E-2</v>
      </c>
      <c r="C212" s="3">
        <v>2.1073453101333212E-2</v>
      </c>
    </row>
    <row r="213" spans="1:3" x14ac:dyDescent="0.3">
      <c r="A213" s="3">
        <v>189</v>
      </c>
      <c r="B213" s="3">
        <v>-2.0266453237287707E-2</v>
      </c>
      <c r="C213" s="3">
        <v>2.3566453237287566E-2</v>
      </c>
    </row>
    <row r="214" spans="1:3" x14ac:dyDescent="0.3">
      <c r="A214" s="3">
        <v>190</v>
      </c>
      <c r="B214" s="3">
        <v>-2.0903353685937737E-2</v>
      </c>
      <c r="C214" s="3">
        <v>2.5703353685937874E-2</v>
      </c>
    </row>
    <row r="215" spans="1:3" x14ac:dyDescent="0.3">
      <c r="A215" s="3">
        <v>191</v>
      </c>
      <c r="B215" s="3">
        <v>-2.1829754338519691E-2</v>
      </c>
      <c r="C215" s="3">
        <v>1.3629754338519706E-2</v>
      </c>
    </row>
    <row r="216" spans="1:3" x14ac:dyDescent="0.3">
      <c r="A216" s="3">
        <v>192</v>
      </c>
      <c r="B216" s="3">
        <v>-2.0247153223692249E-2</v>
      </c>
      <c r="C216" s="3">
        <v>2.3747153223692308E-2</v>
      </c>
    </row>
    <row r="217" spans="1:3" x14ac:dyDescent="0.3">
      <c r="A217" s="3">
        <v>193</v>
      </c>
      <c r="B217" s="3">
        <v>-2.092265369953325E-2</v>
      </c>
      <c r="C217" s="3">
        <v>2.5522653699533188E-2</v>
      </c>
    </row>
    <row r="218" spans="1:3" x14ac:dyDescent="0.3">
      <c r="A218" s="3">
        <v>194</v>
      </c>
      <c r="B218" s="3">
        <v>-2.1810454324924261E-2</v>
      </c>
      <c r="C218" s="3">
        <v>2.4910454324924142E-2</v>
      </c>
    </row>
    <row r="219" spans="1:3" x14ac:dyDescent="0.3">
      <c r="A219" s="3">
        <v>195</v>
      </c>
      <c r="B219" s="3">
        <v>-2.2408754746383375E-2</v>
      </c>
      <c r="C219" s="3">
        <v>1.6908754746383536E-2</v>
      </c>
    </row>
    <row r="220" spans="1:3" x14ac:dyDescent="0.3">
      <c r="A220" s="3">
        <v>196</v>
      </c>
      <c r="B220" s="3">
        <v>-2.1347253998633298E-2</v>
      </c>
      <c r="C220" s="3">
        <v>1.6147253998633204E-2</v>
      </c>
    </row>
    <row r="221" spans="1:3" x14ac:dyDescent="0.3">
      <c r="A221" s="3">
        <v>197</v>
      </c>
      <c r="B221" s="3">
        <v>-2.0343653291669511E-2</v>
      </c>
      <c r="C221" s="3">
        <v>1.3443653291669605E-2</v>
      </c>
    </row>
    <row r="222" spans="1:3" x14ac:dyDescent="0.3">
      <c r="A222" s="3">
        <v>198</v>
      </c>
      <c r="B222" s="3">
        <v>-1.9011952353583023E-2</v>
      </c>
      <c r="C222" s="3">
        <v>2.4811952353582828E-2</v>
      </c>
    </row>
    <row r="223" spans="1:3" x14ac:dyDescent="0.3">
      <c r="A223" s="3">
        <v>199</v>
      </c>
      <c r="B223" s="3">
        <v>-2.0131353142119474E-2</v>
      </c>
      <c r="C223" s="3">
        <v>1.513135314211958E-2</v>
      </c>
    </row>
    <row r="224" spans="1:3" x14ac:dyDescent="0.3">
      <c r="A224" s="3">
        <v>200</v>
      </c>
      <c r="B224" s="3">
        <v>-1.9166352462346659E-2</v>
      </c>
      <c r="C224" s="3">
        <v>1.906635246234667E-2</v>
      </c>
    </row>
    <row r="225" spans="1:3" x14ac:dyDescent="0.3">
      <c r="A225" s="3">
        <v>201</v>
      </c>
      <c r="B225" s="3">
        <v>-1.9147052448751201E-2</v>
      </c>
      <c r="C225" s="3">
        <v>1.1347052448751171E-2</v>
      </c>
    </row>
    <row r="226" spans="1:3" x14ac:dyDescent="0.3">
      <c r="A226" s="3">
        <v>202</v>
      </c>
      <c r="B226" s="3">
        <v>-1.7641651388305563E-2</v>
      </c>
      <c r="C226" s="3">
        <v>1.7441651388305585E-2</v>
      </c>
    </row>
    <row r="227" spans="1:3" x14ac:dyDescent="0.3">
      <c r="A227" s="3">
        <v>203</v>
      </c>
      <c r="B227" s="3">
        <v>-1.7603051361114647E-2</v>
      </c>
      <c r="C227" s="3">
        <v>2.280305136111474E-2</v>
      </c>
    </row>
    <row r="228" spans="1:3" x14ac:dyDescent="0.3">
      <c r="A228" s="3">
        <v>204</v>
      </c>
      <c r="B228" s="3">
        <v>-1.8606652068078433E-2</v>
      </c>
      <c r="C228" s="3">
        <v>1.6206652068078253E-2</v>
      </c>
    </row>
    <row r="229" spans="1:3" x14ac:dyDescent="0.3">
      <c r="A229" s="3">
        <v>205</v>
      </c>
      <c r="B229" s="3">
        <v>-1.8143451741787442E-2</v>
      </c>
      <c r="C229" s="3">
        <v>2.3943451741787469E-2</v>
      </c>
    </row>
    <row r="230" spans="1:3" x14ac:dyDescent="0.3">
      <c r="A230" s="3">
        <v>206</v>
      </c>
      <c r="B230" s="3">
        <v>-1.9262852530323921E-2</v>
      </c>
      <c r="C230" s="3">
        <v>1.9762852530323866E-2</v>
      </c>
    </row>
    <row r="231" spans="1:3" x14ac:dyDescent="0.3">
      <c r="A231" s="3">
        <v>207</v>
      </c>
      <c r="B231" s="3">
        <v>-1.935935259830121E-2</v>
      </c>
      <c r="C231" s="3">
        <v>1.6359352598301319E-2</v>
      </c>
    </row>
    <row r="232" spans="1:3" x14ac:dyDescent="0.3">
      <c r="A232" s="3">
        <v>208</v>
      </c>
      <c r="B232" s="3">
        <v>-1.8780352190437527E-2</v>
      </c>
      <c r="C232" s="3">
        <v>2.1080352190437496E-2</v>
      </c>
    </row>
    <row r="233" spans="1:3" x14ac:dyDescent="0.3">
      <c r="A233" s="3">
        <v>209</v>
      </c>
      <c r="B233" s="3">
        <v>-1.9224252503133032E-2</v>
      </c>
      <c r="C233" s="3">
        <v>1.4024252503133161E-2</v>
      </c>
    </row>
    <row r="234" spans="1:3" x14ac:dyDescent="0.3">
      <c r="A234" s="3">
        <v>210</v>
      </c>
      <c r="B234" s="3">
        <v>-1.8220651796169302E-2</v>
      </c>
      <c r="C234" s="3">
        <v>1.9520651796169158E-2</v>
      </c>
    </row>
    <row r="235" spans="1:3" x14ac:dyDescent="0.3">
      <c r="A235" s="3">
        <v>211</v>
      </c>
      <c r="B235" s="3">
        <v>-1.84715519729102E-2</v>
      </c>
      <c r="C235" s="3">
        <v>1.9971551972910256E-2</v>
      </c>
    </row>
    <row r="236" spans="1:3" x14ac:dyDescent="0.3">
      <c r="A236" s="3">
        <v>212</v>
      </c>
      <c r="B236" s="3">
        <v>-1.8761052176842069E-2</v>
      </c>
      <c r="C236" s="3">
        <v>1.1061052176842029E-2</v>
      </c>
    </row>
    <row r="237" spans="1:3" x14ac:dyDescent="0.3">
      <c r="A237" s="3">
        <v>213</v>
      </c>
      <c r="B237" s="3">
        <v>-1.7274951129991889E-2</v>
      </c>
      <c r="C237" s="3">
        <v>1.5574951129991854E-2</v>
      </c>
    </row>
    <row r="238" spans="1:3" x14ac:dyDescent="0.3">
      <c r="A238" s="3">
        <v>214</v>
      </c>
      <c r="B238" s="3">
        <v>-1.6946850898869104E-2</v>
      </c>
      <c r="C238" s="3">
        <v>1.6146850898869192E-2</v>
      </c>
    </row>
    <row r="239" spans="1:3" x14ac:dyDescent="0.3">
      <c r="A239" s="3">
        <v>215</v>
      </c>
      <c r="B239" s="3">
        <v>-1.6792450790105468E-2</v>
      </c>
      <c r="C239" s="3">
        <v>9.5924507901053724E-3</v>
      </c>
    </row>
    <row r="240" spans="1:3" x14ac:dyDescent="0.3">
      <c r="A240" s="3">
        <v>216</v>
      </c>
      <c r="B240" s="3">
        <v>-1.5402849811232577E-2</v>
      </c>
      <c r="C240" s="3">
        <v>2.3402849811232584E-2</v>
      </c>
    </row>
    <row r="241" spans="1:3" x14ac:dyDescent="0.3">
      <c r="A241" s="3">
        <v>217</v>
      </c>
      <c r="B241" s="3">
        <v>-1.6946850898869104E-2</v>
      </c>
      <c r="C241" s="3">
        <v>1.754685089886926E-2</v>
      </c>
    </row>
    <row r="242" spans="1:3" x14ac:dyDescent="0.3">
      <c r="A242" s="3">
        <v>218</v>
      </c>
      <c r="B242" s="3">
        <v>-1.7062650980441879E-2</v>
      </c>
      <c r="C242" s="3">
        <v>2.3962650980441785E-2</v>
      </c>
    </row>
    <row r="243" spans="1:3" x14ac:dyDescent="0.3">
      <c r="A243" s="3">
        <v>219</v>
      </c>
      <c r="B243" s="3">
        <v>-1.8394351918528395E-2</v>
      </c>
      <c r="C243" s="3">
        <v>1.8294351918528406E-2</v>
      </c>
    </row>
    <row r="244" spans="1:3" x14ac:dyDescent="0.3">
      <c r="A244" s="3">
        <v>220</v>
      </c>
      <c r="B244" s="3">
        <v>-1.8375051904932937E-2</v>
      </c>
      <c r="C244" s="3">
        <v>1.9575051904933027E-2</v>
      </c>
    </row>
    <row r="245" spans="1:3" x14ac:dyDescent="0.3">
      <c r="A245" s="3">
        <v>221</v>
      </c>
      <c r="B245" s="3">
        <v>-1.8606652068078433E-2</v>
      </c>
      <c r="C245" s="3">
        <v>1.7606652068078321E-2</v>
      </c>
    </row>
    <row r="246" spans="1:3" x14ac:dyDescent="0.3">
      <c r="A246" s="3">
        <v>222</v>
      </c>
      <c r="B246" s="3">
        <v>-1.8413651932123853E-2</v>
      </c>
      <c r="C246" s="3">
        <v>1.9313651932123754E-2</v>
      </c>
    </row>
    <row r="247" spans="1:3" x14ac:dyDescent="0.3">
      <c r="A247" s="3">
        <v>223</v>
      </c>
      <c r="B247" s="3">
        <v>-1.858735205448292E-2</v>
      </c>
      <c r="C247" s="3">
        <v>1.6287352054482951E-2</v>
      </c>
    </row>
    <row r="248" spans="1:3" x14ac:dyDescent="0.3">
      <c r="A248" s="3">
        <v>224</v>
      </c>
      <c r="B248" s="3">
        <v>-1.8143451741787442E-2</v>
      </c>
      <c r="C248" s="3">
        <v>1.1343451741787525E-2</v>
      </c>
    </row>
    <row r="249" spans="1:3" x14ac:dyDescent="0.3">
      <c r="A249" s="3">
        <v>225</v>
      </c>
      <c r="B249" s="3">
        <v>-1.6831050817296384E-2</v>
      </c>
      <c r="C249" s="3">
        <v>2.2031050817296477E-2</v>
      </c>
    </row>
    <row r="250" spans="1:3" x14ac:dyDescent="0.3">
      <c r="A250" s="3">
        <v>226</v>
      </c>
      <c r="B250" s="3">
        <v>-1.783465152426017E-2</v>
      </c>
      <c r="C250" s="3">
        <v>2.0734651524260073E-2</v>
      </c>
    </row>
    <row r="251" spans="1:3" x14ac:dyDescent="0.3">
      <c r="A251" s="3">
        <v>227</v>
      </c>
      <c r="B251" s="3">
        <v>-1.8394351918528395E-2</v>
      </c>
      <c r="C251" s="3">
        <v>2.2094351918528432E-2</v>
      </c>
    </row>
    <row r="252" spans="1:3" x14ac:dyDescent="0.3">
      <c r="A252" s="3">
        <v>228</v>
      </c>
      <c r="B252" s="3">
        <v>-1.9108452421560285E-2</v>
      </c>
      <c r="C252" s="3">
        <v>1.860845242156034E-2</v>
      </c>
    </row>
    <row r="253" spans="1:3" x14ac:dyDescent="0.3">
      <c r="A253" s="3">
        <v>229</v>
      </c>
      <c r="B253" s="3">
        <v>-1.9011952353583023E-2</v>
      </c>
      <c r="C253" s="3">
        <v>2.0511952353582857E-2</v>
      </c>
    </row>
    <row r="254" spans="1:3" x14ac:dyDescent="0.3">
      <c r="A254" s="3">
        <v>230</v>
      </c>
      <c r="B254" s="3">
        <v>-1.9301452557514837E-2</v>
      </c>
      <c r="C254" s="3">
        <v>2.0501452557514926E-2</v>
      </c>
    </row>
    <row r="255" spans="1:3" x14ac:dyDescent="0.3">
      <c r="A255" s="3">
        <v>231</v>
      </c>
      <c r="B255" s="3">
        <v>-1.9533052720660332E-2</v>
      </c>
      <c r="C255" s="3">
        <v>9.3330527206603453E-3</v>
      </c>
    </row>
    <row r="256" spans="1:3" x14ac:dyDescent="0.3">
      <c r="A256" s="3">
        <v>232</v>
      </c>
      <c r="B256" s="3">
        <v>-1.7564451333923758E-2</v>
      </c>
      <c r="C256" s="3">
        <v>1.4864451333923834E-2</v>
      </c>
    </row>
    <row r="257" spans="1:3" x14ac:dyDescent="0.3">
      <c r="A257" s="3">
        <v>233</v>
      </c>
      <c r="B257" s="3">
        <v>-1.7043350966846421E-2</v>
      </c>
      <c r="C257" s="3">
        <v>2.1243350966846403E-2</v>
      </c>
    </row>
    <row r="258" spans="1:3" x14ac:dyDescent="0.3">
      <c r="A258" s="3">
        <v>234</v>
      </c>
      <c r="B258" s="3">
        <v>-1.78539515378556E-2</v>
      </c>
      <c r="C258" s="3">
        <v>1.5153951537855453E-2</v>
      </c>
    </row>
    <row r="259" spans="1:3" x14ac:dyDescent="0.3">
      <c r="A259" s="3">
        <v>235</v>
      </c>
      <c r="B259" s="3">
        <v>-1.7332851170778263E-2</v>
      </c>
      <c r="C259" s="3">
        <v>7.732851170778432E-3</v>
      </c>
    </row>
    <row r="260" spans="1:3" x14ac:dyDescent="0.3">
      <c r="A260" s="3">
        <v>236</v>
      </c>
      <c r="B260" s="3">
        <v>-1.5480049865614437E-2</v>
      </c>
      <c r="C260" s="3">
        <v>1.058004986561431E-2</v>
      </c>
    </row>
    <row r="261" spans="1:3" x14ac:dyDescent="0.3">
      <c r="A261" s="3">
        <v>237</v>
      </c>
      <c r="B261" s="3">
        <v>-1.4534349199437024E-2</v>
      </c>
      <c r="C261" s="3">
        <v>7.1343491994369512E-3</v>
      </c>
    </row>
    <row r="262" spans="1:3" x14ac:dyDescent="0.3">
      <c r="A262" s="3">
        <v>238</v>
      </c>
      <c r="B262" s="3">
        <v>-1.3106148193373218E-2</v>
      </c>
      <c r="C262" s="3">
        <v>1.8606148193373279E-2</v>
      </c>
    </row>
    <row r="263" spans="1:3" x14ac:dyDescent="0.3">
      <c r="A263" s="3">
        <v>239</v>
      </c>
      <c r="B263" s="3">
        <v>-1.4167648941123351E-2</v>
      </c>
      <c r="C263" s="3">
        <v>1.6867648941123276E-2</v>
      </c>
    </row>
    <row r="264" spans="1:3" x14ac:dyDescent="0.3">
      <c r="A264" s="3">
        <v>240</v>
      </c>
      <c r="B264" s="3">
        <v>-1.468874930820066E-2</v>
      </c>
      <c r="C264" s="3">
        <v>2.0588749308200677E-2</v>
      </c>
    </row>
    <row r="265" spans="1:3" x14ac:dyDescent="0.3">
      <c r="A265" s="3">
        <v>241</v>
      </c>
      <c r="B265" s="3">
        <v>-1.5827450110332625E-2</v>
      </c>
      <c r="C265" s="3">
        <v>1.2627450110332755E-2</v>
      </c>
    </row>
    <row r="266" spans="1:3" x14ac:dyDescent="0.3">
      <c r="A266" s="3">
        <v>242</v>
      </c>
      <c r="B266" s="3">
        <v>-1.5209849675278025E-2</v>
      </c>
      <c r="C266" s="3">
        <v>1.2809849675278068E-2</v>
      </c>
    </row>
    <row r="267" spans="1:3" x14ac:dyDescent="0.3">
      <c r="A267" s="3">
        <v>243</v>
      </c>
      <c r="B267" s="3">
        <v>-1.4746649348987062E-2</v>
      </c>
      <c r="C267" s="3">
        <v>1.1946649348986926E-2</v>
      </c>
    </row>
    <row r="268" spans="1:3" x14ac:dyDescent="0.3">
      <c r="A268" s="3">
        <v>244</v>
      </c>
      <c r="B268" s="3">
        <v>-1.4206248968314239E-2</v>
      </c>
      <c r="C268" s="3">
        <v>2.2006248968314268E-2</v>
      </c>
    </row>
    <row r="269" spans="1:3" x14ac:dyDescent="0.3">
      <c r="A269" s="3">
        <v>245</v>
      </c>
      <c r="B269" s="3">
        <v>-1.5711650028759877E-2</v>
      </c>
      <c r="C269" s="3">
        <v>9.4116500287599048E-3</v>
      </c>
    </row>
    <row r="270" spans="1:3" x14ac:dyDescent="0.3">
      <c r="A270" s="3">
        <v>246</v>
      </c>
      <c r="B270" s="3">
        <v>-1.4495749172246108E-2</v>
      </c>
      <c r="C270" s="3">
        <v>1.3295749172246019E-2</v>
      </c>
    </row>
    <row r="271" spans="1:3" x14ac:dyDescent="0.3">
      <c r="A271" s="3">
        <v>247</v>
      </c>
      <c r="B271" s="3">
        <v>-1.4264149009100613E-2</v>
      </c>
      <c r="C271" s="3">
        <v>1.7064149009100749E-2</v>
      </c>
    </row>
    <row r="272" spans="1:3" x14ac:dyDescent="0.3">
      <c r="A272" s="3">
        <v>248</v>
      </c>
      <c r="B272" s="3">
        <v>-1.4804549389773436E-2</v>
      </c>
      <c r="C272" s="3">
        <v>6.6045493897734509E-3</v>
      </c>
    </row>
    <row r="273" spans="1:3" x14ac:dyDescent="0.3">
      <c r="A273" s="3">
        <v>249</v>
      </c>
      <c r="B273" s="3">
        <v>-1.3221948274945966E-2</v>
      </c>
      <c r="C273" s="3">
        <v>9.5219482749459294E-3</v>
      </c>
    </row>
    <row r="274" spans="1:3" x14ac:dyDescent="0.3">
      <c r="A274" s="3">
        <v>250</v>
      </c>
      <c r="B274" s="3">
        <v>-1.2507847771914077E-2</v>
      </c>
      <c r="C274" s="3">
        <v>7.7078477719139393E-3</v>
      </c>
    </row>
    <row r="275" spans="1:3" x14ac:dyDescent="0.3">
      <c r="A275" s="3">
        <v>251</v>
      </c>
      <c r="B275" s="3">
        <v>-1.1581447119332122E-2</v>
      </c>
      <c r="C275" s="3">
        <v>1.4781447119332214E-2</v>
      </c>
    </row>
    <row r="276" spans="1:3" x14ac:dyDescent="0.3">
      <c r="A276" s="3">
        <v>252</v>
      </c>
      <c r="B276" s="3">
        <v>-1.2199047554386749E-2</v>
      </c>
      <c r="C276" s="3">
        <v>8.7990475543866797E-3</v>
      </c>
    </row>
    <row r="277" spans="1:3" x14ac:dyDescent="0.3">
      <c r="A277" s="3">
        <v>253</v>
      </c>
      <c r="B277" s="3">
        <v>-1.1542847092141206E-2</v>
      </c>
      <c r="C277" s="3">
        <v>6.7428470921412909E-3</v>
      </c>
    </row>
    <row r="278" spans="1:3" x14ac:dyDescent="0.3">
      <c r="A278" s="3">
        <v>254</v>
      </c>
      <c r="B278" s="3">
        <v>-1.0616446439559307E-2</v>
      </c>
      <c r="C278" s="3">
        <v>1.2016446439559375E-2</v>
      </c>
    </row>
    <row r="279" spans="1:3" x14ac:dyDescent="0.3">
      <c r="A279" s="3">
        <v>255</v>
      </c>
      <c r="B279" s="3">
        <v>-1.0886646629895719E-2</v>
      </c>
      <c r="C279" s="3">
        <v>1.5586646629895645E-2</v>
      </c>
    </row>
    <row r="280" spans="1:3" x14ac:dyDescent="0.3">
      <c r="A280" s="3">
        <v>256</v>
      </c>
      <c r="B280" s="3">
        <v>-1.179374726888216E-2</v>
      </c>
      <c r="C280" s="3">
        <v>1.0493747268882081E-2</v>
      </c>
    </row>
    <row r="281" spans="1:3" x14ac:dyDescent="0.3">
      <c r="A281" s="3">
        <v>257</v>
      </c>
      <c r="B281" s="3">
        <v>-1.1542847092141206E-2</v>
      </c>
      <c r="C281" s="3">
        <v>1.6442847092141333E-2</v>
      </c>
    </row>
    <row r="282" spans="1:3" x14ac:dyDescent="0.3">
      <c r="A282" s="3">
        <v>258</v>
      </c>
      <c r="B282" s="3">
        <v>-1.2488547758318619E-2</v>
      </c>
      <c r="C282" s="3">
        <v>1.888854775831858E-2</v>
      </c>
    </row>
    <row r="283" spans="1:3" x14ac:dyDescent="0.3">
      <c r="A283" s="3">
        <v>259</v>
      </c>
      <c r="B283" s="3">
        <v>-1.3723748628427845E-2</v>
      </c>
      <c r="C283" s="3">
        <v>1.32237486284279E-2</v>
      </c>
    </row>
    <row r="284" spans="1:3" x14ac:dyDescent="0.3">
      <c r="A284" s="3">
        <v>260</v>
      </c>
      <c r="B284" s="3">
        <v>-1.3627248560450556E-2</v>
      </c>
      <c r="C284" s="3">
        <v>1.7827248560450537E-2</v>
      </c>
    </row>
    <row r="285" spans="1:3" x14ac:dyDescent="0.3">
      <c r="A285" s="3">
        <v>261</v>
      </c>
      <c r="B285" s="3">
        <v>-1.4437849131459762E-2</v>
      </c>
      <c r="C285" s="3">
        <v>1.2837849131459717E-2</v>
      </c>
    </row>
    <row r="286" spans="1:3" x14ac:dyDescent="0.3">
      <c r="A286" s="3">
        <v>262</v>
      </c>
      <c r="B286" s="3">
        <v>-1.4129048913932435E-2</v>
      </c>
      <c r="C286" s="3">
        <v>1.5429048913932514E-2</v>
      </c>
    </row>
    <row r="287" spans="1:3" x14ac:dyDescent="0.3">
      <c r="A287" s="3">
        <v>263</v>
      </c>
      <c r="B287" s="3">
        <v>-1.4379949090673388E-2</v>
      </c>
      <c r="C287" s="3">
        <v>1.8079949090673425E-2</v>
      </c>
    </row>
    <row r="288" spans="1:3" x14ac:dyDescent="0.3">
      <c r="A288" s="3">
        <v>264</v>
      </c>
      <c r="B288" s="3">
        <v>-1.5094049593705305E-2</v>
      </c>
      <c r="C288" s="3">
        <v>1.8294049593705175E-2</v>
      </c>
    </row>
    <row r="289" spans="1:3" x14ac:dyDescent="0.3">
      <c r="A289" s="3">
        <v>265</v>
      </c>
      <c r="B289" s="3">
        <v>-1.5711650028759877E-2</v>
      </c>
      <c r="C289" s="3">
        <v>1.4411650028759798E-2</v>
      </c>
    </row>
    <row r="290" spans="1:3" x14ac:dyDescent="0.3">
      <c r="A290" s="3">
        <v>266</v>
      </c>
      <c r="B290" s="3">
        <v>-1.5460749852018923E-2</v>
      </c>
      <c r="C290" s="3">
        <v>1.7260749852018947E-2</v>
      </c>
    </row>
    <row r="291" spans="1:3" x14ac:dyDescent="0.3">
      <c r="A291" s="3">
        <v>267</v>
      </c>
      <c r="B291" s="3">
        <v>-1.5808150096737167E-2</v>
      </c>
      <c r="C291" s="3">
        <v>2.0808150096737282E-2</v>
      </c>
    </row>
    <row r="292" spans="1:3" x14ac:dyDescent="0.3">
      <c r="A292" s="3">
        <v>268</v>
      </c>
      <c r="B292" s="3">
        <v>-1.677315077651001E-2</v>
      </c>
      <c r="C292" s="3">
        <v>1.677315077651001E-2</v>
      </c>
    </row>
    <row r="293" spans="1:3" x14ac:dyDescent="0.3">
      <c r="A293" s="3">
        <v>269</v>
      </c>
      <c r="B293" s="3">
        <v>-1.677315077651001E-2</v>
      </c>
      <c r="C293" s="3">
        <v>1.677315077651001E-2</v>
      </c>
    </row>
    <row r="294" spans="1:3" x14ac:dyDescent="0.3">
      <c r="A294" s="3">
        <v>270</v>
      </c>
      <c r="B294" s="3">
        <v>-1.677315077651001E-2</v>
      </c>
      <c r="C294" s="3">
        <v>1.4973150776509986E-2</v>
      </c>
    </row>
    <row r="295" spans="1:3" x14ac:dyDescent="0.3">
      <c r="A295" s="3">
        <v>271</v>
      </c>
      <c r="B295" s="3">
        <v>-1.6425750531791794E-2</v>
      </c>
      <c r="C295" s="3">
        <v>2.4825750531791757E-2</v>
      </c>
    </row>
    <row r="296" spans="1:3" x14ac:dyDescent="0.3">
      <c r="A296" s="3">
        <v>272</v>
      </c>
      <c r="B296" s="3">
        <v>-1.8046951673810152E-2</v>
      </c>
      <c r="C296" s="3">
        <v>1.6446951673810106E-2</v>
      </c>
    </row>
    <row r="297" spans="1:3" x14ac:dyDescent="0.3">
      <c r="A297" s="3">
        <v>273</v>
      </c>
      <c r="B297" s="3">
        <v>-1.7738151456282852E-2</v>
      </c>
      <c r="C297" s="3">
        <v>1.8438151456282997E-2</v>
      </c>
    </row>
    <row r="298" spans="1:3" x14ac:dyDescent="0.3">
      <c r="A298" s="3">
        <v>274</v>
      </c>
      <c r="B298" s="3">
        <v>-1.7873251551451058E-2</v>
      </c>
      <c r="C298" s="3">
        <v>2.1173251551450917E-2</v>
      </c>
    </row>
    <row r="299" spans="1:3" x14ac:dyDescent="0.3">
      <c r="A299" s="3">
        <v>275</v>
      </c>
      <c r="B299" s="3">
        <v>-1.8510152000101115E-2</v>
      </c>
      <c r="C299" s="3">
        <v>1.8010152000101171E-2</v>
      </c>
    </row>
    <row r="300" spans="1:3" x14ac:dyDescent="0.3">
      <c r="A300" s="3">
        <v>276</v>
      </c>
      <c r="B300" s="3">
        <v>-1.8413651932123853E-2</v>
      </c>
      <c r="C300" s="3">
        <v>8.4136519321238445E-3</v>
      </c>
    </row>
    <row r="301" spans="1:3" x14ac:dyDescent="0.3">
      <c r="A301" s="3">
        <v>277</v>
      </c>
      <c r="B301" s="3">
        <v>-1.6483650572578168E-2</v>
      </c>
      <c r="C301" s="3">
        <v>2.0783650572578138E-2</v>
      </c>
    </row>
    <row r="302" spans="1:3" x14ac:dyDescent="0.3">
      <c r="A302" s="3">
        <v>278</v>
      </c>
      <c r="B302" s="3">
        <v>-1.7313551157182805E-2</v>
      </c>
      <c r="C302" s="3">
        <v>1.2513551157182889E-2</v>
      </c>
    </row>
    <row r="303" spans="1:3" x14ac:dyDescent="0.3">
      <c r="A303" s="3">
        <v>279</v>
      </c>
      <c r="B303" s="3">
        <v>-1.6387150504600878E-2</v>
      </c>
      <c r="C303" s="3">
        <v>1.5587150504600744E-2</v>
      </c>
    </row>
    <row r="304" spans="1:3" x14ac:dyDescent="0.3">
      <c r="A304" s="3">
        <v>280</v>
      </c>
      <c r="B304" s="3">
        <v>-1.6232750395837214E-2</v>
      </c>
      <c r="C304" s="3">
        <v>2.2132750395837231E-2</v>
      </c>
    </row>
    <row r="305" spans="1:3" x14ac:dyDescent="0.3">
      <c r="A305" s="3">
        <v>281</v>
      </c>
      <c r="B305" s="3">
        <v>-1.7371451197969151E-2</v>
      </c>
      <c r="C305" s="3">
        <v>2.7271451197969171E-2</v>
      </c>
    </row>
    <row r="306" spans="1:3" x14ac:dyDescent="0.3">
      <c r="A306" s="3">
        <v>282</v>
      </c>
      <c r="B306" s="3">
        <v>-1.9282152543919379E-2</v>
      </c>
      <c r="C306" s="3">
        <v>1.5882152543919531E-2</v>
      </c>
    </row>
    <row r="307" spans="1:3" x14ac:dyDescent="0.3">
      <c r="A307" s="3">
        <v>283</v>
      </c>
      <c r="B307" s="3">
        <v>-1.8625952081673891E-2</v>
      </c>
      <c r="C307" s="3">
        <v>2.0325952081673704E-2</v>
      </c>
    </row>
    <row r="308" spans="1:3" x14ac:dyDescent="0.3">
      <c r="A308" s="3">
        <v>284</v>
      </c>
      <c r="B308" s="3">
        <v>-1.8954052312796621E-2</v>
      </c>
      <c r="C308" s="3">
        <v>1.1254052312796803E-2</v>
      </c>
    </row>
    <row r="309" spans="1:3" x14ac:dyDescent="0.3">
      <c r="A309" s="3">
        <v>285</v>
      </c>
      <c r="B309" s="3">
        <v>-1.7467951265946469E-2</v>
      </c>
      <c r="C309" s="3">
        <v>1.836795126594637E-2</v>
      </c>
    </row>
    <row r="310" spans="1:3" x14ac:dyDescent="0.3">
      <c r="A310" s="3">
        <v>286</v>
      </c>
      <c r="B310" s="3">
        <v>-1.7641651388305563E-2</v>
      </c>
      <c r="C310" s="3">
        <v>2.3841651388305546E-2</v>
      </c>
    </row>
    <row r="311" spans="1:3" x14ac:dyDescent="0.3">
      <c r="A311" s="3">
        <v>287</v>
      </c>
      <c r="B311" s="3">
        <v>-1.8838252231223873E-2</v>
      </c>
      <c r="C311" s="3">
        <v>1.9938252231223974E-2</v>
      </c>
    </row>
    <row r="312" spans="1:3" x14ac:dyDescent="0.3">
      <c r="A312" s="3">
        <v>288</v>
      </c>
      <c r="B312" s="3">
        <v>-1.9050552380773939E-2</v>
      </c>
      <c r="C312" s="3">
        <v>2.5950552380773845E-2</v>
      </c>
    </row>
    <row r="313" spans="1:3" x14ac:dyDescent="0.3">
      <c r="A313" s="3">
        <v>289</v>
      </c>
      <c r="B313" s="3">
        <v>-2.0382253318860427E-2</v>
      </c>
      <c r="C313" s="3">
        <v>1.5582253318860512E-2</v>
      </c>
    </row>
    <row r="314" spans="1:3" x14ac:dyDescent="0.3">
      <c r="A314" s="3">
        <v>290</v>
      </c>
      <c r="B314" s="3">
        <v>-1.9455852666278528E-2</v>
      </c>
      <c r="C314" s="3">
        <v>2.4855852666278377E-2</v>
      </c>
    </row>
    <row r="315" spans="1:3" x14ac:dyDescent="0.3">
      <c r="A315" s="3">
        <v>291</v>
      </c>
      <c r="B315" s="3">
        <v>-2.0498053400433147E-2</v>
      </c>
      <c r="C315" s="3">
        <v>1.5798053400433221E-2</v>
      </c>
    </row>
    <row r="316" spans="1:3" x14ac:dyDescent="0.3">
      <c r="A316" s="3">
        <v>292</v>
      </c>
      <c r="B316" s="3">
        <v>-1.9590952761446706E-2</v>
      </c>
      <c r="C316" s="3">
        <v>2.3190952761446754E-2</v>
      </c>
    </row>
    <row r="317" spans="1:3" x14ac:dyDescent="0.3">
      <c r="A317" s="3">
        <v>293</v>
      </c>
      <c r="B317" s="3">
        <v>-2.0285753250883165E-2</v>
      </c>
      <c r="C317" s="3">
        <v>2.3785753250883224E-2</v>
      </c>
    </row>
    <row r="318" spans="1:3" x14ac:dyDescent="0.3">
      <c r="A318" s="3">
        <v>294</v>
      </c>
      <c r="B318" s="3">
        <v>-2.0961253726724166E-2</v>
      </c>
      <c r="C318" s="3">
        <v>1.4961253726724161E-2</v>
      </c>
    </row>
    <row r="319" spans="1:3" x14ac:dyDescent="0.3">
      <c r="A319" s="3">
        <v>295</v>
      </c>
      <c r="B319" s="3">
        <v>-1.9803252910996744E-2</v>
      </c>
      <c r="C319" s="3">
        <v>2.0003252910996722E-2</v>
      </c>
    </row>
    <row r="320" spans="1:3" x14ac:dyDescent="0.3">
      <c r="A320" s="3">
        <v>296</v>
      </c>
      <c r="B320" s="3">
        <v>-1.984185293818766E-2</v>
      </c>
      <c r="C320" s="3">
        <v>1.9541852938187693E-2</v>
      </c>
    </row>
    <row r="321" spans="1:3" x14ac:dyDescent="0.3">
      <c r="A321" s="3">
        <v>297</v>
      </c>
      <c r="B321" s="3">
        <v>-1.9783952897401286E-2</v>
      </c>
      <c r="C321" s="3">
        <v>2.3383952897401111E-2</v>
      </c>
    </row>
    <row r="322" spans="1:3" x14ac:dyDescent="0.3">
      <c r="A322" s="3">
        <v>298</v>
      </c>
      <c r="B322" s="3">
        <v>-2.0478753386837717E-2</v>
      </c>
      <c r="C322" s="3">
        <v>1.9078753386837871E-2</v>
      </c>
    </row>
    <row r="323" spans="1:3" x14ac:dyDescent="0.3">
      <c r="A323" s="3">
        <v>299</v>
      </c>
      <c r="B323" s="3">
        <v>-2.0208553196501333E-2</v>
      </c>
      <c r="C323" s="3">
        <v>2.0008553196501355E-2</v>
      </c>
    </row>
    <row r="324" spans="1:3" x14ac:dyDescent="0.3">
      <c r="A324" s="3">
        <v>300</v>
      </c>
      <c r="B324" s="3">
        <v>-2.0169953169310417E-2</v>
      </c>
      <c r="C324" s="3">
        <v>1.1669953169310243E-2</v>
      </c>
    </row>
    <row r="325" spans="1:3" x14ac:dyDescent="0.3">
      <c r="A325" s="3">
        <v>301</v>
      </c>
      <c r="B325" s="3">
        <v>-1.8529452013696573E-2</v>
      </c>
      <c r="C325" s="3">
        <v>2.2629452013696566E-2</v>
      </c>
    </row>
    <row r="326" spans="1:3" x14ac:dyDescent="0.3">
      <c r="A326" s="3">
        <v>302</v>
      </c>
      <c r="B326" s="3">
        <v>-1.9320752571110295E-2</v>
      </c>
      <c r="C326" s="3">
        <v>2.1720752571110474E-2</v>
      </c>
    </row>
    <row r="327" spans="1:3" x14ac:dyDescent="0.3">
      <c r="A327" s="3">
        <v>303</v>
      </c>
      <c r="B327" s="3">
        <v>-1.9783952897401286E-2</v>
      </c>
      <c r="C327" s="3">
        <v>1.7983952897401262E-2</v>
      </c>
    </row>
    <row r="328" spans="1:3" x14ac:dyDescent="0.3">
      <c r="A328" s="3">
        <v>304</v>
      </c>
      <c r="B328" s="3">
        <v>-1.943655265268307E-2</v>
      </c>
      <c r="C328" s="3">
        <v>2.0136552652682993E-2</v>
      </c>
    </row>
    <row r="329" spans="1:3" x14ac:dyDescent="0.3">
      <c r="A329" s="3">
        <v>305</v>
      </c>
      <c r="B329" s="3">
        <v>-1.9571652747851248E-2</v>
      </c>
      <c r="C329" s="3">
        <v>1.8671652747851347E-2</v>
      </c>
    </row>
    <row r="330" spans="1:3" x14ac:dyDescent="0.3">
      <c r="A330" s="3">
        <v>306</v>
      </c>
      <c r="B330" s="3">
        <v>-1.9397952625492154E-2</v>
      </c>
      <c r="C330" s="3">
        <v>1.309795262549196E-2</v>
      </c>
    </row>
    <row r="331" spans="1:3" x14ac:dyDescent="0.3">
      <c r="A331" s="3">
        <v>307</v>
      </c>
      <c r="B331" s="3">
        <v>-1.818205176897833E-2</v>
      </c>
      <c r="C331" s="3">
        <v>1.938205176897842E-2</v>
      </c>
    </row>
    <row r="332" spans="1:3" x14ac:dyDescent="0.3">
      <c r="A332" s="3">
        <v>308</v>
      </c>
      <c r="B332" s="3">
        <v>-1.8413651932123853E-2</v>
      </c>
      <c r="C332" s="3">
        <v>1.9013651932123787E-2</v>
      </c>
    </row>
    <row r="333" spans="1:3" x14ac:dyDescent="0.3">
      <c r="A333" s="3">
        <v>309</v>
      </c>
      <c r="B333" s="3">
        <v>-1.8529452013696573E-2</v>
      </c>
      <c r="C333" s="3">
        <v>5.5294520136966729E-3</v>
      </c>
    </row>
    <row r="334" spans="1:3" x14ac:dyDescent="0.3">
      <c r="A334" s="3">
        <v>310</v>
      </c>
      <c r="B334" s="3">
        <v>-1.6020450246287204E-2</v>
      </c>
      <c r="C334" s="3">
        <v>7.2204502462872855E-3</v>
      </c>
    </row>
    <row r="335" spans="1:3" x14ac:dyDescent="0.3">
      <c r="A335" s="3">
        <v>311</v>
      </c>
      <c r="B335" s="3">
        <v>-1.4322049049887015E-2</v>
      </c>
      <c r="C335" s="3">
        <v>9.722049049886855E-3</v>
      </c>
    </row>
    <row r="336" spans="1:3" x14ac:dyDescent="0.3">
      <c r="A336" s="3">
        <v>312</v>
      </c>
      <c r="B336" s="3">
        <v>-1.3434248424495976E-2</v>
      </c>
      <c r="C336" s="3">
        <v>1.8934248424496036E-2</v>
      </c>
    </row>
    <row r="337" spans="1:3" x14ac:dyDescent="0.3">
      <c r="A337" s="3">
        <v>313</v>
      </c>
      <c r="B337" s="3">
        <v>-1.4495749172246108E-2</v>
      </c>
      <c r="C337" s="3">
        <v>1.6795749172246077E-2</v>
      </c>
    </row>
    <row r="338" spans="1:3" x14ac:dyDescent="0.3">
      <c r="A338" s="3">
        <v>314</v>
      </c>
      <c r="B338" s="3">
        <v>-1.4939649484941614E-2</v>
      </c>
      <c r="C338" s="3">
        <v>1.3639649484941535E-2</v>
      </c>
    </row>
    <row r="339" spans="1:3" x14ac:dyDescent="0.3">
      <c r="A339" s="3">
        <v>315</v>
      </c>
      <c r="B339" s="3">
        <v>-1.468874930820066E-2</v>
      </c>
      <c r="C339" s="3">
        <v>1.5188749308200827E-2</v>
      </c>
    </row>
    <row r="340" spans="1:3" x14ac:dyDescent="0.3">
      <c r="A340" s="3">
        <v>316</v>
      </c>
      <c r="B340" s="3">
        <v>-1.4785249376177978E-2</v>
      </c>
      <c r="C340" s="3">
        <v>1.5085249376177945E-2</v>
      </c>
    </row>
    <row r="341" spans="1:3" x14ac:dyDescent="0.3">
      <c r="A341" s="3">
        <v>317</v>
      </c>
      <c r="B341" s="3">
        <v>-1.4843149416964352E-2</v>
      </c>
      <c r="C341" s="3">
        <v>1.3943149416964229E-2</v>
      </c>
    </row>
    <row r="342" spans="1:3" x14ac:dyDescent="0.3">
      <c r="A342" s="3">
        <v>318</v>
      </c>
      <c r="B342" s="3">
        <v>-1.4669449294605202E-2</v>
      </c>
      <c r="C342" s="3">
        <v>1.17694492946053E-2</v>
      </c>
    </row>
    <row r="343" spans="1:3" x14ac:dyDescent="0.3">
      <c r="A343" s="3">
        <v>319</v>
      </c>
      <c r="B343" s="3">
        <v>-1.4109748900336977E-2</v>
      </c>
      <c r="C343" s="3">
        <v>1.0109748900336973E-2</v>
      </c>
    </row>
    <row r="344" spans="1:3" x14ac:dyDescent="0.3">
      <c r="A344" s="3">
        <v>320</v>
      </c>
      <c r="B344" s="3">
        <v>-1.3337748356518714E-2</v>
      </c>
      <c r="C344" s="3">
        <v>1.2637748356518791E-2</v>
      </c>
    </row>
    <row r="345" spans="1:3" x14ac:dyDescent="0.3">
      <c r="A345" s="3">
        <v>321</v>
      </c>
      <c r="B345" s="3">
        <v>-1.3202648261350536E-2</v>
      </c>
      <c r="C345" s="3">
        <v>1.480264826135036E-2</v>
      </c>
    </row>
    <row r="346" spans="1:3" x14ac:dyDescent="0.3">
      <c r="A346" s="3">
        <v>322</v>
      </c>
      <c r="B346" s="3">
        <v>-1.3511448478877808E-2</v>
      </c>
      <c r="C346" s="3">
        <v>1.3211448478877841E-2</v>
      </c>
    </row>
    <row r="347" spans="1:3" x14ac:dyDescent="0.3">
      <c r="A347" s="3">
        <v>323</v>
      </c>
      <c r="B347" s="3">
        <v>-1.3453548438091434E-2</v>
      </c>
      <c r="C347" s="3">
        <v>9.5535484380914193E-3</v>
      </c>
    </row>
    <row r="348" spans="1:3" x14ac:dyDescent="0.3">
      <c r="A348" s="3">
        <v>324</v>
      </c>
      <c r="B348" s="3">
        <v>-1.2700847907868629E-2</v>
      </c>
      <c r="C348" s="3">
        <v>9.4008479078687701E-3</v>
      </c>
    </row>
    <row r="349" spans="1:3" x14ac:dyDescent="0.3">
      <c r="A349" s="3">
        <v>325</v>
      </c>
      <c r="B349" s="3">
        <v>-1.2063947459218571E-2</v>
      </c>
      <c r="C349" s="3">
        <v>1.7363947459218432E-2</v>
      </c>
    </row>
    <row r="350" spans="1:3" x14ac:dyDescent="0.3">
      <c r="A350" s="3">
        <v>326</v>
      </c>
      <c r="B350" s="3">
        <v>-1.308684817977776E-2</v>
      </c>
      <c r="C350" s="3">
        <v>1.6186848179777863E-2</v>
      </c>
    </row>
    <row r="351" spans="1:3" x14ac:dyDescent="0.3">
      <c r="A351" s="3">
        <v>327</v>
      </c>
      <c r="B351" s="3">
        <v>-1.3685148601236929E-2</v>
      </c>
      <c r="C351" s="3">
        <v>1.2285148601236862E-2</v>
      </c>
    </row>
    <row r="352" spans="1:3" x14ac:dyDescent="0.3">
      <c r="A352" s="3">
        <v>328</v>
      </c>
      <c r="B352" s="3">
        <v>-1.3414948410900518E-2</v>
      </c>
      <c r="C352" s="3">
        <v>4.9149484109005659E-3</v>
      </c>
    </row>
    <row r="353" spans="1:3" x14ac:dyDescent="0.3">
      <c r="A353" s="3">
        <v>329</v>
      </c>
      <c r="B353" s="3">
        <v>-1.1774447255286702E-2</v>
      </c>
      <c r="C353" s="3">
        <v>1.7874447255286696E-2</v>
      </c>
    </row>
    <row r="354" spans="1:3" x14ac:dyDescent="0.3">
      <c r="A354" s="3">
        <v>330</v>
      </c>
      <c r="B354" s="3">
        <v>-1.2951748084609582E-2</v>
      </c>
      <c r="C354" s="3">
        <v>1.0651748084609614E-2</v>
      </c>
    </row>
    <row r="355" spans="1:3" x14ac:dyDescent="0.3">
      <c r="A355" s="3">
        <v>331</v>
      </c>
      <c r="B355" s="3">
        <v>-1.2507847771914077E-2</v>
      </c>
      <c r="C355" s="3">
        <v>1.1807847771914154E-2</v>
      </c>
    </row>
    <row r="356" spans="1:3" x14ac:dyDescent="0.3">
      <c r="A356" s="3">
        <v>332</v>
      </c>
      <c r="B356" s="3">
        <v>-1.2372747676745899E-2</v>
      </c>
      <c r="C356" s="3">
        <v>1.1672747676745754E-2</v>
      </c>
    </row>
    <row r="357" spans="1:3" x14ac:dyDescent="0.3">
      <c r="A357" s="3">
        <v>333</v>
      </c>
      <c r="B357" s="3">
        <v>-1.2237647581577665E-2</v>
      </c>
      <c r="C357" s="3">
        <v>1.0337647581577653E-2</v>
      </c>
    </row>
    <row r="358" spans="1:3" x14ac:dyDescent="0.3">
      <c r="A358" s="3">
        <v>334</v>
      </c>
      <c r="B358" s="3">
        <v>-1.1870947323263992E-2</v>
      </c>
      <c r="C358" s="3">
        <v>1.3170947323264071E-2</v>
      </c>
    </row>
    <row r="359" spans="1:3" x14ac:dyDescent="0.3">
      <c r="A359" s="3">
        <v>335</v>
      </c>
      <c r="B359" s="3">
        <v>-1.2121847500004945E-2</v>
      </c>
      <c r="C359" s="3">
        <v>9.9218475000049655E-3</v>
      </c>
    </row>
    <row r="360" spans="1:3" x14ac:dyDescent="0.3">
      <c r="A360" s="3">
        <v>336</v>
      </c>
      <c r="B360" s="3">
        <v>-1.1697247200904898E-2</v>
      </c>
      <c r="C360" s="3">
        <v>1.1797247200904887E-2</v>
      </c>
    </row>
    <row r="361" spans="1:3" x14ac:dyDescent="0.3">
      <c r="A361" s="3">
        <v>337</v>
      </c>
      <c r="B361" s="3">
        <v>-1.1716547214500356E-2</v>
      </c>
      <c r="C361" s="3">
        <v>1.4516547214500269E-2</v>
      </c>
    </row>
    <row r="362" spans="1:3" x14ac:dyDescent="0.3">
      <c r="A362" s="3">
        <v>338</v>
      </c>
      <c r="B362" s="3">
        <v>-1.2256947595173123E-2</v>
      </c>
      <c r="C362" s="3">
        <v>1.375694759517318E-2</v>
      </c>
    </row>
    <row r="363" spans="1:3" x14ac:dyDescent="0.3">
      <c r="A363" s="3">
        <v>339</v>
      </c>
      <c r="B363" s="3">
        <v>-1.2546447799104965E-2</v>
      </c>
      <c r="C363" s="3">
        <v>1.5346447799104879E-2</v>
      </c>
    </row>
    <row r="364" spans="1:3" x14ac:dyDescent="0.3">
      <c r="A364" s="3">
        <v>340</v>
      </c>
      <c r="B364" s="3">
        <v>-1.308684817977776E-2</v>
      </c>
      <c r="C364" s="3">
        <v>1.7486848179777942E-2</v>
      </c>
    </row>
    <row r="365" spans="1:3" x14ac:dyDescent="0.3">
      <c r="A365" s="3">
        <v>341</v>
      </c>
      <c r="B365" s="3">
        <v>-1.3936048777977883E-2</v>
      </c>
      <c r="C365" s="3">
        <v>1.2336048777977837E-2</v>
      </c>
    </row>
    <row r="366" spans="1:3" x14ac:dyDescent="0.3">
      <c r="A366" s="3">
        <v>342</v>
      </c>
      <c r="B366" s="3">
        <v>-1.3627248560450556E-2</v>
      </c>
      <c r="C366" s="3">
        <v>1.3327248560450589E-2</v>
      </c>
    </row>
    <row r="367" spans="1:3" x14ac:dyDescent="0.3">
      <c r="A367" s="3">
        <v>343</v>
      </c>
      <c r="B367" s="3">
        <v>-1.3569348519664209E-2</v>
      </c>
      <c r="C367" s="3">
        <v>1.2869348519664064E-2</v>
      </c>
    </row>
    <row r="368" spans="1:3" x14ac:dyDescent="0.3">
      <c r="A368" s="3">
        <v>344</v>
      </c>
      <c r="B368" s="3">
        <v>-1.3434248424495976E-2</v>
      </c>
      <c r="C368" s="3">
        <v>1.0934248424496029E-2</v>
      </c>
    </row>
    <row r="369" spans="1:3" x14ac:dyDescent="0.3">
      <c r="A369" s="3">
        <v>345</v>
      </c>
      <c r="B369" s="3">
        <v>-1.2951748084609582E-2</v>
      </c>
      <c r="C369" s="3">
        <v>1.2651748084609615E-2</v>
      </c>
    </row>
    <row r="370" spans="1:3" x14ac:dyDescent="0.3">
      <c r="A370" s="3">
        <v>346</v>
      </c>
      <c r="B370" s="3">
        <v>-1.2893848043823208E-2</v>
      </c>
      <c r="C370" s="3">
        <v>5.6938480438231132E-3</v>
      </c>
    </row>
    <row r="371" spans="1:3" x14ac:dyDescent="0.3">
      <c r="A371" s="3">
        <v>347</v>
      </c>
      <c r="B371" s="3">
        <v>-1.150424706495029E-2</v>
      </c>
      <c r="C371" s="3">
        <v>9.2042470649503216E-3</v>
      </c>
    </row>
    <row r="372" spans="1:3" x14ac:dyDescent="0.3">
      <c r="A372" s="3">
        <v>348</v>
      </c>
      <c r="B372" s="3">
        <v>-1.1060346752254785E-2</v>
      </c>
      <c r="C372" s="3">
        <v>9.1603467522547721E-3</v>
      </c>
    </row>
    <row r="373" spans="1:3" x14ac:dyDescent="0.3">
      <c r="A373" s="3">
        <v>349</v>
      </c>
      <c r="B373" s="3">
        <v>-1.0693646493941111E-2</v>
      </c>
      <c r="C373" s="3">
        <v>1.2593646493941124E-2</v>
      </c>
    </row>
    <row r="374" spans="1:3" x14ac:dyDescent="0.3">
      <c r="A374" s="3">
        <v>350</v>
      </c>
      <c r="B374" s="3">
        <v>-1.1060346752254785E-2</v>
      </c>
      <c r="C374" s="3">
        <v>1.0060346752254895E-2</v>
      </c>
    </row>
    <row r="375" spans="1:3" x14ac:dyDescent="0.3">
      <c r="A375" s="3">
        <v>351</v>
      </c>
      <c r="B375" s="3">
        <v>-1.0867346616300261E-2</v>
      </c>
      <c r="C375" s="3">
        <v>1.7267346616300222E-2</v>
      </c>
    </row>
    <row r="376" spans="1:3" x14ac:dyDescent="0.3">
      <c r="A376" s="3">
        <v>352</v>
      </c>
      <c r="B376" s="3">
        <v>-1.2102547486409487E-2</v>
      </c>
      <c r="C376" s="3">
        <v>1.0702547486409419E-2</v>
      </c>
    </row>
    <row r="377" spans="1:3" x14ac:dyDescent="0.3">
      <c r="A377" s="3">
        <v>353</v>
      </c>
      <c r="B377" s="3">
        <v>-1.1832347296073076E-2</v>
      </c>
      <c r="C377" s="3">
        <v>4.9323472960731696E-3</v>
      </c>
    </row>
    <row r="378" spans="1:3" x14ac:dyDescent="0.3">
      <c r="A378" s="3">
        <v>354</v>
      </c>
      <c r="B378" s="3">
        <v>-1.0500646357986559E-2</v>
      </c>
      <c r="C378" s="3">
        <v>1.0700646357986537E-2</v>
      </c>
    </row>
    <row r="379" spans="1:3" x14ac:dyDescent="0.3">
      <c r="A379" s="3">
        <v>355</v>
      </c>
      <c r="B379" s="3">
        <v>-1.0539246385177475E-2</v>
      </c>
      <c r="C379" s="3">
        <v>6.9392463851774278E-3</v>
      </c>
    </row>
    <row r="380" spans="1:3" x14ac:dyDescent="0.3">
      <c r="A380" s="3">
        <v>356</v>
      </c>
      <c r="B380" s="3">
        <v>-9.8444458957410164E-3</v>
      </c>
      <c r="C380" s="3">
        <v>1.2044445895740996E-2</v>
      </c>
    </row>
    <row r="381" spans="1:3" x14ac:dyDescent="0.3">
      <c r="A381" s="3">
        <v>357</v>
      </c>
      <c r="B381" s="3">
        <v>-1.0269046194841064E-2</v>
      </c>
      <c r="C381" s="3">
        <v>1.496904619484099E-2</v>
      </c>
    </row>
    <row r="382" spans="1:3" x14ac:dyDescent="0.3">
      <c r="A382" s="3">
        <v>358</v>
      </c>
      <c r="B382" s="3">
        <v>-1.1176146833827533E-2</v>
      </c>
      <c r="C382" s="3">
        <v>1.2176146833827645E-2</v>
      </c>
    </row>
    <row r="383" spans="1:3" x14ac:dyDescent="0.3">
      <c r="A383" s="3">
        <v>359</v>
      </c>
      <c r="B383" s="3">
        <v>-1.1369146969782112E-2</v>
      </c>
      <c r="C383" s="3">
        <v>1.3069146969782147E-2</v>
      </c>
    </row>
    <row r="384" spans="1:3" x14ac:dyDescent="0.3">
      <c r="A384" s="3">
        <v>360</v>
      </c>
      <c r="B384" s="3">
        <v>-1.1697247200904898E-2</v>
      </c>
      <c r="C384" s="3">
        <v>9.697247200904896E-3</v>
      </c>
    </row>
    <row r="385" spans="1:3" x14ac:dyDescent="0.3">
      <c r="A385" s="3">
        <v>361</v>
      </c>
      <c r="B385" s="3">
        <v>-1.1311246928995738E-2</v>
      </c>
      <c r="C385" s="3">
        <v>1.5611246928995709E-2</v>
      </c>
    </row>
    <row r="386" spans="1:3" x14ac:dyDescent="0.3">
      <c r="A386" s="3">
        <v>362</v>
      </c>
      <c r="B386" s="3">
        <v>-1.2141147513600375E-2</v>
      </c>
      <c r="C386" s="3">
        <v>1.2341147513600353E-2</v>
      </c>
    </row>
    <row r="387" spans="1:3" x14ac:dyDescent="0.3">
      <c r="A387" s="3">
        <v>363</v>
      </c>
      <c r="B387" s="3">
        <v>-1.2179747540791291E-2</v>
      </c>
      <c r="C387" s="3">
        <v>1.3379747540791381E-2</v>
      </c>
    </row>
    <row r="388" spans="1:3" x14ac:dyDescent="0.3">
      <c r="A388" s="3">
        <v>364</v>
      </c>
      <c r="B388" s="3">
        <v>-1.2411347703936787E-2</v>
      </c>
      <c r="C388" s="3">
        <v>1.5411347703936679E-2</v>
      </c>
    </row>
    <row r="389" spans="1:3" x14ac:dyDescent="0.3">
      <c r="A389" s="3">
        <v>365</v>
      </c>
      <c r="B389" s="3">
        <v>-1.299034811180047E-2</v>
      </c>
      <c r="C389" s="3">
        <v>1.6590348111800518E-2</v>
      </c>
    </row>
    <row r="390" spans="1:3" x14ac:dyDescent="0.3">
      <c r="A390" s="3">
        <v>366</v>
      </c>
      <c r="B390" s="3">
        <v>-1.3685148601236929E-2</v>
      </c>
      <c r="C390" s="3">
        <v>1.458514860123683E-2</v>
      </c>
    </row>
    <row r="391" spans="1:3" x14ac:dyDescent="0.3">
      <c r="A391" s="3">
        <v>367</v>
      </c>
      <c r="B391" s="3">
        <v>-1.3858848723596023E-2</v>
      </c>
      <c r="C391" s="3">
        <v>1.2458848723596178E-2</v>
      </c>
    </row>
    <row r="392" spans="1:3" x14ac:dyDescent="0.3">
      <c r="A392" s="3">
        <v>368</v>
      </c>
      <c r="B392" s="3">
        <v>-1.3588648533259667E-2</v>
      </c>
      <c r="C392" s="3">
        <v>1.0688648533259543E-2</v>
      </c>
    </row>
    <row r="393" spans="1:3" x14ac:dyDescent="0.3">
      <c r="A393" s="3">
        <v>369</v>
      </c>
      <c r="B393" s="3">
        <v>-1.3028948138991386E-2</v>
      </c>
      <c r="C393" s="3">
        <v>1.0428948138991451E-2</v>
      </c>
    </row>
    <row r="394" spans="1:3" x14ac:dyDescent="0.3">
      <c r="A394" s="3">
        <v>370</v>
      </c>
      <c r="B394" s="3">
        <v>-1.2527147785509535E-2</v>
      </c>
      <c r="C394" s="3">
        <v>1.3727147785509625E-2</v>
      </c>
    </row>
    <row r="395" spans="1:3" x14ac:dyDescent="0.3">
      <c r="A395" s="3">
        <v>371</v>
      </c>
      <c r="B395" s="3">
        <v>-1.275874794865503E-2</v>
      </c>
      <c r="C395" s="3">
        <v>1.1658747948654929E-2</v>
      </c>
    </row>
    <row r="396" spans="1:3" x14ac:dyDescent="0.3">
      <c r="A396" s="3">
        <v>372</v>
      </c>
      <c r="B396" s="3">
        <v>-1.2546447799104965E-2</v>
      </c>
      <c r="C396" s="3">
        <v>1.1946447799105031E-2</v>
      </c>
    </row>
    <row r="397" spans="1:3" x14ac:dyDescent="0.3">
      <c r="A397" s="3">
        <v>373</v>
      </c>
      <c r="B397" s="3">
        <v>-1.2430647717532245E-2</v>
      </c>
      <c r="C397" s="3">
        <v>1.1830647717532089E-2</v>
      </c>
    </row>
    <row r="398" spans="1:3" x14ac:dyDescent="0.3">
      <c r="A398" s="3">
        <v>374</v>
      </c>
      <c r="B398" s="3">
        <v>-1.2314847635959469E-2</v>
      </c>
      <c r="C398" s="3">
        <v>1.3614847635959548E-2</v>
      </c>
    </row>
    <row r="399" spans="1:3" x14ac:dyDescent="0.3">
      <c r="A399" s="3">
        <v>375</v>
      </c>
      <c r="B399" s="3">
        <v>-1.2565747812700423E-2</v>
      </c>
      <c r="C399" s="3">
        <v>7.4657478127003185E-3</v>
      </c>
    </row>
    <row r="400" spans="1:3" x14ac:dyDescent="0.3">
      <c r="A400" s="3">
        <v>376</v>
      </c>
      <c r="B400" s="3">
        <v>-1.1581447119332122E-2</v>
      </c>
      <c r="C400" s="3">
        <v>7.6814471193323297E-3</v>
      </c>
    </row>
    <row r="401" spans="1:3" x14ac:dyDescent="0.3">
      <c r="A401" s="3">
        <v>377</v>
      </c>
      <c r="B401" s="3">
        <v>-1.0828746589109345E-2</v>
      </c>
      <c r="C401" s="3">
        <v>1.0828746589109345E-2</v>
      </c>
    </row>
    <row r="402" spans="1:3" x14ac:dyDescent="0.3">
      <c r="A402" s="3">
        <v>378</v>
      </c>
      <c r="B402" s="3">
        <v>-1.0828746589109345E-2</v>
      </c>
      <c r="C402" s="3">
        <v>1.0628746589109145E-2</v>
      </c>
    </row>
    <row r="403" spans="1:3" x14ac:dyDescent="0.3">
      <c r="A403" s="3">
        <v>379</v>
      </c>
      <c r="B403" s="3">
        <v>-1.0790146561918401E-2</v>
      </c>
      <c r="C403" s="3">
        <v>7.0901465619185866E-3</v>
      </c>
    </row>
    <row r="404" spans="1:3" x14ac:dyDescent="0.3">
      <c r="A404" s="3">
        <v>380</v>
      </c>
      <c r="B404" s="3">
        <v>-1.0076046058886512E-2</v>
      </c>
      <c r="C404" s="3">
        <v>1.5076046058886405E-2</v>
      </c>
    </row>
    <row r="405" spans="1:3" x14ac:dyDescent="0.3">
      <c r="A405" s="3">
        <v>381</v>
      </c>
      <c r="B405" s="3">
        <v>-1.1041046738659355E-2</v>
      </c>
      <c r="C405" s="3">
        <v>8.841046738659375E-3</v>
      </c>
    </row>
    <row r="406" spans="1:3" x14ac:dyDescent="0.3">
      <c r="A406" s="3">
        <v>382</v>
      </c>
      <c r="B406" s="3">
        <v>-1.0616446439559307E-2</v>
      </c>
      <c r="C406" s="3">
        <v>8.6164464395593054E-3</v>
      </c>
    </row>
    <row r="407" spans="1:3" x14ac:dyDescent="0.3">
      <c r="A407" s="3">
        <v>383</v>
      </c>
      <c r="B407" s="3">
        <v>-1.0230446167650148E-2</v>
      </c>
      <c r="C407" s="3">
        <v>8.930446167650069E-3</v>
      </c>
    </row>
    <row r="408" spans="1:3" x14ac:dyDescent="0.3">
      <c r="A408" s="3">
        <v>384</v>
      </c>
      <c r="B408" s="3">
        <v>-9.9795459909091944E-3</v>
      </c>
      <c r="C408" s="3">
        <v>1.3795459909092533E-3</v>
      </c>
    </row>
    <row r="409" spans="1:3" x14ac:dyDescent="0.3">
      <c r="A409" s="3">
        <v>385</v>
      </c>
      <c r="B409" s="3">
        <v>-8.3197448216999481E-3</v>
      </c>
      <c r="C409" s="3">
        <v>6.9197448216998803E-3</v>
      </c>
    </row>
    <row r="410" spans="1:3" x14ac:dyDescent="0.3">
      <c r="A410" s="3">
        <v>386</v>
      </c>
      <c r="B410" s="3">
        <v>-8.0495446313635366E-3</v>
      </c>
      <c r="C410" s="3">
        <v>9.3495446313636155E-3</v>
      </c>
    </row>
    <row r="411" spans="1:3" x14ac:dyDescent="0.3">
      <c r="A411" s="3">
        <v>387</v>
      </c>
      <c r="B411" s="3">
        <v>-8.3004448081044901E-3</v>
      </c>
      <c r="C411" s="3">
        <v>1.1000444808104415E-2</v>
      </c>
    </row>
    <row r="412" spans="1:3" x14ac:dyDescent="0.3">
      <c r="A412" s="3">
        <v>388</v>
      </c>
      <c r="B412" s="3">
        <v>-8.8215451751817997E-3</v>
      </c>
      <c r="C412" s="3">
        <v>6.321545175181853E-3</v>
      </c>
    </row>
    <row r="413" spans="1:3" x14ac:dyDescent="0.3">
      <c r="A413" s="3">
        <v>389</v>
      </c>
      <c r="B413" s="3">
        <v>-8.3390448352953783E-3</v>
      </c>
      <c r="C413" s="3">
        <v>4.3390448352953748E-3</v>
      </c>
    </row>
    <row r="414" spans="1:3" x14ac:dyDescent="0.3">
      <c r="A414" s="3">
        <v>390</v>
      </c>
      <c r="B414" s="3">
        <v>-7.5670442914771152E-3</v>
      </c>
      <c r="C414" s="3">
        <v>6.9670442914771813E-3</v>
      </c>
    </row>
    <row r="415" spans="1:3" x14ac:dyDescent="0.3">
      <c r="A415" s="3">
        <v>391</v>
      </c>
      <c r="B415" s="3">
        <v>-7.4512442099043952E-3</v>
      </c>
      <c r="C415" s="3">
        <v>9.15124420990443E-3</v>
      </c>
    </row>
    <row r="416" spans="1:3" x14ac:dyDescent="0.3">
      <c r="A416" s="3">
        <v>392</v>
      </c>
      <c r="B416" s="3">
        <v>-7.7793444410271528E-3</v>
      </c>
      <c r="C416" s="3">
        <v>6.179344441027107E-3</v>
      </c>
    </row>
    <row r="417" spans="1:3" x14ac:dyDescent="0.3">
      <c r="A417" s="3">
        <v>393</v>
      </c>
      <c r="B417" s="3">
        <v>-7.4705442234998531E-3</v>
      </c>
      <c r="C417" s="3">
        <v>5.0705442234998954E-3</v>
      </c>
    </row>
    <row r="418" spans="1:3" x14ac:dyDescent="0.3">
      <c r="A418" s="3">
        <v>394</v>
      </c>
      <c r="B418" s="3">
        <v>-7.0073438972088897E-3</v>
      </c>
      <c r="C418" s="3">
        <v>1.350734389720884E-2</v>
      </c>
    </row>
    <row r="419" spans="1:3" x14ac:dyDescent="0.3">
      <c r="A419" s="3">
        <v>395</v>
      </c>
      <c r="B419" s="3">
        <v>-8.2618447809135742E-3</v>
      </c>
      <c r="C419" s="3">
        <v>8.4618447809135522E-3</v>
      </c>
    </row>
    <row r="420" spans="1:3" x14ac:dyDescent="0.3">
      <c r="A420" s="3">
        <v>396</v>
      </c>
      <c r="B420" s="3">
        <v>-8.3004448081044901E-3</v>
      </c>
      <c r="C420" s="3">
        <v>8.9004448081044241E-3</v>
      </c>
    </row>
    <row r="421" spans="1:3" x14ac:dyDescent="0.3">
      <c r="A421" s="3">
        <v>397</v>
      </c>
      <c r="B421" s="3">
        <v>-8.4162448896772102E-3</v>
      </c>
      <c r="C421" s="3">
        <v>9.3162448896773331E-3</v>
      </c>
    </row>
    <row r="422" spans="1:3" x14ac:dyDescent="0.3">
      <c r="A422" s="3">
        <v>398</v>
      </c>
      <c r="B422" s="3">
        <v>-8.5899450120363319E-3</v>
      </c>
      <c r="C422" s="3">
        <v>1.0889945012036301E-2</v>
      </c>
    </row>
    <row r="423" spans="1:3" x14ac:dyDescent="0.3">
      <c r="A423" s="3">
        <v>399</v>
      </c>
      <c r="B423" s="3">
        <v>-9.0338453247318373E-3</v>
      </c>
      <c r="C423" s="3">
        <v>1.0733845324731872E-2</v>
      </c>
    </row>
    <row r="424" spans="1:3" x14ac:dyDescent="0.3">
      <c r="A424" s="3">
        <v>400</v>
      </c>
      <c r="B424" s="3">
        <v>-9.3619455558546227E-3</v>
      </c>
      <c r="C424" s="3">
        <v>6.561945555854487E-3</v>
      </c>
    </row>
    <row r="425" spans="1:3" x14ac:dyDescent="0.3">
      <c r="A425" s="3">
        <v>401</v>
      </c>
      <c r="B425" s="3">
        <v>-8.8215451751817997E-3</v>
      </c>
      <c r="C425" s="3">
        <v>1.1421545175181957E-2</v>
      </c>
    </row>
    <row r="426" spans="1:3" x14ac:dyDescent="0.3">
      <c r="A426" s="3">
        <v>402</v>
      </c>
      <c r="B426" s="3">
        <v>-9.3233455286637068E-3</v>
      </c>
      <c r="C426" s="3">
        <v>5.2233455286637143E-3</v>
      </c>
    </row>
    <row r="427" spans="1:3" x14ac:dyDescent="0.3">
      <c r="A427" s="3">
        <v>403</v>
      </c>
      <c r="B427" s="3">
        <v>-8.5320449712499857E-3</v>
      </c>
      <c r="C427" s="3">
        <v>7.4320449712498848E-3</v>
      </c>
    </row>
    <row r="428" spans="1:3" x14ac:dyDescent="0.3">
      <c r="A428" s="3">
        <v>404</v>
      </c>
      <c r="B428" s="3">
        <v>-8.3197448216999481E-3</v>
      </c>
      <c r="C428" s="3">
        <v>9.219744821700071E-3</v>
      </c>
    </row>
    <row r="429" spans="1:3" x14ac:dyDescent="0.3">
      <c r="A429" s="3">
        <v>405</v>
      </c>
      <c r="B429" s="3">
        <v>-8.4934449440590698E-3</v>
      </c>
      <c r="C429" s="3">
        <v>1.599344494405891E-2</v>
      </c>
    </row>
    <row r="430" spans="1:3" x14ac:dyDescent="0.3">
      <c r="A430" s="3">
        <v>406</v>
      </c>
      <c r="B430" s="3">
        <v>-9.9409459637183062E-3</v>
      </c>
      <c r="C430" s="3">
        <v>-1.8590540362817265E-3</v>
      </c>
    </row>
    <row r="431" spans="1:3" x14ac:dyDescent="0.3">
      <c r="A431" s="3">
        <v>407</v>
      </c>
      <c r="B431" s="3">
        <v>-7.6635443594543773E-3</v>
      </c>
      <c r="C431" s="3">
        <v>1.2163544359454548E-2</v>
      </c>
    </row>
    <row r="432" spans="1:3" x14ac:dyDescent="0.3">
      <c r="A432" s="3">
        <v>408</v>
      </c>
      <c r="B432" s="3">
        <v>-8.5320449712499857E-3</v>
      </c>
      <c r="C432" s="3">
        <v>5.632044971249861E-3</v>
      </c>
    </row>
    <row r="433" spans="1:3" x14ac:dyDescent="0.3">
      <c r="A433" s="3">
        <v>409</v>
      </c>
      <c r="B433" s="3">
        <v>-7.9723445769817047E-3</v>
      </c>
      <c r="C433" s="3">
        <v>1.1272344576981785E-2</v>
      </c>
    </row>
    <row r="434" spans="1:3" x14ac:dyDescent="0.3">
      <c r="A434" s="3">
        <v>410</v>
      </c>
      <c r="B434" s="3">
        <v>-8.6092450256317898E-3</v>
      </c>
      <c r="C434" s="3">
        <v>2.8092450256317625E-3</v>
      </c>
    </row>
    <row r="435" spans="1:3" x14ac:dyDescent="0.3">
      <c r="A435" s="3">
        <v>411</v>
      </c>
      <c r="B435" s="3">
        <v>-7.4898442370953111E-3</v>
      </c>
      <c r="C435" s="3">
        <v>8.889844237095379E-3</v>
      </c>
    </row>
    <row r="436" spans="1:3" x14ac:dyDescent="0.3">
      <c r="A436" s="3">
        <v>412</v>
      </c>
      <c r="B436" s="3">
        <v>-7.7600444274316949E-3</v>
      </c>
      <c r="C436" s="3">
        <v>9.7600444274316966E-3</v>
      </c>
    </row>
    <row r="437" spans="1:3" x14ac:dyDescent="0.3">
      <c r="A437" s="3">
        <v>413</v>
      </c>
      <c r="B437" s="3">
        <v>-8.1460446993408542E-3</v>
      </c>
      <c r="C437" s="3">
        <v>8.6460446993407991E-3</v>
      </c>
    </row>
    <row r="438" spans="1:3" x14ac:dyDescent="0.3">
      <c r="A438" s="3">
        <v>414</v>
      </c>
      <c r="B438" s="3">
        <v>-8.2425447673181163E-3</v>
      </c>
      <c r="C438" s="3">
        <v>-3.0574552326819715E-3</v>
      </c>
    </row>
    <row r="439" spans="1:3" x14ac:dyDescent="0.3">
      <c r="A439" s="3">
        <v>415</v>
      </c>
      <c r="B439" s="3">
        <v>-6.0616432310314772E-3</v>
      </c>
      <c r="C439" s="3">
        <v>3.2616432310315635E-3</v>
      </c>
    </row>
    <row r="440" spans="1:3" x14ac:dyDescent="0.3">
      <c r="A440" s="3">
        <v>416</v>
      </c>
      <c r="B440" s="3">
        <v>-5.5212428503587097E-3</v>
      </c>
      <c r="C440" s="3">
        <v>5.5212428503587097E-3</v>
      </c>
    </row>
    <row r="441" spans="1:3" x14ac:dyDescent="0.3">
      <c r="A441" s="3">
        <v>417</v>
      </c>
      <c r="B441" s="3">
        <v>-5.5212428503587097E-3</v>
      </c>
      <c r="C441" s="3">
        <v>-2.7787571496412644E-3</v>
      </c>
    </row>
    <row r="442" spans="1:3" x14ac:dyDescent="0.3">
      <c r="A442" s="3">
        <v>418</v>
      </c>
      <c r="B442" s="3">
        <v>-3.9193417219358095E-3</v>
      </c>
      <c r="C442" s="3">
        <v>-8.8065827806432795E-4</v>
      </c>
    </row>
    <row r="443" spans="1:3" x14ac:dyDescent="0.3">
      <c r="A443" s="3">
        <v>419</v>
      </c>
      <c r="B443" s="3">
        <v>-2.992941069353855E-3</v>
      </c>
      <c r="C443" s="3">
        <v>2.992941069353855E-3</v>
      </c>
    </row>
    <row r="444" spans="1:3" x14ac:dyDescent="0.3">
      <c r="A444" s="3">
        <v>420</v>
      </c>
      <c r="B444" s="3">
        <v>-2.992941069353855E-3</v>
      </c>
      <c r="C444" s="3">
        <v>7.9929410693539704E-3</v>
      </c>
    </row>
    <row r="445" spans="1:3" x14ac:dyDescent="0.3">
      <c r="A445" s="3">
        <v>421</v>
      </c>
      <c r="B445" s="3">
        <v>-3.9579417491266977E-3</v>
      </c>
      <c r="C445" s="3">
        <v>-4.1420582508732984E-3</v>
      </c>
    </row>
    <row r="446" spans="1:3" x14ac:dyDescent="0.3">
      <c r="A446" s="3">
        <v>422</v>
      </c>
      <c r="B446" s="3">
        <v>-2.3946406478947135E-3</v>
      </c>
      <c r="C446" s="3">
        <v>-3.0053593521053579E-3</v>
      </c>
    </row>
    <row r="447" spans="1:3" x14ac:dyDescent="0.3">
      <c r="A447" s="3">
        <v>423</v>
      </c>
      <c r="B447" s="3">
        <v>-1.3524399137400389E-3</v>
      </c>
      <c r="C447" s="3">
        <v>2.5524399137401288E-3</v>
      </c>
    </row>
    <row r="448" spans="1:3" x14ac:dyDescent="0.3">
      <c r="A448" s="3">
        <v>424</v>
      </c>
      <c r="B448" s="3">
        <v>-1.5840400768855345E-3</v>
      </c>
      <c r="C448" s="3">
        <v>-3.315959923114592E-3</v>
      </c>
    </row>
    <row r="449" spans="1:3" x14ac:dyDescent="0.3">
      <c r="A449" s="3">
        <v>425</v>
      </c>
      <c r="B449" s="3">
        <v>-6.3833941070812195E-4</v>
      </c>
      <c r="C449" s="3">
        <v>1.5383394107082449E-3</v>
      </c>
    </row>
    <row r="450" spans="1:3" x14ac:dyDescent="0.3">
      <c r="A450" s="3">
        <v>426</v>
      </c>
      <c r="B450" s="3">
        <v>-8.1203953306724364E-4</v>
      </c>
      <c r="C450" s="3">
        <v>1.1912039533067131E-2</v>
      </c>
    </row>
    <row r="451" spans="1:3" x14ac:dyDescent="0.3">
      <c r="A451" s="3">
        <v>427</v>
      </c>
      <c r="B451" s="3">
        <v>-2.954341042162939E-3</v>
      </c>
      <c r="C451" s="3">
        <v>3.5434104216300333E-4</v>
      </c>
    </row>
    <row r="452" spans="1:3" x14ac:dyDescent="0.3">
      <c r="A452" s="3">
        <v>428</v>
      </c>
      <c r="B452" s="3">
        <v>-2.4525406886810597E-3</v>
      </c>
      <c r="C452" s="3">
        <v>6.9525406886810082E-3</v>
      </c>
    </row>
    <row r="453" spans="1:3" x14ac:dyDescent="0.3">
      <c r="A453" s="3">
        <v>429</v>
      </c>
      <c r="B453" s="3">
        <v>-3.3210413004766126E-3</v>
      </c>
      <c r="C453" s="3">
        <v>1.6210413004765778E-3</v>
      </c>
    </row>
    <row r="454" spans="1:3" x14ac:dyDescent="0.3">
      <c r="A454" s="3">
        <v>430</v>
      </c>
      <c r="B454" s="3">
        <v>-2.992941069353855E-3</v>
      </c>
      <c r="C454" s="3">
        <v>9.9294106935385318E-4</v>
      </c>
    </row>
    <row r="455" spans="1:3" x14ac:dyDescent="0.3">
      <c r="A455" s="3">
        <v>431</v>
      </c>
      <c r="B455" s="3">
        <v>-2.6069407974447234E-3</v>
      </c>
      <c r="C455" s="3">
        <v>4.0069407974447913E-3</v>
      </c>
    </row>
    <row r="456" spans="1:3" x14ac:dyDescent="0.3">
      <c r="A456" s="3">
        <v>432</v>
      </c>
      <c r="B456" s="3">
        <v>-2.8771409877811072E-3</v>
      </c>
      <c r="C456" s="3">
        <v>7.7140987781193493E-5</v>
      </c>
    </row>
    <row r="457" spans="1:3" x14ac:dyDescent="0.3">
      <c r="A457" s="3">
        <v>433</v>
      </c>
      <c r="B457" s="3">
        <v>-2.3367406071083396E-3</v>
      </c>
      <c r="C457" s="3">
        <v>1.3674060710835989E-4</v>
      </c>
    </row>
    <row r="458" spans="1:3" x14ac:dyDescent="0.3">
      <c r="A458" s="3">
        <v>434</v>
      </c>
      <c r="B458" s="3">
        <v>-1.9121403080082922E-3</v>
      </c>
      <c r="C458" s="3">
        <v>9.8121403080083103E-3</v>
      </c>
    </row>
    <row r="459" spans="1:3" x14ac:dyDescent="0.3">
      <c r="A459" s="3">
        <v>435</v>
      </c>
      <c r="B459" s="3">
        <v>-3.4368413820493882E-3</v>
      </c>
      <c r="C459" s="3">
        <v>-1.5631586179507273E-3</v>
      </c>
    </row>
    <row r="460" spans="1:3" x14ac:dyDescent="0.3">
      <c r="A460" s="3">
        <v>436</v>
      </c>
      <c r="B460" s="3">
        <v>-2.4718407022765176E-3</v>
      </c>
      <c r="C460" s="3">
        <v>4.3718407022765304E-3</v>
      </c>
    </row>
    <row r="461" spans="1:3" x14ac:dyDescent="0.3">
      <c r="A461" s="3">
        <v>437</v>
      </c>
      <c r="B461" s="3">
        <v>-2.838540960590219E-3</v>
      </c>
      <c r="C461" s="3">
        <v>3.8540960590305318E-5</v>
      </c>
    </row>
    <row r="462" spans="1:3" x14ac:dyDescent="0.3">
      <c r="A462" s="3">
        <v>438</v>
      </c>
      <c r="B462" s="3">
        <v>-2.2981405799174237E-3</v>
      </c>
      <c r="C462" s="3">
        <v>-3.0185942008273403E-4</v>
      </c>
    </row>
    <row r="463" spans="1:3" x14ac:dyDescent="0.3">
      <c r="A463" s="3">
        <v>439</v>
      </c>
      <c r="B463" s="3">
        <v>-1.7963402264355166E-3</v>
      </c>
      <c r="C463" s="3">
        <v>4.5963402264356523E-3</v>
      </c>
    </row>
    <row r="464" spans="1:3" x14ac:dyDescent="0.3">
      <c r="A464" s="3">
        <v>440</v>
      </c>
      <c r="B464" s="3">
        <v>-2.3367406071083396E-3</v>
      </c>
      <c r="C464" s="3">
        <v>6.6367406071083102E-3</v>
      </c>
    </row>
    <row r="465" spans="1:3" x14ac:dyDescent="0.3">
      <c r="A465" s="3">
        <v>441</v>
      </c>
      <c r="B465" s="3">
        <v>-3.1666411917129766E-3</v>
      </c>
      <c r="C465" s="3">
        <v>-5.7333588082871534E-3</v>
      </c>
    </row>
    <row r="466" spans="1:3" x14ac:dyDescent="0.3">
      <c r="A466" s="3">
        <v>442</v>
      </c>
      <c r="B466" s="3">
        <v>-1.448939981717301E-3</v>
      </c>
      <c r="C466" s="3">
        <v>5.0489399817173486E-3</v>
      </c>
    </row>
    <row r="467" spans="1:3" x14ac:dyDescent="0.3">
      <c r="A467" s="3">
        <v>443</v>
      </c>
      <c r="B467" s="3">
        <v>-2.14374047115376E-3</v>
      </c>
      <c r="C467" s="3">
        <v>2.9437404711538939E-3</v>
      </c>
    </row>
    <row r="468" spans="1:3" x14ac:dyDescent="0.3">
      <c r="A468" s="3">
        <v>444</v>
      </c>
      <c r="B468" s="3">
        <v>-2.2981405799174237E-3</v>
      </c>
      <c r="C468" s="3">
        <v>6.3981405799174162E-3</v>
      </c>
    </row>
    <row r="469" spans="1:3" x14ac:dyDescent="0.3">
      <c r="A469" s="3">
        <v>445</v>
      </c>
      <c r="B469" s="3">
        <v>-3.0894411373311725E-3</v>
      </c>
      <c r="C469" s="3">
        <v>3.4894411373311285E-3</v>
      </c>
    </row>
    <row r="470" spans="1:3" x14ac:dyDescent="0.3">
      <c r="A470" s="3">
        <v>446</v>
      </c>
      <c r="B470" s="3">
        <v>-3.1666411917129766E-3</v>
      </c>
      <c r="C470" s="3">
        <v>2.0666411917128757E-3</v>
      </c>
    </row>
    <row r="471" spans="1:3" x14ac:dyDescent="0.3">
      <c r="A471" s="3">
        <v>447</v>
      </c>
      <c r="B471" s="3">
        <v>-2.954341042162939E-3</v>
      </c>
      <c r="C471" s="3">
        <v>3.754341042163073E-3</v>
      </c>
    </row>
    <row r="472" spans="1:3" x14ac:dyDescent="0.3">
      <c r="A472" s="3">
        <v>448</v>
      </c>
      <c r="B472" s="3">
        <v>-3.1087411509266305E-3</v>
      </c>
      <c r="C472" s="3">
        <v>1.5087411509265847E-3</v>
      </c>
    </row>
    <row r="473" spans="1:3" x14ac:dyDescent="0.3">
      <c r="A473" s="3">
        <v>449</v>
      </c>
      <c r="B473" s="3">
        <v>-2.7999409333993031E-3</v>
      </c>
      <c r="C473" s="3">
        <v>6.6999409333993176E-3</v>
      </c>
    </row>
    <row r="474" spans="1:3" x14ac:dyDescent="0.3">
      <c r="A474" s="3">
        <v>450</v>
      </c>
      <c r="B474" s="3">
        <v>-3.5526414636221082E-3</v>
      </c>
      <c r="C474" s="3">
        <v>1.0526414636221615E-3</v>
      </c>
    </row>
    <row r="475" spans="1:3" x14ac:dyDescent="0.3">
      <c r="A475" s="3">
        <v>451</v>
      </c>
      <c r="B475" s="3">
        <v>-3.0701411237357146E-3</v>
      </c>
      <c r="C475" s="3">
        <v>7.5701411237356631E-3</v>
      </c>
    </row>
    <row r="476" spans="1:3" x14ac:dyDescent="0.3">
      <c r="A476" s="3">
        <v>452</v>
      </c>
      <c r="B476" s="3">
        <v>-3.9386417355312398E-3</v>
      </c>
      <c r="C476" s="3">
        <v>-3.4613582644688334E-3</v>
      </c>
    </row>
    <row r="477" spans="1:3" x14ac:dyDescent="0.3">
      <c r="A477" s="3">
        <v>453</v>
      </c>
      <c r="B477" s="3">
        <v>-2.5104407294674336E-3</v>
      </c>
      <c r="C477" s="3">
        <v>1.6104407294675327E-3</v>
      </c>
    </row>
    <row r="478" spans="1:3" x14ac:dyDescent="0.3">
      <c r="A478" s="3">
        <v>454</v>
      </c>
      <c r="B478" s="3">
        <v>-2.3367406071083396E-3</v>
      </c>
      <c r="C478" s="3">
        <v>5.1367406071082533E-3</v>
      </c>
    </row>
    <row r="479" spans="1:3" x14ac:dyDescent="0.3">
      <c r="A479" s="3">
        <v>455</v>
      </c>
      <c r="B479" s="3">
        <v>-2.8771409877811072E-3</v>
      </c>
      <c r="C479" s="3">
        <v>6.7714098778112741E-4</v>
      </c>
    </row>
    <row r="480" spans="1:3" x14ac:dyDescent="0.3">
      <c r="A480" s="3">
        <v>456</v>
      </c>
      <c r="B480" s="3">
        <v>-2.4525406886810597E-3</v>
      </c>
      <c r="C480" s="3">
        <v>9.2525406886809769E-3</v>
      </c>
    </row>
    <row r="481" spans="1:3" x14ac:dyDescent="0.3">
      <c r="A481" s="3">
        <v>457</v>
      </c>
      <c r="B481" s="3">
        <v>-3.7649416131721181E-3</v>
      </c>
      <c r="C481" s="3">
        <v>2.6494161317228149E-4</v>
      </c>
    </row>
    <row r="482" spans="1:3" x14ac:dyDescent="0.3">
      <c r="A482" s="3">
        <v>458</v>
      </c>
      <c r="B482" s="3">
        <v>-3.0894411373311725E-3</v>
      </c>
      <c r="C482" s="3">
        <v>7.0894411373311761E-3</v>
      </c>
    </row>
    <row r="483" spans="1:3" x14ac:dyDescent="0.3">
      <c r="A483" s="3">
        <v>459</v>
      </c>
      <c r="B483" s="3">
        <v>-3.8614416811494356E-3</v>
      </c>
      <c r="C483" s="3">
        <v>1.1661441681149465E-2</v>
      </c>
    </row>
    <row r="484" spans="1:3" x14ac:dyDescent="0.3">
      <c r="A484" s="3">
        <v>460</v>
      </c>
      <c r="B484" s="3">
        <v>-5.3668427415950737E-3</v>
      </c>
      <c r="C484" s="3">
        <v>6.4668427415949525E-3</v>
      </c>
    </row>
    <row r="485" spans="1:3" x14ac:dyDescent="0.3">
      <c r="A485" s="3">
        <v>461</v>
      </c>
      <c r="B485" s="3">
        <v>-5.5791428911450835E-3</v>
      </c>
      <c r="C485" s="3">
        <v>1.679142891145069E-3</v>
      </c>
    </row>
    <row r="486" spans="1:3" x14ac:dyDescent="0.3">
      <c r="A486" s="3">
        <v>462</v>
      </c>
      <c r="B486" s="3">
        <v>-4.8264423609222507E-3</v>
      </c>
      <c r="C486" s="3">
        <v>4.1264423609223277E-3</v>
      </c>
    </row>
    <row r="487" spans="1:3" x14ac:dyDescent="0.3">
      <c r="A487" s="3">
        <v>463</v>
      </c>
      <c r="B487" s="3">
        <v>-4.6913422657540726E-3</v>
      </c>
      <c r="C487" s="3">
        <v>-3.5086577342459124E-3</v>
      </c>
    </row>
    <row r="488" spans="1:3" x14ac:dyDescent="0.3">
      <c r="A488" s="3">
        <v>464</v>
      </c>
      <c r="B488" s="3">
        <v>-3.1087411509266305E-3</v>
      </c>
      <c r="C488" s="3">
        <v>4.7087411509266763E-3</v>
      </c>
    </row>
    <row r="489" spans="1:3" x14ac:dyDescent="0.3">
      <c r="A489" s="3">
        <v>465</v>
      </c>
      <c r="B489" s="3">
        <v>-3.4175413684539302E-3</v>
      </c>
      <c r="C489" s="3">
        <v>3.1754136845382752E-4</v>
      </c>
    </row>
    <row r="490" spans="1:3" x14ac:dyDescent="0.3">
      <c r="A490" s="3">
        <v>466</v>
      </c>
      <c r="B490" s="3">
        <v>-2.819240946994761E-3</v>
      </c>
      <c r="C490" s="3">
        <v>5.8192409469946527E-3</v>
      </c>
    </row>
    <row r="491" spans="1:3" x14ac:dyDescent="0.3">
      <c r="A491" s="3">
        <v>467</v>
      </c>
      <c r="B491" s="3">
        <v>-3.3982413548584445E-3</v>
      </c>
      <c r="C491" s="3">
        <v>1.6982413548586317E-3</v>
      </c>
    </row>
    <row r="492" spans="1:3" x14ac:dyDescent="0.3">
      <c r="A492" s="3">
        <v>468</v>
      </c>
      <c r="B492" s="3">
        <v>-3.0701411237357146E-3</v>
      </c>
      <c r="C492" s="3">
        <v>6.701411237355348E-4</v>
      </c>
    </row>
    <row r="493" spans="1:3" x14ac:dyDescent="0.3">
      <c r="A493" s="3">
        <v>469</v>
      </c>
      <c r="B493" s="3">
        <v>-2.6069407974447234E-3</v>
      </c>
      <c r="C493" s="3">
        <v>-3.5930592025552599E-3</v>
      </c>
    </row>
    <row r="494" spans="1:3" x14ac:dyDescent="0.3">
      <c r="A494" s="3">
        <v>470</v>
      </c>
      <c r="B494" s="3">
        <v>-1.4103399545263851E-3</v>
      </c>
      <c r="C494" s="3">
        <v>-7.9896600454734679E-3</v>
      </c>
    </row>
    <row r="495" spans="1:3" x14ac:dyDescent="0.3">
      <c r="A495" s="3">
        <v>471</v>
      </c>
      <c r="B495" s="3">
        <v>4.0386132344652492E-4</v>
      </c>
      <c r="C495" s="3">
        <v>-4.0386132344652492E-4</v>
      </c>
    </row>
    <row r="496" spans="1:3" x14ac:dyDescent="0.3">
      <c r="A496" s="3">
        <v>472</v>
      </c>
      <c r="B496" s="3">
        <v>4.0386132344652492E-4</v>
      </c>
      <c r="C496" s="3">
        <v>8.596138676553372E-3</v>
      </c>
    </row>
    <row r="497" spans="1:3" x14ac:dyDescent="0.3">
      <c r="A497" s="3">
        <v>473</v>
      </c>
      <c r="B497" s="3">
        <v>-1.3331399001445809E-3</v>
      </c>
      <c r="C497" s="3">
        <v>4.9331399001446286E-3</v>
      </c>
    </row>
    <row r="498" spans="1:3" x14ac:dyDescent="0.3">
      <c r="A498" s="3">
        <v>474</v>
      </c>
      <c r="B498" s="3">
        <v>-2.0279403895810399E-3</v>
      </c>
      <c r="C498" s="3">
        <v>5.4279403895811096E-3</v>
      </c>
    </row>
    <row r="499" spans="1:3" x14ac:dyDescent="0.3">
      <c r="A499" s="3">
        <v>475</v>
      </c>
      <c r="B499" s="3">
        <v>-2.684140851826583E-3</v>
      </c>
      <c r="C499" s="3">
        <v>1.6184140851826428E-2</v>
      </c>
    </row>
    <row r="500" spans="1:3" x14ac:dyDescent="0.3">
      <c r="A500" s="3">
        <v>476</v>
      </c>
      <c r="B500" s="3">
        <v>-5.2896426872132141E-3</v>
      </c>
      <c r="C500" s="3">
        <v>6.089642687213348E-3</v>
      </c>
    </row>
    <row r="501" spans="1:3" x14ac:dyDescent="0.3">
      <c r="A501" s="3">
        <v>477</v>
      </c>
      <c r="B501" s="3">
        <v>-5.4440427959768778E-3</v>
      </c>
      <c r="C501" s="3">
        <v>5.0440427959769218E-3</v>
      </c>
    </row>
    <row r="502" spans="1:3" x14ac:dyDescent="0.3">
      <c r="A502" s="3">
        <v>478</v>
      </c>
      <c r="B502" s="3">
        <v>-5.3668427415950737E-3</v>
      </c>
      <c r="C502" s="3">
        <v>2.566842741594938E-3</v>
      </c>
    </row>
    <row r="503" spans="1:3" x14ac:dyDescent="0.3">
      <c r="A503" s="3">
        <v>479</v>
      </c>
      <c r="B503" s="3">
        <v>-4.8264423609222507E-3</v>
      </c>
      <c r="C503" s="3">
        <v>5.6264423609223846E-3</v>
      </c>
    </row>
    <row r="504" spans="1:3" x14ac:dyDescent="0.3">
      <c r="A504" s="3">
        <v>480</v>
      </c>
      <c r="B504" s="3">
        <v>-4.9808424696859421E-3</v>
      </c>
      <c r="C504" s="3">
        <v>5.4808424696858871E-3</v>
      </c>
    </row>
    <row r="505" spans="1:3" x14ac:dyDescent="0.3">
      <c r="A505" s="3">
        <v>481</v>
      </c>
      <c r="B505" s="3">
        <v>-5.0773425376632042E-3</v>
      </c>
      <c r="C505" s="3">
        <v>-2.7226574623368249E-3</v>
      </c>
    </row>
    <row r="506" spans="1:3" x14ac:dyDescent="0.3">
      <c r="A506" s="3">
        <v>482</v>
      </c>
      <c r="B506" s="3">
        <v>-3.5719414772175662E-3</v>
      </c>
      <c r="C506" s="3">
        <v>-8.2805852278239334E-4</v>
      </c>
    </row>
    <row r="507" spans="1:3" x14ac:dyDescent="0.3">
      <c r="A507" s="3">
        <v>483</v>
      </c>
      <c r="B507" s="3">
        <v>-2.7227408790174712E-3</v>
      </c>
      <c r="C507" s="3">
        <v>7.8227408790173536E-3</v>
      </c>
    </row>
    <row r="508" spans="1:3" x14ac:dyDescent="0.3">
      <c r="A508" s="3">
        <v>484</v>
      </c>
      <c r="B508" s="3">
        <v>-3.7070415723857442E-3</v>
      </c>
      <c r="C508" s="3">
        <v>5.407041572385779E-3</v>
      </c>
    </row>
    <row r="509" spans="1:3" x14ac:dyDescent="0.3">
      <c r="A509" s="3">
        <v>485</v>
      </c>
      <c r="B509" s="3">
        <v>-4.0351418035085296E-3</v>
      </c>
      <c r="C509" s="3">
        <v>2.7351418035084507E-3</v>
      </c>
    </row>
    <row r="510" spans="1:3" x14ac:dyDescent="0.3">
      <c r="A510" s="3">
        <v>486</v>
      </c>
      <c r="B510" s="3">
        <v>-3.784241626767576E-3</v>
      </c>
      <c r="C510" s="3">
        <v>-1.1575837323221649E-4</v>
      </c>
    </row>
    <row r="511" spans="1:3" x14ac:dyDescent="0.3">
      <c r="A511" s="3">
        <v>487</v>
      </c>
      <c r="B511" s="3">
        <v>-3.0315410965447986E-3</v>
      </c>
      <c r="C511" s="3">
        <v>1.9315410965446977E-3</v>
      </c>
    </row>
    <row r="512" spans="1:3" x14ac:dyDescent="0.3">
      <c r="A512" s="3">
        <v>488</v>
      </c>
      <c r="B512" s="3">
        <v>-2.819240946994761E-3</v>
      </c>
      <c r="C512" s="3">
        <v>4.3192409469948179E-3</v>
      </c>
    </row>
    <row r="513" spans="1:3" x14ac:dyDescent="0.3">
      <c r="A513" s="3">
        <v>489</v>
      </c>
      <c r="B513" s="3">
        <v>-3.1087411509266305E-3</v>
      </c>
      <c r="C513" s="3">
        <v>1.5087411509265847E-3</v>
      </c>
    </row>
    <row r="514" spans="1:3" x14ac:dyDescent="0.3">
      <c r="A514" s="3">
        <v>490</v>
      </c>
      <c r="B514" s="3">
        <v>-2.7999409333993031E-3</v>
      </c>
      <c r="C514" s="3">
        <v>-9.0000590666007296E-3</v>
      </c>
    </row>
    <row r="515" spans="1:3" x14ac:dyDescent="0.3">
      <c r="A515" s="3">
        <v>491</v>
      </c>
      <c r="B515" s="3">
        <v>-5.2253932913540191E-4</v>
      </c>
      <c r="C515" s="3">
        <v>8.1225393291354531E-3</v>
      </c>
    </row>
    <row r="516" spans="1:3" x14ac:dyDescent="0.3">
      <c r="A516" s="3">
        <v>492</v>
      </c>
      <c r="B516" s="3">
        <v>-1.989340362390124E-3</v>
      </c>
      <c r="C516" s="3">
        <v>-2.8106596376100135E-3</v>
      </c>
    </row>
    <row r="517" spans="1:3" x14ac:dyDescent="0.3">
      <c r="A517" s="3">
        <v>493</v>
      </c>
      <c r="B517" s="3">
        <v>-1.0629397098081694E-3</v>
      </c>
      <c r="C517" s="3">
        <v>-8.2370602901916945E-3</v>
      </c>
    </row>
    <row r="518" spans="1:3" x14ac:dyDescent="0.3">
      <c r="A518" s="3">
        <v>494</v>
      </c>
      <c r="B518" s="3">
        <v>7.3196155456928258E-4</v>
      </c>
      <c r="C518" s="3">
        <v>-1.2319615545692275E-3</v>
      </c>
    </row>
    <row r="519" spans="1:3" x14ac:dyDescent="0.3">
      <c r="A519" s="3">
        <v>495</v>
      </c>
      <c r="B519" s="3">
        <v>8.2846162254657241E-4</v>
      </c>
      <c r="C519" s="3">
        <v>-6.5284616225466108E-3</v>
      </c>
    </row>
    <row r="520" spans="1:3" x14ac:dyDescent="0.3">
      <c r="A520" s="3">
        <v>496</v>
      </c>
      <c r="B520" s="3">
        <v>1.9285623974876209E-3</v>
      </c>
      <c r="C520" s="3">
        <v>-1.5728562397487655E-2</v>
      </c>
    </row>
    <row r="521" spans="1:3" x14ac:dyDescent="0.3">
      <c r="A521" s="3">
        <v>497</v>
      </c>
      <c r="B521" s="3">
        <v>4.5919642736606536E-3</v>
      </c>
      <c r="C521" s="3">
        <v>-1.1991964273660727E-2</v>
      </c>
    </row>
    <row r="522" spans="1:3" x14ac:dyDescent="0.3">
      <c r="A522" s="3">
        <v>498</v>
      </c>
      <c r="B522" s="3">
        <v>6.0201652797244598E-3</v>
      </c>
      <c r="C522" s="3">
        <v>-1.3201652797243113E-3</v>
      </c>
    </row>
    <row r="523" spans="1:3" x14ac:dyDescent="0.3">
      <c r="A523" s="3">
        <v>499</v>
      </c>
      <c r="B523" s="3">
        <v>5.1130646407379632E-3</v>
      </c>
      <c r="C523" s="3">
        <v>1.2486935359261875E-2</v>
      </c>
    </row>
    <row r="524" spans="1:3" x14ac:dyDescent="0.3">
      <c r="A524" s="3">
        <v>500</v>
      </c>
      <c r="B524" s="3">
        <v>1.7162622479376111E-3</v>
      </c>
      <c r="C524" s="3">
        <v>-1.0916262247937486E-2</v>
      </c>
    </row>
    <row r="525" spans="1:3" x14ac:dyDescent="0.3">
      <c r="A525" s="3">
        <v>501</v>
      </c>
      <c r="B525" s="3">
        <v>3.4918634987196051E-3</v>
      </c>
      <c r="C525" s="3">
        <v>-1.0891863498719678E-2</v>
      </c>
    </row>
    <row r="526" spans="1:3" x14ac:dyDescent="0.3">
      <c r="A526" s="3">
        <v>502</v>
      </c>
      <c r="B526" s="3">
        <v>4.9200645047834113E-3</v>
      </c>
      <c r="C526" s="3">
        <v>-1.9200645047832976E-3</v>
      </c>
    </row>
    <row r="527" spans="1:3" x14ac:dyDescent="0.3">
      <c r="A527" s="3">
        <v>503</v>
      </c>
      <c r="B527" s="3">
        <v>4.3410640969197001E-3</v>
      </c>
      <c r="C527" s="3">
        <v>-3.1410640969198322E-3</v>
      </c>
    </row>
    <row r="528" spans="1:3" x14ac:dyDescent="0.3">
      <c r="A528" s="3">
        <v>504</v>
      </c>
      <c r="B528" s="3">
        <v>4.1094639337742322E-3</v>
      </c>
      <c r="C528" s="3">
        <v>3.9905360662257638E-3</v>
      </c>
    </row>
    <row r="529" spans="1:3" x14ac:dyDescent="0.3">
      <c r="A529" s="3">
        <v>505</v>
      </c>
      <c r="B529" s="3">
        <v>2.5461628325422481E-3</v>
      </c>
      <c r="C529" s="3">
        <v>3.1538371674577903E-3</v>
      </c>
    </row>
    <row r="530" spans="1:3" x14ac:dyDescent="0.3">
      <c r="A530" s="3">
        <v>506</v>
      </c>
      <c r="B530" s="3">
        <v>1.4460620576011995E-3</v>
      </c>
      <c r="C530" s="3">
        <v>-4.8460620576012692E-3</v>
      </c>
    </row>
    <row r="531" spans="1:3" x14ac:dyDescent="0.3">
      <c r="A531" s="3">
        <v>507</v>
      </c>
      <c r="B531" s="3">
        <v>2.1022625198467426E-3</v>
      </c>
      <c r="C531" s="3">
        <v>-6.2022625198467352E-3</v>
      </c>
    </row>
    <row r="532" spans="1:3" x14ac:dyDescent="0.3">
      <c r="A532" s="3">
        <v>508</v>
      </c>
      <c r="B532" s="3">
        <v>2.8935630772604637E-3</v>
      </c>
      <c r="C532" s="3">
        <v>-1.5935630772603848E-3</v>
      </c>
    </row>
    <row r="533" spans="1:3" x14ac:dyDescent="0.3">
      <c r="A533" s="3">
        <v>509</v>
      </c>
      <c r="B533" s="3">
        <v>2.6426629005195101E-3</v>
      </c>
      <c r="C533" s="3">
        <v>-4.9426629005194789E-3</v>
      </c>
    </row>
    <row r="534" spans="1:3" x14ac:dyDescent="0.3">
      <c r="A534" s="3">
        <v>510</v>
      </c>
      <c r="B534" s="3">
        <v>3.0865632132150156E-3</v>
      </c>
      <c r="C534" s="3">
        <v>-3.8865632132151495E-3</v>
      </c>
    </row>
    <row r="535" spans="1:3" x14ac:dyDescent="0.3">
      <c r="A535" s="3">
        <v>511</v>
      </c>
      <c r="B535" s="3">
        <v>3.2409633219787071E-3</v>
      </c>
      <c r="C535" s="3">
        <v>-4.7409633219785419E-3</v>
      </c>
    </row>
    <row r="536" spans="1:3" x14ac:dyDescent="0.3">
      <c r="A536" s="3">
        <v>512</v>
      </c>
      <c r="B536" s="3">
        <v>3.530463525910521E-3</v>
      </c>
      <c r="C536" s="3">
        <v>-3.830463525910488E-3</v>
      </c>
    </row>
    <row r="537" spans="1:3" x14ac:dyDescent="0.3">
      <c r="A537" s="3">
        <v>513</v>
      </c>
      <c r="B537" s="3">
        <v>3.5883635666968949E-3</v>
      </c>
      <c r="C537" s="3">
        <v>7.1116364333030369E-3</v>
      </c>
    </row>
    <row r="538" spans="1:3" x14ac:dyDescent="0.3">
      <c r="A538" s="3">
        <v>514</v>
      </c>
      <c r="B538" s="3">
        <v>1.5232621119830314E-3</v>
      </c>
      <c r="C538" s="3">
        <v>5.5767378880168528E-3</v>
      </c>
    </row>
    <row r="539" spans="1:3" x14ac:dyDescent="0.3">
      <c r="A539" s="3">
        <v>515</v>
      </c>
      <c r="B539" s="3">
        <v>1.5296114670559913E-4</v>
      </c>
      <c r="C539" s="3">
        <v>-9.2529611467054851E-3</v>
      </c>
    </row>
    <row r="540" spans="1:3" x14ac:dyDescent="0.3">
      <c r="A540" s="3">
        <v>516</v>
      </c>
      <c r="B540" s="3">
        <v>1.909262383892163E-3</v>
      </c>
      <c r="C540" s="3">
        <v>-3.1092623838922528E-3</v>
      </c>
    </row>
    <row r="541" spans="1:3" x14ac:dyDescent="0.3">
      <c r="A541" s="3">
        <v>517</v>
      </c>
      <c r="B541" s="3">
        <v>2.1408625470376585E-3</v>
      </c>
      <c r="C541" s="3">
        <v>-1.0440862547037633E-2</v>
      </c>
    </row>
    <row r="542" spans="1:3" x14ac:dyDescent="0.3">
      <c r="A542" s="3">
        <v>518</v>
      </c>
      <c r="B542" s="3">
        <v>3.7427636754605587E-3</v>
      </c>
      <c r="C542" s="3">
        <v>-1.0442763675460487E-2</v>
      </c>
    </row>
    <row r="543" spans="1:3" x14ac:dyDescent="0.3">
      <c r="A543" s="3">
        <v>519</v>
      </c>
      <c r="B543" s="3">
        <v>5.0358645863561591E-3</v>
      </c>
      <c r="C543" s="3">
        <v>-6.035864586356271E-3</v>
      </c>
    </row>
    <row r="544" spans="1:3" x14ac:dyDescent="0.3">
      <c r="A544" s="3">
        <v>520</v>
      </c>
      <c r="B544" s="3">
        <v>5.2288647223107387E-3</v>
      </c>
      <c r="C544" s="3">
        <v>-6.7288647223105735E-3</v>
      </c>
    </row>
    <row r="545" spans="1:3" x14ac:dyDescent="0.3">
      <c r="A545" s="3">
        <v>521</v>
      </c>
      <c r="B545" s="3">
        <v>5.5183649262425527E-3</v>
      </c>
      <c r="C545" s="3">
        <v>-5.7183649262427527E-3</v>
      </c>
    </row>
    <row r="546" spans="1:3" x14ac:dyDescent="0.3">
      <c r="A546" s="3">
        <v>522</v>
      </c>
      <c r="B546" s="3">
        <v>5.5569649534335241E-3</v>
      </c>
      <c r="C546" s="3">
        <v>-4.8569649534333792E-3</v>
      </c>
    </row>
    <row r="547" spans="1:3" x14ac:dyDescent="0.3">
      <c r="A547" s="3">
        <v>523</v>
      </c>
      <c r="B547" s="3">
        <v>5.4218648582652906E-3</v>
      </c>
      <c r="C547" s="3">
        <v>-1.1121864858265329E-2</v>
      </c>
    </row>
    <row r="548" spans="1:3" x14ac:dyDescent="0.3">
      <c r="A548" s="3">
        <v>524</v>
      </c>
      <c r="B548" s="3">
        <v>6.5219656332063392E-3</v>
      </c>
      <c r="C548" s="3">
        <v>-6.2196563320632281E-4</v>
      </c>
    </row>
    <row r="549" spans="1:3" x14ac:dyDescent="0.3">
      <c r="A549" s="3">
        <v>525</v>
      </c>
      <c r="B549" s="3">
        <v>5.3832648310743747E-3</v>
      </c>
      <c r="C549" s="3">
        <v>-1.1183264831074402E-2</v>
      </c>
    </row>
    <row r="550" spans="1:3" x14ac:dyDescent="0.3">
      <c r="A550" s="3">
        <v>526</v>
      </c>
      <c r="B550" s="3">
        <v>6.5026656196108812E-3</v>
      </c>
      <c r="C550" s="3">
        <v>-8.6026656196108719E-3</v>
      </c>
    </row>
    <row r="551" spans="1:3" x14ac:dyDescent="0.3">
      <c r="A551" s="3">
        <v>527</v>
      </c>
      <c r="B551" s="3">
        <v>6.9079659051154707E-3</v>
      </c>
      <c r="C551" s="3">
        <v>-9.5079659051154064E-3</v>
      </c>
    </row>
    <row r="552" spans="1:3" x14ac:dyDescent="0.3">
      <c r="A552" s="3">
        <v>528</v>
      </c>
      <c r="B552" s="3">
        <v>7.4097662585973223E-3</v>
      </c>
      <c r="C552" s="3">
        <v>-6.8097662585973884E-3</v>
      </c>
    </row>
    <row r="553" spans="1:3" x14ac:dyDescent="0.3">
      <c r="A553" s="3">
        <v>529</v>
      </c>
      <c r="B553" s="3">
        <v>7.2939661770246023E-3</v>
      </c>
      <c r="C553" s="3">
        <v>-8.9396617702464098E-4</v>
      </c>
    </row>
    <row r="554" spans="1:3" x14ac:dyDescent="0.3">
      <c r="A554" s="3">
        <v>530</v>
      </c>
      <c r="B554" s="3">
        <v>6.0587653069153757E-3</v>
      </c>
      <c r="C554" s="3">
        <v>-7.4587653069154436E-3</v>
      </c>
    </row>
    <row r="555" spans="1:3" x14ac:dyDescent="0.3">
      <c r="A555" s="3">
        <v>531</v>
      </c>
      <c r="B555" s="3">
        <v>6.3289654972517873E-3</v>
      </c>
      <c r="C555" s="3">
        <v>-1.0528965497251769E-2</v>
      </c>
    </row>
    <row r="556" spans="1:3" x14ac:dyDescent="0.3">
      <c r="A556" s="3">
        <v>532</v>
      </c>
      <c r="B556" s="3">
        <v>7.1395660682609663E-3</v>
      </c>
      <c r="C556" s="3">
        <v>-1.543956606826094E-2</v>
      </c>
    </row>
    <row r="557" spans="1:3" x14ac:dyDescent="0.3">
      <c r="A557" s="3">
        <v>533</v>
      </c>
      <c r="B557" s="3">
        <v>8.7414671966838664E-3</v>
      </c>
      <c r="C557" s="3">
        <v>-1.6241467196683707E-2</v>
      </c>
    </row>
    <row r="558" spans="1:3" x14ac:dyDescent="0.3">
      <c r="A558" s="3">
        <v>534</v>
      </c>
      <c r="B558" s="3">
        <v>1.0188968216343103E-2</v>
      </c>
      <c r="C558" s="3">
        <v>-1.8288968216343099E-2</v>
      </c>
    </row>
    <row r="559" spans="1:3" x14ac:dyDescent="0.3">
      <c r="A559" s="3">
        <v>535</v>
      </c>
      <c r="B559" s="3">
        <v>1.1752269317575115E-2</v>
      </c>
      <c r="C559" s="3">
        <v>-1.7852269317575109E-2</v>
      </c>
    </row>
    <row r="560" spans="1:3" x14ac:dyDescent="0.3">
      <c r="A560" s="3">
        <v>536</v>
      </c>
      <c r="B560" s="3">
        <v>1.2929570146897967E-2</v>
      </c>
      <c r="C560" s="3">
        <v>-8.2295701468980409E-3</v>
      </c>
    </row>
    <row r="561" spans="1:3" x14ac:dyDescent="0.3">
      <c r="A561" s="3">
        <v>537</v>
      </c>
      <c r="B561" s="3">
        <v>1.2022469507911526E-2</v>
      </c>
      <c r="C561" s="3">
        <v>-1.5722469507911563E-2</v>
      </c>
    </row>
    <row r="562" spans="1:3" x14ac:dyDescent="0.3">
      <c r="A562" s="3">
        <v>538</v>
      </c>
      <c r="B562" s="3">
        <v>1.2736570010943415E-2</v>
      </c>
      <c r="C562" s="3">
        <v>-1.113657001094337E-2</v>
      </c>
    </row>
    <row r="563" spans="1:3" x14ac:dyDescent="0.3">
      <c r="A563" s="3">
        <v>539</v>
      </c>
      <c r="B563" s="3">
        <v>1.2427769793416116E-2</v>
      </c>
      <c r="C563" s="3">
        <v>-2.3277697934161179E-3</v>
      </c>
    </row>
    <row r="564" spans="1:3" x14ac:dyDescent="0.3">
      <c r="A564" s="3">
        <v>540</v>
      </c>
      <c r="B564" s="3">
        <v>1.0478468420274972E-2</v>
      </c>
      <c r="C564" s="3">
        <v>-1.8578468420274968E-2</v>
      </c>
    </row>
    <row r="565" spans="1:3" x14ac:dyDescent="0.3">
      <c r="A565" s="3">
        <v>541</v>
      </c>
      <c r="B565" s="3">
        <v>1.2041769521506956E-2</v>
      </c>
      <c r="C565" s="3">
        <v>-1.0941769521507078E-2</v>
      </c>
    </row>
    <row r="566" spans="1:3" x14ac:dyDescent="0.3">
      <c r="A566" s="3">
        <v>542</v>
      </c>
      <c r="B566" s="3">
        <v>1.1829469371956974E-2</v>
      </c>
      <c r="C566" s="3">
        <v>-1.1429469371956796E-2</v>
      </c>
    </row>
    <row r="567" spans="1:3" x14ac:dyDescent="0.3">
      <c r="A567" s="3">
        <v>543</v>
      </c>
      <c r="B567" s="3">
        <v>1.1752269317575115E-2</v>
      </c>
      <c r="C567" s="3">
        <v>-1.455226931757525E-2</v>
      </c>
    </row>
    <row r="568" spans="1:3" x14ac:dyDescent="0.3">
      <c r="A568" s="3">
        <v>544</v>
      </c>
      <c r="B568" s="3">
        <v>1.229266969824791E-2</v>
      </c>
      <c r="C568" s="3">
        <v>-1.3892669698247956E-2</v>
      </c>
    </row>
    <row r="569" spans="1:3" x14ac:dyDescent="0.3">
      <c r="A569" s="3">
        <v>545</v>
      </c>
      <c r="B569" s="3">
        <v>1.2601469915775237E-2</v>
      </c>
      <c r="C569" s="3">
        <v>-2.5801469915775116E-2</v>
      </c>
    </row>
    <row r="570" spans="1:3" x14ac:dyDescent="0.3">
      <c r="A570" s="3">
        <v>546</v>
      </c>
      <c r="B570" s="3">
        <v>1.5149071710375522E-2</v>
      </c>
      <c r="C570" s="3">
        <v>-1.1949071710375653E-2</v>
      </c>
    </row>
    <row r="571" spans="1:3" x14ac:dyDescent="0.3">
      <c r="A571" s="3">
        <v>547</v>
      </c>
      <c r="B571" s="3">
        <v>1.4531471275320923E-2</v>
      </c>
      <c r="C571" s="3">
        <v>-1.2531471275320921E-2</v>
      </c>
    </row>
    <row r="572" spans="1:3" x14ac:dyDescent="0.3">
      <c r="A572" s="3">
        <v>548</v>
      </c>
      <c r="B572" s="3">
        <v>1.4145471003411791E-2</v>
      </c>
      <c r="C572" s="3">
        <v>-2.5454710034117367E-3</v>
      </c>
    </row>
    <row r="573" spans="1:3" x14ac:dyDescent="0.3">
      <c r="A573" s="3">
        <v>549</v>
      </c>
      <c r="B573" s="3">
        <v>1.1906669426338778E-2</v>
      </c>
      <c r="C573" s="3">
        <v>-2.0006669426338775E-2</v>
      </c>
    </row>
    <row r="574" spans="1:3" x14ac:dyDescent="0.3">
      <c r="A574" s="3">
        <v>550</v>
      </c>
      <c r="B574" s="3">
        <v>1.346997052757079E-2</v>
      </c>
      <c r="C574" s="3">
        <v>-1.4699705275707797E-3</v>
      </c>
    </row>
    <row r="575" spans="1:3" x14ac:dyDescent="0.3">
      <c r="A575" s="3">
        <v>551</v>
      </c>
      <c r="B575" s="3">
        <v>1.1153968896115973E-2</v>
      </c>
      <c r="C575" s="3">
        <v>-1.3753968896115909E-2</v>
      </c>
    </row>
    <row r="576" spans="1:3" x14ac:dyDescent="0.3">
      <c r="A576" s="3">
        <v>552</v>
      </c>
      <c r="B576" s="3">
        <v>1.1655769249597825E-2</v>
      </c>
      <c r="C576" s="3">
        <v>1.2442307504020866E-3</v>
      </c>
    </row>
    <row r="577" spans="1:3" x14ac:dyDescent="0.3">
      <c r="A577" s="3">
        <v>553</v>
      </c>
      <c r="B577" s="3">
        <v>9.1660674957839139E-3</v>
      </c>
      <c r="C577" s="3">
        <v>-4.6660674957839654E-3</v>
      </c>
    </row>
    <row r="578" spans="1:3" x14ac:dyDescent="0.3">
      <c r="A578" s="3">
        <v>554</v>
      </c>
      <c r="B578" s="3">
        <v>8.2975668839883887E-3</v>
      </c>
      <c r="C578" s="3">
        <v>-1.3697566883988238E-2</v>
      </c>
    </row>
    <row r="579" spans="1:3" x14ac:dyDescent="0.3">
      <c r="A579" s="3">
        <v>555</v>
      </c>
      <c r="B579" s="3">
        <v>9.3397676181430078E-3</v>
      </c>
      <c r="C579" s="3">
        <v>-4.9397676181430483E-3</v>
      </c>
    </row>
    <row r="580" spans="1:3" x14ac:dyDescent="0.3">
      <c r="A580" s="3">
        <v>556</v>
      </c>
      <c r="B580" s="3">
        <v>8.4905670199429129E-3</v>
      </c>
      <c r="C580" s="3">
        <v>-8.1905670199429459E-3</v>
      </c>
    </row>
    <row r="581" spans="1:3" x14ac:dyDescent="0.3">
      <c r="A581" s="3">
        <v>557</v>
      </c>
      <c r="B581" s="3">
        <v>8.4326669791565667E-3</v>
      </c>
      <c r="C581" s="3">
        <v>-3.4326669791564512E-3</v>
      </c>
    </row>
    <row r="582" spans="1:3" x14ac:dyDescent="0.3">
      <c r="A582" s="3">
        <v>558</v>
      </c>
      <c r="B582" s="3">
        <v>7.4676662993836962E-3</v>
      </c>
      <c r="C582" s="3">
        <v>-1.1867666299383878E-2</v>
      </c>
    </row>
    <row r="583" spans="1:3" x14ac:dyDescent="0.3">
      <c r="A583" s="3">
        <v>559</v>
      </c>
      <c r="B583" s="3">
        <v>8.3168668975838189E-3</v>
      </c>
      <c r="C583" s="3">
        <v>-1.7016866897583749E-2</v>
      </c>
    </row>
    <row r="584" spans="1:3" x14ac:dyDescent="0.3">
      <c r="A584" s="3">
        <v>560</v>
      </c>
      <c r="B584" s="3">
        <v>9.9959680803885509E-3</v>
      </c>
      <c r="C584" s="3">
        <v>-9.5968080388530996E-5</v>
      </c>
    </row>
    <row r="585" spans="1:3" x14ac:dyDescent="0.3">
      <c r="A585" s="3">
        <v>561</v>
      </c>
      <c r="B585" s="3">
        <v>8.0852667344383233E-3</v>
      </c>
      <c r="C585" s="3">
        <v>-1.0785266734438248E-2</v>
      </c>
    </row>
    <row r="586" spans="1:3" x14ac:dyDescent="0.3">
      <c r="A586" s="3">
        <v>562</v>
      </c>
      <c r="B586" s="3">
        <v>8.6063671015156606E-3</v>
      </c>
      <c r="C586" s="3">
        <v>-1.100636710151584E-2</v>
      </c>
    </row>
    <row r="587" spans="1:3" x14ac:dyDescent="0.3">
      <c r="A587" s="3">
        <v>563</v>
      </c>
      <c r="B587" s="3">
        <v>9.0695674278066518E-3</v>
      </c>
      <c r="C587" s="3">
        <v>-8.5695674278064848E-3</v>
      </c>
    </row>
    <row r="588" spans="1:3" x14ac:dyDescent="0.3">
      <c r="A588" s="3">
        <v>564</v>
      </c>
      <c r="B588" s="3">
        <v>8.9730673598293342E-3</v>
      </c>
      <c r="C588" s="3">
        <v>-7.4730673598294994E-3</v>
      </c>
    </row>
    <row r="589" spans="1:3" x14ac:dyDescent="0.3">
      <c r="A589" s="3">
        <v>565</v>
      </c>
      <c r="B589" s="3">
        <v>8.6835671558975203E-3</v>
      </c>
      <c r="C589" s="3">
        <v>-1.8683567155897529E-2</v>
      </c>
    </row>
    <row r="590" spans="1:3" x14ac:dyDescent="0.3">
      <c r="A590" s="3">
        <v>566</v>
      </c>
      <c r="B590" s="3">
        <v>1.0613568515443206E-2</v>
      </c>
      <c r="C590" s="3">
        <v>-2.0513568515443004E-2</v>
      </c>
    </row>
    <row r="591" spans="1:3" x14ac:dyDescent="0.3">
      <c r="A591" s="3">
        <v>567</v>
      </c>
      <c r="B591" s="3">
        <v>1.2524269861393378E-2</v>
      </c>
      <c r="C591" s="3">
        <v>-2.3224269861393532E-2</v>
      </c>
    </row>
    <row r="592" spans="1:3" x14ac:dyDescent="0.3">
      <c r="A592" s="3">
        <v>568</v>
      </c>
      <c r="B592" s="3">
        <v>1.4589371316107297E-2</v>
      </c>
      <c r="C592" s="3">
        <v>-1.3989371316107141E-2</v>
      </c>
    </row>
    <row r="593" spans="1:3" x14ac:dyDescent="0.3">
      <c r="A593" s="3">
        <v>569</v>
      </c>
      <c r="B593" s="3">
        <v>1.4473571234534521E-2</v>
      </c>
      <c r="C593" s="3">
        <v>-1.1573571234534619E-2</v>
      </c>
    </row>
    <row r="594" spans="1:3" x14ac:dyDescent="0.3">
      <c r="A594" s="3">
        <v>570</v>
      </c>
      <c r="B594" s="3">
        <v>1.3913870840266296E-2</v>
      </c>
      <c r="C594" s="3">
        <v>-3.513870840266331E-3</v>
      </c>
    </row>
    <row r="595" spans="1:3" x14ac:dyDescent="0.3">
      <c r="A595" s="3">
        <v>571</v>
      </c>
      <c r="B595" s="3">
        <v>1.1906669426338778E-2</v>
      </c>
      <c r="C595" s="3">
        <v>-1.6806669426338683E-2</v>
      </c>
    </row>
    <row r="596" spans="1:3" x14ac:dyDescent="0.3">
      <c r="A596" s="3">
        <v>572</v>
      </c>
      <c r="B596" s="3">
        <v>1.2852370092516163E-2</v>
      </c>
      <c r="C596" s="3">
        <v>-1.1752370092516284E-2</v>
      </c>
    </row>
    <row r="597" spans="1:3" x14ac:dyDescent="0.3">
      <c r="A597" s="3">
        <v>573</v>
      </c>
      <c r="B597" s="3">
        <v>1.2640069942966153E-2</v>
      </c>
      <c r="C597" s="3">
        <v>-1.1040069942966108E-2</v>
      </c>
    </row>
    <row r="598" spans="1:3" x14ac:dyDescent="0.3">
      <c r="A598" s="3">
        <v>574</v>
      </c>
      <c r="B598" s="3">
        <v>1.2331269725438826E-2</v>
      </c>
      <c r="C598" s="3">
        <v>-8.3312697254388224E-3</v>
      </c>
    </row>
    <row r="599" spans="1:3" x14ac:dyDescent="0.3">
      <c r="A599" s="3">
        <v>575</v>
      </c>
      <c r="B599" s="3">
        <v>1.1559269181620563E-2</v>
      </c>
      <c r="C599" s="3">
        <v>-1.5759269181620544E-2</v>
      </c>
    </row>
    <row r="600" spans="1:3" x14ac:dyDescent="0.3">
      <c r="A600" s="3">
        <v>576</v>
      </c>
      <c r="B600" s="3">
        <v>1.2369869752629742E-2</v>
      </c>
      <c r="C600" s="3">
        <v>-9.2698697526298612E-3</v>
      </c>
    </row>
    <row r="601" spans="1:3" x14ac:dyDescent="0.3">
      <c r="A601" s="3">
        <v>577</v>
      </c>
      <c r="B601" s="3">
        <v>1.17715693311706E-2</v>
      </c>
      <c r="C601" s="3">
        <v>-8.8715693311704757E-3</v>
      </c>
    </row>
    <row r="602" spans="1:3" x14ac:dyDescent="0.3">
      <c r="A602" s="3">
        <v>578</v>
      </c>
      <c r="B602" s="3">
        <v>1.1211868936902319E-2</v>
      </c>
      <c r="C602" s="3">
        <v>-1.771186893690227E-2</v>
      </c>
    </row>
    <row r="603" spans="1:3" x14ac:dyDescent="0.3">
      <c r="A603" s="3">
        <v>579</v>
      </c>
      <c r="B603" s="3">
        <v>1.2466369820607004E-2</v>
      </c>
      <c r="C603" s="3">
        <v>-2.0366369820607022E-2</v>
      </c>
    </row>
    <row r="604" spans="1:3" x14ac:dyDescent="0.3">
      <c r="A604" s="3">
        <v>580</v>
      </c>
      <c r="B604" s="3">
        <v>1.39910708946481E-2</v>
      </c>
      <c r="C604" s="3">
        <v>-9.6910708946481294E-3</v>
      </c>
    </row>
    <row r="605" spans="1:3" x14ac:dyDescent="0.3">
      <c r="A605" s="3">
        <v>581</v>
      </c>
      <c r="B605" s="3">
        <v>1.3161170310043463E-2</v>
      </c>
      <c r="C605" s="3">
        <v>-1.8561170310043534E-2</v>
      </c>
    </row>
    <row r="606" spans="1:3" x14ac:dyDescent="0.3">
      <c r="A606" s="3">
        <v>582</v>
      </c>
      <c r="B606" s="3">
        <v>1.4203371044198138E-2</v>
      </c>
      <c r="C606" s="3">
        <v>-1.490337104419806E-2</v>
      </c>
    </row>
    <row r="607" spans="1:3" x14ac:dyDescent="0.3">
      <c r="A607" s="3">
        <v>583</v>
      </c>
      <c r="B607" s="3">
        <v>1.4338471139366343E-2</v>
      </c>
      <c r="C607" s="3">
        <v>-2.9838471139366413E-2</v>
      </c>
    </row>
    <row r="608" spans="1:3" x14ac:dyDescent="0.3">
      <c r="A608" s="3">
        <v>584</v>
      </c>
      <c r="B608" s="3">
        <v>1.7329973246662161E-2</v>
      </c>
      <c r="C608" s="3">
        <v>-2.5829973246662113E-2</v>
      </c>
    </row>
    <row r="609" spans="1:3" x14ac:dyDescent="0.3">
      <c r="A609" s="3">
        <v>585</v>
      </c>
      <c r="B609" s="3">
        <v>1.8970474402275977E-2</v>
      </c>
      <c r="C609" s="3">
        <v>-2.1170474402275957E-2</v>
      </c>
    </row>
    <row r="610" spans="1:3" x14ac:dyDescent="0.3">
      <c r="A610" s="3">
        <v>586</v>
      </c>
      <c r="B610" s="3">
        <v>1.9395074701376025E-2</v>
      </c>
      <c r="C610" s="3">
        <v>-1.6995074701376067E-2</v>
      </c>
    </row>
    <row r="611" spans="1:3" x14ac:dyDescent="0.3">
      <c r="A611" s="3">
        <v>587</v>
      </c>
      <c r="B611" s="3">
        <v>1.8931874375085062E-2</v>
      </c>
      <c r="C611" s="3">
        <v>-3.333187437508503E-2</v>
      </c>
    </row>
    <row r="612" spans="1:3" x14ac:dyDescent="0.3">
      <c r="A612" s="3">
        <v>588</v>
      </c>
      <c r="B612" s="3">
        <v>2.1711076332830842E-2</v>
      </c>
      <c r="C612" s="3">
        <v>-2.2011076332830809E-2</v>
      </c>
    </row>
    <row r="613" spans="1:3" x14ac:dyDescent="0.3">
      <c r="A613" s="3">
        <v>589</v>
      </c>
      <c r="B613" s="3">
        <v>2.1768976373617188E-2</v>
      </c>
      <c r="C613" s="3">
        <v>-1.936897637361723E-2</v>
      </c>
    </row>
    <row r="614" spans="1:3" x14ac:dyDescent="0.3">
      <c r="A614" s="3">
        <v>590</v>
      </c>
      <c r="B614" s="3">
        <v>2.1305776047326225E-2</v>
      </c>
      <c r="C614" s="3">
        <v>-2.5705776047326184E-2</v>
      </c>
    </row>
    <row r="615" spans="1:3" x14ac:dyDescent="0.3">
      <c r="A615" s="3">
        <v>591</v>
      </c>
      <c r="B615" s="3">
        <v>2.215497664552632E-2</v>
      </c>
      <c r="C615" s="3">
        <v>-1.5054976645526436E-2</v>
      </c>
    </row>
    <row r="616" spans="1:3" x14ac:dyDescent="0.3">
      <c r="A616" s="3">
        <v>592</v>
      </c>
      <c r="B616" s="3">
        <v>2.0784675680248915E-2</v>
      </c>
      <c r="C616" s="3">
        <v>-1.5384675680248844E-2</v>
      </c>
    </row>
    <row r="617" spans="1:3" x14ac:dyDescent="0.3">
      <c r="A617" s="3">
        <v>593</v>
      </c>
      <c r="B617" s="3">
        <v>1.9742474946094241E-2</v>
      </c>
      <c r="C617" s="3">
        <v>-1.1442474946094267E-2</v>
      </c>
    </row>
    <row r="618" spans="1:3" x14ac:dyDescent="0.3">
      <c r="A618" s="3">
        <v>594</v>
      </c>
      <c r="B618" s="3">
        <v>1.814057381767134E-2</v>
      </c>
      <c r="C618" s="3">
        <v>-2.2840573817671267E-2</v>
      </c>
    </row>
    <row r="619" spans="1:3" x14ac:dyDescent="0.3">
      <c r="A619" s="3">
        <v>595</v>
      </c>
      <c r="B619" s="3">
        <v>1.9047674456657782E-2</v>
      </c>
      <c r="C619" s="3">
        <v>-1.3947674456657899E-2</v>
      </c>
    </row>
    <row r="620" spans="1:3" x14ac:dyDescent="0.3">
      <c r="A620" s="3">
        <v>596</v>
      </c>
      <c r="B620" s="3">
        <v>1.8063373763289509E-2</v>
      </c>
      <c r="C620" s="3">
        <v>-1.9863373763289532E-2</v>
      </c>
    </row>
    <row r="621" spans="1:3" x14ac:dyDescent="0.3">
      <c r="A621" s="3">
        <v>597</v>
      </c>
      <c r="B621" s="3">
        <v>1.8410774008007752E-2</v>
      </c>
      <c r="C621" s="3">
        <v>-1.741077400800764E-2</v>
      </c>
    </row>
    <row r="622" spans="1:3" x14ac:dyDescent="0.3">
      <c r="A622" s="3">
        <v>598</v>
      </c>
      <c r="B622" s="3">
        <v>1.8217773872053145E-2</v>
      </c>
      <c r="C622" s="3">
        <v>-2.8817773872053087E-2</v>
      </c>
    </row>
    <row r="623" spans="1:3" x14ac:dyDescent="0.3">
      <c r="A623" s="3">
        <v>599</v>
      </c>
      <c r="B623" s="3">
        <v>2.026357531317155E-2</v>
      </c>
      <c r="C623" s="3">
        <v>-1.1463575313171631E-2</v>
      </c>
    </row>
    <row r="624" spans="1:3" x14ac:dyDescent="0.3">
      <c r="A624" s="3">
        <v>600</v>
      </c>
      <c r="B624" s="3">
        <v>1.8565174116771388E-2</v>
      </c>
      <c r="C624" s="3">
        <v>-1.9165174116771322E-2</v>
      </c>
    </row>
    <row r="625" spans="1:3" x14ac:dyDescent="0.3">
      <c r="A625" s="3">
        <v>601</v>
      </c>
      <c r="B625" s="3">
        <v>1.8680974198344108E-2</v>
      </c>
      <c r="C625" s="3">
        <v>-1.6480974198344128E-2</v>
      </c>
    </row>
    <row r="626" spans="1:3" x14ac:dyDescent="0.3">
      <c r="A626" s="3">
        <v>602</v>
      </c>
      <c r="B626" s="3">
        <v>1.8256373899244061E-2</v>
      </c>
      <c r="C626" s="3">
        <v>-1.395637389924409E-2</v>
      </c>
    </row>
    <row r="627" spans="1:3" x14ac:dyDescent="0.3">
      <c r="A627" s="3">
        <v>603</v>
      </c>
      <c r="B627" s="3">
        <v>1.7426473314639424E-2</v>
      </c>
      <c r="C627" s="3">
        <v>-2.7126473314639465E-2</v>
      </c>
    </row>
    <row r="628" spans="1:3" x14ac:dyDescent="0.3">
      <c r="A628" s="3">
        <v>604</v>
      </c>
      <c r="B628" s="3">
        <v>1.9298574633398735E-2</v>
      </c>
      <c r="C628" s="3">
        <v>-1.9298574633398735E-2</v>
      </c>
    </row>
    <row r="629" spans="1:3" x14ac:dyDescent="0.3">
      <c r="A629" s="3">
        <v>605</v>
      </c>
      <c r="B629" s="3">
        <v>1.9298574633398735E-2</v>
      </c>
      <c r="C629" s="3">
        <v>-1.1398574633398717E-2</v>
      </c>
    </row>
    <row r="630" spans="1:3" x14ac:dyDescent="0.3">
      <c r="A630" s="3">
        <v>606</v>
      </c>
      <c r="B630" s="3">
        <v>1.7773873559357639E-2</v>
      </c>
      <c r="C630" s="3">
        <v>-2.3973873559357622E-2</v>
      </c>
    </row>
    <row r="631" spans="1:3" x14ac:dyDescent="0.3">
      <c r="A631" s="3">
        <v>607</v>
      </c>
      <c r="B631" s="3">
        <v>1.8970474402275977E-2</v>
      </c>
      <c r="C631" s="3">
        <v>-1.757047440227591E-2</v>
      </c>
    </row>
    <row r="632" spans="1:3" x14ac:dyDescent="0.3">
      <c r="A632" s="3">
        <v>608</v>
      </c>
      <c r="B632" s="3">
        <v>1.8700274211939566E-2</v>
      </c>
      <c r="C632" s="3">
        <v>-1.7100274211939742E-2</v>
      </c>
    </row>
    <row r="633" spans="1:3" x14ac:dyDescent="0.3">
      <c r="A633" s="3">
        <v>609</v>
      </c>
      <c r="B633" s="3">
        <v>1.8391473994412294E-2</v>
      </c>
      <c r="C633" s="3">
        <v>-9.791473994412131E-3</v>
      </c>
    </row>
    <row r="634" spans="1:3" x14ac:dyDescent="0.3">
      <c r="A634" s="3">
        <v>610</v>
      </c>
      <c r="B634" s="3">
        <v>1.6731672825202965E-2</v>
      </c>
      <c r="C634" s="3">
        <v>-1.4731672825202963E-2</v>
      </c>
    </row>
    <row r="635" spans="1:3" x14ac:dyDescent="0.3">
      <c r="A635" s="3">
        <v>611</v>
      </c>
      <c r="B635" s="3">
        <v>1.6345672553293833E-2</v>
      </c>
      <c r="C635" s="3">
        <v>-2.2245672553293849E-2</v>
      </c>
    </row>
    <row r="636" spans="1:3" x14ac:dyDescent="0.3">
      <c r="A636" s="3">
        <v>612</v>
      </c>
      <c r="B636" s="3">
        <v>1.7484373355425797E-2</v>
      </c>
      <c r="C636" s="3">
        <v>-2.7284373355425828E-2</v>
      </c>
    </row>
    <row r="637" spans="1:3" x14ac:dyDescent="0.3">
      <c r="A637" s="3">
        <v>613</v>
      </c>
      <c r="B637" s="3">
        <v>1.9375774687780567E-2</v>
      </c>
      <c r="C637" s="3">
        <v>-1.8375774687780677E-2</v>
      </c>
    </row>
    <row r="638" spans="1:3" x14ac:dyDescent="0.3">
      <c r="A638" s="3">
        <v>614</v>
      </c>
      <c r="B638" s="3">
        <v>1.9182774551826015E-2</v>
      </c>
      <c r="C638" s="3">
        <v>-1.8182774551825903E-2</v>
      </c>
    </row>
    <row r="639" spans="1:3" x14ac:dyDescent="0.3">
      <c r="A639" s="3">
        <v>615</v>
      </c>
      <c r="B639" s="3">
        <v>1.8989774415871408E-2</v>
      </c>
      <c r="C639" s="3">
        <v>-2.8189774415871505E-2</v>
      </c>
    </row>
    <row r="640" spans="1:3" x14ac:dyDescent="0.3">
      <c r="A640" s="3">
        <v>616</v>
      </c>
      <c r="B640" s="3">
        <v>2.0765375666653457E-2</v>
      </c>
      <c r="C640" s="3">
        <v>-2.6165375666653307E-2</v>
      </c>
    </row>
    <row r="641" spans="1:3" x14ac:dyDescent="0.3">
      <c r="A641" s="3">
        <v>617</v>
      </c>
      <c r="B641" s="3">
        <v>2.1807576400808104E-2</v>
      </c>
      <c r="C641" s="3">
        <v>-3.110757640080819E-2</v>
      </c>
    </row>
    <row r="642" spans="1:3" x14ac:dyDescent="0.3">
      <c r="A642" s="3">
        <v>618</v>
      </c>
      <c r="B642" s="3">
        <v>2.3602477665185612E-2</v>
      </c>
      <c r="C642" s="3">
        <v>-2.1002477665185565E-2</v>
      </c>
    </row>
    <row r="643" spans="1:3" x14ac:dyDescent="0.3">
      <c r="A643" s="3">
        <v>619</v>
      </c>
      <c r="B643" s="3">
        <v>2.3100677311703705E-2</v>
      </c>
      <c r="C643" s="3">
        <v>-2.3300677311703683E-2</v>
      </c>
    </row>
    <row r="644" spans="1:3" x14ac:dyDescent="0.3">
      <c r="A644" s="3">
        <v>620</v>
      </c>
      <c r="B644" s="3">
        <v>2.313927733889462E-2</v>
      </c>
      <c r="C644" s="3">
        <v>-2.223927733889472E-2</v>
      </c>
    </row>
    <row r="645" spans="1:3" x14ac:dyDescent="0.3">
      <c r="A645" s="3">
        <v>621</v>
      </c>
      <c r="B645" s="3">
        <v>2.2965577216535527E-2</v>
      </c>
      <c r="C645" s="3">
        <v>-2.4265577216535494E-2</v>
      </c>
    </row>
    <row r="646" spans="1:3" x14ac:dyDescent="0.3">
      <c r="A646" s="3">
        <v>622</v>
      </c>
      <c r="B646" s="3">
        <v>2.3216477393276452E-2</v>
      </c>
      <c r="C646" s="3">
        <v>-1.9816477393276383E-2</v>
      </c>
    </row>
    <row r="647" spans="1:3" x14ac:dyDescent="0.3">
      <c r="A647" s="3">
        <v>623</v>
      </c>
      <c r="B647" s="3">
        <v>2.2560276931030909E-2</v>
      </c>
      <c r="C647" s="3">
        <v>-2.0860276931030874E-2</v>
      </c>
    </row>
    <row r="648" spans="1:3" x14ac:dyDescent="0.3">
      <c r="A648" s="3">
        <v>624</v>
      </c>
      <c r="B648" s="3">
        <v>2.2232176699908152E-2</v>
      </c>
      <c r="C648" s="3">
        <v>-1.7732176699908203E-2</v>
      </c>
    </row>
    <row r="649" spans="1:3" x14ac:dyDescent="0.3">
      <c r="A649" s="3">
        <v>625</v>
      </c>
      <c r="B649" s="3">
        <v>2.1363676088112599E-2</v>
      </c>
      <c r="C649" s="3">
        <v>-3.2663676088112686E-2</v>
      </c>
    </row>
    <row r="650" spans="1:3" x14ac:dyDescent="0.3">
      <c r="A650" s="3">
        <v>626</v>
      </c>
      <c r="B650" s="3">
        <v>2.3544577624399238E-2</v>
      </c>
      <c r="C650" s="3">
        <v>-2.2844577624399204E-2</v>
      </c>
    </row>
    <row r="651" spans="1:3" x14ac:dyDescent="0.3">
      <c r="A651" s="3">
        <v>627</v>
      </c>
      <c r="B651" s="3">
        <v>2.3409477529231032E-2</v>
      </c>
      <c r="C651" s="3">
        <v>-2.5909477529230979E-2</v>
      </c>
    </row>
    <row r="652" spans="1:3" x14ac:dyDescent="0.3">
      <c r="A652" s="3">
        <v>628</v>
      </c>
      <c r="B652" s="3">
        <v>2.3891977869117453E-2</v>
      </c>
      <c r="C652" s="3">
        <v>-2.6291977869117522E-2</v>
      </c>
    </row>
    <row r="653" spans="1:3" x14ac:dyDescent="0.3">
      <c r="A653" s="3">
        <v>629</v>
      </c>
      <c r="B653" s="3">
        <v>2.4355178195408417E-2</v>
      </c>
      <c r="C653" s="3">
        <v>-1.4655178195408375E-2</v>
      </c>
    </row>
    <row r="654" spans="1:3" x14ac:dyDescent="0.3">
      <c r="A654" s="3">
        <v>630</v>
      </c>
      <c r="B654" s="3">
        <v>2.2483076876649105E-2</v>
      </c>
      <c r="C654" s="3">
        <v>-2.2983076876649161E-2</v>
      </c>
    </row>
    <row r="655" spans="1:3" x14ac:dyDescent="0.3">
      <c r="A655" s="3">
        <v>631</v>
      </c>
      <c r="B655" s="3">
        <v>2.2579576944626395E-2</v>
      </c>
      <c r="C655" s="3">
        <v>-1.8079576944626335E-2</v>
      </c>
    </row>
    <row r="656" spans="1:3" x14ac:dyDescent="0.3">
      <c r="A656" s="3">
        <v>632</v>
      </c>
      <c r="B656" s="3">
        <v>2.1711076332830842E-2</v>
      </c>
      <c r="C656" s="3">
        <v>-1.3711076332830835E-2</v>
      </c>
    </row>
    <row r="657" spans="1:3" x14ac:dyDescent="0.3">
      <c r="A657" s="3">
        <v>633</v>
      </c>
      <c r="B657" s="3">
        <v>2.0167075245194288E-2</v>
      </c>
      <c r="C657" s="3">
        <v>-3.5067075245194312E-2</v>
      </c>
    </row>
    <row r="658" spans="1:3" x14ac:dyDescent="0.3">
      <c r="A658" s="3">
        <v>634</v>
      </c>
      <c r="B658" s="3">
        <v>2.3042777270917358E-2</v>
      </c>
      <c r="C658" s="3">
        <v>-2.2342777270917324E-2</v>
      </c>
    </row>
    <row r="659" spans="1:3" x14ac:dyDescent="0.3">
      <c r="A659" s="3">
        <v>635</v>
      </c>
      <c r="B659" s="3">
        <v>2.2907677175749153E-2</v>
      </c>
      <c r="C659" s="3">
        <v>-2.0707677175749173E-2</v>
      </c>
    </row>
    <row r="660" spans="1:3" x14ac:dyDescent="0.3">
      <c r="A660" s="3">
        <v>636</v>
      </c>
      <c r="B660" s="3">
        <v>2.2483076876649105E-2</v>
      </c>
      <c r="C660" s="3">
        <v>-2.0883076876649059E-2</v>
      </c>
    </row>
    <row r="661" spans="1:3" x14ac:dyDescent="0.3">
      <c r="A661" s="3">
        <v>637</v>
      </c>
      <c r="B661" s="3">
        <v>2.2174276659121778E-2</v>
      </c>
      <c r="C661" s="3">
        <v>-2.1474276659121855E-2</v>
      </c>
    </row>
    <row r="662" spans="1:3" x14ac:dyDescent="0.3">
      <c r="A662" s="3">
        <v>638</v>
      </c>
      <c r="B662" s="3">
        <v>2.20391765639536E-2</v>
      </c>
      <c r="C662" s="3">
        <v>-2.7239176563953582E-2</v>
      </c>
    </row>
    <row r="663" spans="1:3" x14ac:dyDescent="0.3">
      <c r="A663" s="3">
        <v>639</v>
      </c>
      <c r="B663" s="3">
        <v>2.3042777270917358E-2</v>
      </c>
      <c r="C663" s="3">
        <v>-3.6342777270917337E-2</v>
      </c>
    </row>
    <row r="664" spans="1:3" x14ac:dyDescent="0.3">
      <c r="A664" s="3">
        <v>640</v>
      </c>
      <c r="B664" s="3">
        <v>2.5609679079113101E-2</v>
      </c>
      <c r="C664" s="3">
        <v>-2.570967907911309E-2</v>
      </c>
    </row>
    <row r="665" spans="1:3" x14ac:dyDescent="0.3">
      <c r="A665" s="3">
        <v>641</v>
      </c>
      <c r="B665" s="3">
        <v>2.5628979092708559E-2</v>
      </c>
      <c r="C665" s="3">
        <v>-4.0228979092708617E-2</v>
      </c>
    </row>
    <row r="666" spans="1:3" x14ac:dyDescent="0.3">
      <c r="A666" s="3">
        <v>642</v>
      </c>
      <c r="B666" s="3">
        <v>2.8446781077645256E-2</v>
      </c>
      <c r="C666" s="3">
        <v>-3.6846781077645219E-2</v>
      </c>
    </row>
    <row r="667" spans="1:3" x14ac:dyDescent="0.3">
      <c r="A667" s="3">
        <v>643</v>
      </c>
      <c r="B667" s="3">
        <v>3.0067982219663614E-2</v>
      </c>
      <c r="C667" s="3">
        <v>-3.1467982219663571E-2</v>
      </c>
    </row>
    <row r="668" spans="1:3" x14ac:dyDescent="0.3">
      <c r="A668" s="3">
        <v>644</v>
      </c>
      <c r="B668" s="3">
        <v>3.0338182409999997E-2</v>
      </c>
      <c r="C668" s="3">
        <v>-1.6138182410000007E-2</v>
      </c>
    </row>
    <row r="669" spans="1:3" x14ac:dyDescent="0.3">
      <c r="A669" s="3">
        <v>645</v>
      </c>
      <c r="B669" s="3">
        <v>2.7597580479445133E-2</v>
      </c>
      <c r="C669" s="3">
        <v>-1.9597580479445126E-2</v>
      </c>
    </row>
    <row r="670" spans="1:3" x14ac:dyDescent="0.3">
      <c r="A670" s="3">
        <v>646</v>
      </c>
      <c r="B670" s="3">
        <v>2.6053579391808607E-2</v>
      </c>
      <c r="C670" s="3">
        <v>-2.7553579391808664E-2</v>
      </c>
    </row>
    <row r="671" spans="1:3" x14ac:dyDescent="0.3">
      <c r="A671" s="3">
        <v>647</v>
      </c>
      <c r="B671" s="3">
        <v>2.6343079595740476E-2</v>
      </c>
      <c r="C671" s="3">
        <v>-2.3843079595740418E-2</v>
      </c>
    </row>
    <row r="672" spans="1:3" x14ac:dyDescent="0.3">
      <c r="A672" s="3">
        <v>648</v>
      </c>
      <c r="B672" s="3">
        <v>2.5860579255854027E-2</v>
      </c>
      <c r="C672" s="3">
        <v>-9.9605792558541129E-3</v>
      </c>
    </row>
    <row r="673" spans="1:3" x14ac:dyDescent="0.3">
      <c r="A673" s="3">
        <v>649</v>
      </c>
      <c r="B673" s="3">
        <v>2.2791877094176433E-2</v>
      </c>
      <c r="C673" s="3">
        <v>-3.289187709417643E-2</v>
      </c>
    </row>
    <row r="674" spans="1:3" x14ac:dyDescent="0.3">
      <c r="A674" s="3">
        <v>650</v>
      </c>
      <c r="B674" s="3">
        <v>2.4741178467317548E-2</v>
      </c>
      <c r="C674" s="3">
        <v>-3.4141178467317512E-2</v>
      </c>
    </row>
    <row r="675" spans="1:3" x14ac:dyDescent="0.3">
      <c r="A675" s="3">
        <v>651</v>
      </c>
      <c r="B675" s="3">
        <v>2.6555379745290486E-2</v>
      </c>
      <c r="C675" s="3">
        <v>-3.1255379745290524E-2</v>
      </c>
    </row>
    <row r="676" spans="1:3" x14ac:dyDescent="0.3">
      <c r="A676" s="3">
        <v>652</v>
      </c>
      <c r="B676" s="3">
        <v>2.7462480384276955E-2</v>
      </c>
      <c r="C676" s="3">
        <v>-3.1562480384276947E-2</v>
      </c>
    </row>
    <row r="677" spans="1:3" x14ac:dyDescent="0.3">
      <c r="A677" s="3">
        <v>653</v>
      </c>
      <c r="B677" s="3">
        <v>2.8253780941690704E-2</v>
      </c>
      <c r="C677" s="3">
        <v>-2.7953780941690626E-2</v>
      </c>
    </row>
    <row r="678" spans="1:3" x14ac:dyDescent="0.3">
      <c r="A678" s="3">
        <v>654</v>
      </c>
      <c r="B678" s="3">
        <v>2.8195880900904302E-2</v>
      </c>
      <c r="C678" s="3">
        <v>-2.8095880900904313E-2</v>
      </c>
    </row>
    <row r="679" spans="1:3" x14ac:dyDescent="0.3">
      <c r="A679" s="3">
        <v>655</v>
      </c>
      <c r="B679" s="3">
        <v>2.8176580887308844E-2</v>
      </c>
      <c r="C679" s="3">
        <v>-2.1276580887308938E-2</v>
      </c>
    </row>
    <row r="680" spans="1:3" x14ac:dyDescent="0.3">
      <c r="A680" s="3">
        <v>656</v>
      </c>
      <c r="B680" s="3">
        <v>2.6844879949222356E-2</v>
      </c>
      <c r="C680" s="3">
        <v>-3.2244879949222316E-2</v>
      </c>
    </row>
    <row r="681" spans="1:3" x14ac:dyDescent="0.3">
      <c r="A681" s="3">
        <v>657</v>
      </c>
      <c r="B681" s="3">
        <v>2.7887080683377002E-2</v>
      </c>
      <c r="C681" s="3">
        <v>-1.5987080683376981E-2</v>
      </c>
    </row>
    <row r="682" spans="1:3" x14ac:dyDescent="0.3">
      <c r="A682" s="3">
        <v>658</v>
      </c>
      <c r="B682" s="3">
        <v>2.5590379065517643E-2</v>
      </c>
      <c r="C682" s="3">
        <v>-2.4190379065517686E-2</v>
      </c>
    </row>
    <row r="683" spans="1:3" x14ac:dyDescent="0.3">
      <c r="A683" s="3">
        <v>659</v>
      </c>
      <c r="B683" s="3">
        <v>2.532017887518126E-2</v>
      </c>
      <c r="C683" s="3">
        <v>-3.3420178875181256E-2</v>
      </c>
    </row>
    <row r="684" spans="1:3" x14ac:dyDescent="0.3">
      <c r="A684" s="3">
        <v>660</v>
      </c>
      <c r="B684" s="3">
        <v>2.6883479976413271E-2</v>
      </c>
      <c r="C684" s="3">
        <v>-2.5683479976413293E-2</v>
      </c>
    </row>
    <row r="685" spans="1:3" x14ac:dyDescent="0.3">
      <c r="A685" s="3">
        <v>661</v>
      </c>
      <c r="B685" s="3">
        <v>2.6651879813267776E-2</v>
      </c>
      <c r="C685" s="3">
        <v>-1.8951879813267736E-2</v>
      </c>
    </row>
    <row r="686" spans="1:3" x14ac:dyDescent="0.3">
      <c r="A686" s="3">
        <v>662</v>
      </c>
      <c r="B686" s="3">
        <v>2.5165778766417596E-2</v>
      </c>
      <c r="C686" s="3">
        <v>-2.3765778766417528E-2</v>
      </c>
    </row>
    <row r="687" spans="1:3" x14ac:dyDescent="0.3">
      <c r="A687" s="3">
        <v>663</v>
      </c>
      <c r="B687" s="3">
        <v>2.4895578576081184E-2</v>
      </c>
      <c r="C687" s="3">
        <v>-1.5895578576081287E-2</v>
      </c>
    </row>
    <row r="688" spans="1:3" x14ac:dyDescent="0.3">
      <c r="A688" s="3">
        <v>664</v>
      </c>
      <c r="B688" s="3">
        <v>2.3158577352490106E-2</v>
      </c>
      <c r="C688" s="3">
        <v>-1.1858577352490018E-2</v>
      </c>
    </row>
    <row r="689" spans="1:3" x14ac:dyDescent="0.3">
      <c r="A689" s="3">
        <v>665</v>
      </c>
      <c r="B689" s="3">
        <v>2.0977675816203467E-2</v>
      </c>
      <c r="C689" s="3">
        <v>-3.2477675816203533E-2</v>
      </c>
    </row>
    <row r="690" spans="1:3" x14ac:dyDescent="0.3">
      <c r="A690" s="3">
        <v>666</v>
      </c>
      <c r="B690" s="3">
        <v>2.3197177379681022E-2</v>
      </c>
      <c r="C690" s="3">
        <v>-2.3097177379681033E-2</v>
      </c>
    </row>
    <row r="691" spans="1:3" x14ac:dyDescent="0.3">
      <c r="A691" s="3">
        <v>667</v>
      </c>
      <c r="B691" s="3">
        <v>2.3177877366085564E-2</v>
      </c>
      <c r="C691" s="3">
        <v>-3.1177877366085571E-2</v>
      </c>
    </row>
    <row r="692" spans="1:3" x14ac:dyDescent="0.3">
      <c r="A692" s="3">
        <v>668</v>
      </c>
      <c r="B692" s="3">
        <v>2.472187845372209E-2</v>
      </c>
      <c r="C692" s="3">
        <v>-2.5621878453721991E-2</v>
      </c>
    </row>
    <row r="693" spans="1:3" x14ac:dyDescent="0.3">
      <c r="A693" s="3">
        <v>669</v>
      </c>
      <c r="B693" s="3">
        <v>2.4895578576081184E-2</v>
      </c>
      <c r="C693" s="3">
        <v>-3.0595578576081223E-2</v>
      </c>
    </row>
    <row r="694" spans="1:3" x14ac:dyDescent="0.3">
      <c r="A694" s="3">
        <v>670</v>
      </c>
      <c r="B694" s="3">
        <v>2.5995679351022233E-2</v>
      </c>
      <c r="C694" s="3">
        <v>-3.2595679351022283E-2</v>
      </c>
    </row>
    <row r="695" spans="1:3" x14ac:dyDescent="0.3">
      <c r="A695" s="3">
        <v>671</v>
      </c>
      <c r="B695" s="3">
        <v>2.7269480248322403E-2</v>
      </c>
      <c r="C695" s="3">
        <v>-6.3694802483223734E-3</v>
      </c>
    </row>
    <row r="696" spans="1:3" x14ac:dyDescent="0.3">
      <c r="A696" s="3">
        <v>672</v>
      </c>
      <c r="B696" s="3">
        <v>2.323577740687191E-2</v>
      </c>
      <c r="C696" s="3">
        <v>-1.7335777406871894E-2</v>
      </c>
    </row>
    <row r="697" spans="1:3" x14ac:dyDescent="0.3">
      <c r="A697" s="3">
        <v>673</v>
      </c>
      <c r="B697" s="3">
        <v>2.2097076604739974E-2</v>
      </c>
      <c r="C697" s="3">
        <v>-1.6797076604739891E-2</v>
      </c>
    </row>
    <row r="698" spans="1:3" x14ac:dyDescent="0.3">
      <c r="A698" s="3">
        <v>674</v>
      </c>
      <c r="B698" s="3">
        <v>2.1074175884180729E-2</v>
      </c>
      <c r="C698" s="3">
        <v>-2.7174175884180723E-2</v>
      </c>
    </row>
    <row r="699" spans="1:3" x14ac:dyDescent="0.3">
      <c r="A699" s="3">
        <v>675</v>
      </c>
      <c r="B699" s="3">
        <v>2.225147671350361E-2</v>
      </c>
      <c r="C699" s="3">
        <v>-2.5514767135037808E-3</v>
      </c>
    </row>
    <row r="700" spans="1:3" x14ac:dyDescent="0.3">
      <c r="A700" s="3">
        <v>676</v>
      </c>
      <c r="B700" s="3">
        <v>1.844937403519864E-2</v>
      </c>
      <c r="C700" s="3">
        <v>-4.0493740351986718E-3</v>
      </c>
    </row>
    <row r="701" spans="1:3" x14ac:dyDescent="0.3">
      <c r="A701" s="3">
        <v>677</v>
      </c>
      <c r="B701" s="3">
        <v>1.5670172077452887E-2</v>
      </c>
      <c r="C701" s="3">
        <v>-1.8370172077452812E-2</v>
      </c>
    </row>
    <row r="702" spans="1:3" x14ac:dyDescent="0.3">
      <c r="A702" s="3">
        <v>678</v>
      </c>
      <c r="B702" s="3">
        <v>1.6191272444530197E-2</v>
      </c>
      <c r="C702" s="3">
        <v>-1.3891272444530228E-2</v>
      </c>
    </row>
    <row r="703" spans="1:3" x14ac:dyDescent="0.3">
      <c r="A703" s="3">
        <v>679</v>
      </c>
      <c r="B703" s="3">
        <v>1.5747372131834692E-2</v>
      </c>
      <c r="C703" s="3">
        <v>-1.1347372131834732E-2</v>
      </c>
    </row>
    <row r="704" spans="1:3" x14ac:dyDescent="0.3">
      <c r="A704" s="3">
        <v>680</v>
      </c>
      <c r="B704" s="3">
        <v>1.4898171533634597E-2</v>
      </c>
      <c r="C704" s="3">
        <v>-1.8098171533634466E-2</v>
      </c>
    </row>
    <row r="705" spans="1:3" x14ac:dyDescent="0.3">
      <c r="A705" s="3">
        <v>681</v>
      </c>
      <c r="B705" s="3">
        <v>1.5515771968689196E-2</v>
      </c>
      <c r="C705" s="3">
        <v>-1.9115771968689244E-2</v>
      </c>
    </row>
    <row r="706" spans="1:3" x14ac:dyDescent="0.3">
      <c r="A706" s="3">
        <v>682</v>
      </c>
      <c r="B706" s="3">
        <v>1.6210572458125655E-2</v>
      </c>
      <c r="C706" s="3">
        <v>-2.4510572458125629E-2</v>
      </c>
    </row>
    <row r="707" spans="1:3" x14ac:dyDescent="0.3">
      <c r="A707" s="3">
        <v>683</v>
      </c>
      <c r="B707" s="3">
        <v>1.7812473586548555E-2</v>
      </c>
      <c r="C707" s="3">
        <v>-1.1712473586548561E-2</v>
      </c>
    </row>
    <row r="708" spans="1:3" x14ac:dyDescent="0.3">
      <c r="A708" s="3">
        <v>684</v>
      </c>
      <c r="B708" s="3">
        <v>1.6635172757225702E-2</v>
      </c>
      <c r="C708" s="3">
        <v>-7.3351727572256165E-3</v>
      </c>
    </row>
    <row r="709" spans="1:3" x14ac:dyDescent="0.3">
      <c r="A709" s="3">
        <v>685</v>
      </c>
      <c r="B709" s="3">
        <v>1.4840271492848195E-2</v>
      </c>
      <c r="C709" s="3">
        <v>-1.3540271492848338E-2</v>
      </c>
    </row>
    <row r="710" spans="1:3" x14ac:dyDescent="0.3">
      <c r="A710" s="3">
        <v>686</v>
      </c>
      <c r="B710" s="3">
        <v>1.4589371316107297E-2</v>
      </c>
      <c r="C710" s="3">
        <v>-1.5889371316107154E-2</v>
      </c>
    </row>
    <row r="711" spans="1:3" x14ac:dyDescent="0.3">
      <c r="A711" s="3">
        <v>687</v>
      </c>
      <c r="B711" s="3">
        <v>1.4840271492848195E-2</v>
      </c>
      <c r="C711" s="3">
        <v>-2.0640271492848222E-2</v>
      </c>
    </row>
    <row r="712" spans="1:3" x14ac:dyDescent="0.3">
      <c r="A712" s="3">
        <v>688</v>
      </c>
      <c r="B712" s="3">
        <v>1.5959672281384701E-2</v>
      </c>
      <c r="C712" s="3">
        <v>-1.6959672281384813E-2</v>
      </c>
    </row>
    <row r="713" spans="1:3" x14ac:dyDescent="0.3">
      <c r="A713" s="3">
        <v>689</v>
      </c>
      <c r="B713" s="3">
        <v>1.6152672417339281E-2</v>
      </c>
      <c r="C713" s="3">
        <v>-8.3526724173392519E-3</v>
      </c>
    </row>
    <row r="714" spans="1:3" x14ac:dyDescent="0.3">
      <c r="A714" s="3">
        <v>690</v>
      </c>
      <c r="B714" s="3">
        <v>1.4647271356893643E-2</v>
      </c>
      <c r="C714" s="3">
        <v>-2.9472713568935993E-3</v>
      </c>
    </row>
    <row r="715" spans="1:3" x14ac:dyDescent="0.3">
      <c r="A715" s="3">
        <v>691</v>
      </c>
      <c r="B715" s="3">
        <v>1.23891697662252E-2</v>
      </c>
      <c r="C715" s="3">
        <v>-1.0789169766225154E-2</v>
      </c>
    </row>
    <row r="716" spans="1:3" x14ac:dyDescent="0.3">
      <c r="A716" s="3">
        <v>692</v>
      </c>
      <c r="B716" s="3">
        <v>1.2080369548697872E-2</v>
      </c>
      <c r="C716" s="3">
        <v>-1.6780369548698021E-2</v>
      </c>
    </row>
    <row r="717" spans="1:3" x14ac:dyDescent="0.3">
      <c r="A717" s="3">
        <v>693</v>
      </c>
      <c r="B717" s="3">
        <v>1.2987470187684369E-2</v>
      </c>
      <c r="C717" s="3">
        <v>-1.5187470187684349E-2</v>
      </c>
    </row>
    <row r="718" spans="1:3" x14ac:dyDescent="0.3">
      <c r="A718" s="3">
        <v>694</v>
      </c>
      <c r="B718" s="3">
        <v>1.3412070486784416E-2</v>
      </c>
      <c r="C718" s="3">
        <v>-9.8120704867843689E-3</v>
      </c>
    </row>
    <row r="719" spans="1:3" x14ac:dyDescent="0.3">
      <c r="A719" s="3">
        <v>695</v>
      </c>
      <c r="B719" s="3">
        <v>1.2717269997347957E-2</v>
      </c>
      <c r="C719" s="3">
        <v>-7.617269997347853E-3</v>
      </c>
    </row>
    <row r="720" spans="1:3" x14ac:dyDescent="0.3">
      <c r="A720" s="3">
        <v>696</v>
      </c>
      <c r="B720" s="3">
        <v>1.1732969303979657E-2</v>
      </c>
      <c r="C720" s="3">
        <v>-1.4332969303979815E-2</v>
      </c>
    </row>
    <row r="721" spans="1:3" x14ac:dyDescent="0.3">
      <c r="A721" s="3">
        <v>697</v>
      </c>
      <c r="B721" s="3">
        <v>1.2234769657461564E-2</v>
      </c>
      <c r="C721" s="3">
        <v>-1.1734769657461397E-2</v>
      </c>
    </row>
    <row r="722" spans="1:3" x14ac:dyDescent="0.3">
      <c r="A722" s="3">
        <v>698</v>
      </c>
      <c r="B722" s="3">
        <v>1.2138269589484246E-2</v>
      </c>
      <c r="C722" s="3">
        <v>-2.6382695894844044E-3</v>
      </c>
    </row>
    <row r="723" spans="1:3" x14ac:dyDescent="0.3">
      <c r="A723" s="3">
        <v>699</v>
      </c>
      <c r="B723" s="3">
        <v>1.0304768297915878E-2</v>
      </c>
      <c r="C723" s="3">
        <v>-5.1047682979157849E-3</v>
      </c>
    </row>
    <row r="724" spans="1:3" x14ac:dyDescent="0.3">
      <c r="A724" s="3">
        <v>700</v>
      </c>
      <c r="B724" s="3">
        <v>9.3011675909521196E-3</v>
      </c>
      <c r="C724" s="3">
        <v>-1.4901167590952169E-2</v>
      </c>
    </row>
    <row r="725" spans="1:3" x14ac:dyDescent="0.3">
      <c r="A725" s="3">
        <v>701</v>
      </c>
      <c r="B725" s="3">
        <v>1.0381968352297682E-2</v>
      </c>
      <c r="C725" s="3">
        <v>-1.4781968352297642E-2</v>
      </c>
    </row>
    <row r="726" spans="1:3" x14ac:dyDescent="0.3">
      <c r="A726" s="3">
        <v>702</v>
      </c>
      <c r="B726" s="3">
        <v>1.1231168950497777E-2</v>
      </c>
      <c r="C726" s="3">
        <v>-8.9311689504978087E-3</v>
      </c>
    </row>
    <row r="727" spans="1:3" x14ac:dyDescent="0.3">
      <c r="A727" s="3">
        <v>703</v>
      </c>
      <c r="B727" s="3">
        <v>1.07872686378023E-2</v>
      </c>
      <c r="C727" s="3">
        <v>-9.1872686378022539E-3</v>
      </c>
    </row>
    <row r="728" spans="1:3" x14ac:dyDescent="0.3">
      <c r="A728" s="3">
        <v>704</v>
      </c>
      <c r="B728" s="3">
        <v>1.0478468420274972E-2</v>
      </c>
      <c r="C728" s="3">
        <v>-1.2278468420274996E-2</v>
      </c>
    </row>
    <row r="729" spans="1:3" x14ac:dyDescent="0.3">
      <c r="A729" s="3">
        <v>705</v>
      </c>
      <c r="B729" s="3">
        <v>1.0825868664993188E-2</v>
      </c>
      <c r="C729" s="3">
        <v>-1.18258686649933E-2</v>
      </c>
    </row>
    <row r="730" spans="1:3" x14ac:dyDescent="0.3">
      <c r="A730" s="3">
        <v>706</v>
      </c>
      <c r="B730" s="3">
        <v>1.1018868800947795E-2</v>
      </c>
      <c r="C730" s="3">
        <v>-8.9188688009478045E-3</v>
      </c>
    </row>
    <row r="731" spans="1:3" x14ac:dyDescent="0.3">
      <c r="A731" s="3">
        <v>707</v>
      </c>
      <c r="B731" s="3">
        <v>1.0613568515443206E-2</v>
      </c>
      <c r="C731" s="3">
        <v>-8.513568515443215E-3</v>
      </c>
    </row>
    <row r="732" spans="1:3" x14ac:dyDescent="0.3">
      <c r="A732" s="3">
        <v>708</v>
      </c>
      <c r="B732" s="3">
        <v>1.0208268229938616E-2</v>
      </c>
      <c r="C732" s="3">
        <v>-9.9082682299384273E-3</v>
      </c>
    </row>
    <row r="733" spans="1:3" x14ac:dyDescent="0.3">
      <c r="A733" s="3">
        <v>709</v>
      </c>
      <c r="B733" s="3">
        <v>1.0150368189152187E-2</v>
      </c>
      <c r="C733" s="3">
        <v>-1.3150368189152301E-2</v>
      </c>
    </row>
    <row r="734" spans="1:3" x14ac:dyDescent="0.3">
      <c r="A734" s="3">
        <v>710</v>
      </c>
      <c r="B734" s="3">
        <v>1.0729368597015926E-2</v>
      </c>
      <c r="C734" s="3">
        <v>-5.4293685970158434E-3</v>
      </c>
    </row>
    <row r="735" spans="1:3" x14ac:dyDescent="0.3">
      <c r="A735" s="3">
        <v>711</v>
      </c>
      <c r="B735" s="3">
        <v>9.7064678764567092E-3</v>
      </c>
      <c r="C735" s="3">
        <v>-5.6064678764567166E-3</v>
      </c>
    </row>
    <row r="736" spans="1:3" x14ac:dyDescent="0.3">
      <c r="A736" s="3">
        <v>712</v>
      </c>
      <c r="B736" s="3">
        <v>8.9151673190429603E-3</v>
      </c>
      <c r="C736" s="3">
        <v>2.5284832680957048E-2</v>
      </c>
    </row>
    <row r="737" spans="1:3" x14ac:dyDescent="0.3">
      <c r="A737" s="3">
        <v>713</v>
      </c>
      <c r="B737" s="3">
        <v>2.3145626693967525E-3</v>
      </c>
      <c r="C737" s="3">
        <v>-4.0514562669396764E-2</v>
      </c>
    </row>
    <row r="738" spans="1:3" x14ac:dyDescent="0.3">
      <c r="A738" s="3">
        <v>714</v>
      </c>
      <c r="B738" s="3">
        <v>9.6871678628612512E-3</v>
      </c>
      <c r="C738" s="3">
        <v>-2.1287167862861306E-2</v>
      </c>
    </row>
    <row r="739" spans="1:3" x14ac:dyDescent="0.3">
      <c r="A739" s="3">
        <v>715</v>
      </c>
      <c r="B739" s="3">
        <v>1.1925969439934236E-2</v>
      </c>
      <c r="C739" s="3">
        <v>-6.625969439934154E-3</v>
      </c>
    </row>
    <row r="740" spans="1:3" x14ac:dyDescent="0.3">
      <c r="A740" s="3">
        <v>716</v>
      </c>
      <c r="B740" s="3">
        <v>1.090306871937502E-2</v>
      </c>
      <c r="C740" s="3">
        <v>-1.8803068719375038E-2</v>
      </c>
    </row>
    <row r="741" spans="1:3" x14ac:dyDescent="0.3">
      <c r="A741" s="3">
        <v>717</v>
      </c>
      <c r="B741" s="3">
        <v>1.2427769793416116E-2</v>
      </c>
      <c r="C741" s="3">
        <v>-2.7769793416149158E-5</v>
      </c>
    </row>
    <row r="742" spans="1:3" x14ac:dyDescent="0.3">
      <c r="A742" s="3">
        <v>718</v>
      </c>
      <c r="B742" s="3">
        <v>1.0034568107579467E-2</v>
      </c>
      <c r="C742" s="3">
        <v>-1.6345681075795038E-3</v>
      </c>
    </row>
    <row r="743" spans="1:3" x14ac:dyDescent="0.3">
      <c r="A743" s="3">
        <v>719</v>
      </c>
      <c r="B743" s="3">
        <v>8.4133669655611087E-3</v>
      </c>
      <c r="C743" s="3">
        <v>-7.8133669655611748E-3</v>
      </c>
    </row>
    <row r="744" spans="1:3" x14ac:dyDescent="0.3">
      <c r="A744" s="3">
        <v>720</v>
      </c>
      <c r="B744" s="3">
        <v>8.2975668839883887E-3</v>
      </c>
      <c r="C744" s="3">
        <v>-6.1975668839883979E-3</v>
      </c>
    </row>
    <row r="745" spans="1:3" x14ac:dyDescent="0.3">
      <c r="A745" s="3">
        <v>721</v>
      </c>
      <c r="B745" s="3">
        <v>7.8922665984837992E-3</v>
      </c>
      <c r="C745" s="3">
        <v>1.2077334015163088E-3</v>
      </c>
    </row>
    <row r="746" spans="1:3" x14ac:dyDescent="0.3">
      <c r="A746" s="3">
        <v>722</v>
      </c>
      <c r="B746" s="3">
        <v>6.1359653612972076E-3</v>
      </c>
      <c r="C746" s="3">
        <v>-7.9359653612972314E-3</v>
      </c>
    </row>
    <row r="747" spans="1:3" x14ac:dyDescent="0.3">
      <c r="A747" s="3">
        <v>723</v>
      </c>
      <c r="B747" s="3">
        <v>6.4833656060154232E-3</v>
      </c>
      <c r="C747" s="3">
        <v>-7.6833656060155131E-3</v>
      </c>
    </row>
    <row r="748" spans="1:3" x14ac:dyDescent="0.3">
      <c r="A748" s="3">
        <v>724</v>
      </c>
      <c r="B748" s="3">
        <v>6.7149657691609188E-3</v>
      </c>
      <c r="C748" s="3">
        <v>-9.5149657691608325E-3</v>
      </c>
    </row>
    <row r="749" spans="1:3" x14ac:dyDescent="0.3">
      <c r="A749" s="3">
        <v>725</v>
      </c>
      <c r="B749" s="3">
        <v>7.2553661498336863E-3</v>
      </c>
      <c r="C749" s="3">
        <v>-6.8553661498337304E-3</v>
      </c>
    </row>
    <row r="750" spans="1:3" x14ac:dyDescent="0.3">
      <c r="A750" s="3">
        <v>726</v>
      </c>
      <c r="B750" s="3">
        <v>7.1781660954518822E-3</v>
      </c>
      <c r="C750" s="3">
        <v>-3.6781660954518236E-3</v>
      </c>
    </row>
    <row r="751" spans="1:3" x14ac:dyDescent="0.3">
      <c r="A751" s="3">
        <v>727</v>
      </c>
      <c r="B751" s="3">
        <v>6.5026656196108812E-3</v>
      </c>
      <c r="C751" s="3">
        <v>-3.7026656196109675E-3</v>
      </c>
    </row>
    <row r="752" spans="1:3" x14ac:dyDescent="0.3">
      <c r="A752" s="3">
        <v>728</v>
      </c>
      <c r="B752" s="3">
        <v>5.9622652389381137E-3</v>
      </c>
      <c r="C752" s="3">
        <v>-4.6622652389380348E-3</v>
      </c>
    </row>
    <row r="753" spans="1:3" x14ac:dyDescent="0.3">
      <c r="A753" s="3">
        <v>729</v>
      </c>
      <c r="B753" s="3">
        <v>5.7113650621971601E-3</v>
      </c>
      <c r="C753" s="3">
        <v>-4.0113650621971253E-3</v>
      </c>
    </row>
    <row r="754" spans="1:3" x14ac:dyDescent="0.3">
      <c r="A754" s="3">
        <v>730</v>
      </c>
      <c r="B754" s="3">
        <v>5.3832648310743747E-3</v>
      </c>
      <c r="C754" s="3">
        <v>-2.3832648310744831E-3</v>
      </c>
    </row>
    <row r="755" spans="1:3" x14ac:dyDescent="0.3">
      <c r="A755" s="3">
        <v>731</v>
      </c>
      <c r="B755" s="3">
        <v>4.8042644232106912E-3</v>
      </c>
      <c r="C755" s="3">
        <v>-7.4042644232106269E-3</v>
      </c>
    </row>
    <row r="756" spans="1:3" x14ac:dyDescent="0.3">
      <c r="A756" s="3">
        <v>732</v>
      </c>
      <c r="B756" s="3">
        <v>5.3060647766925706E-3</v>
      </c>
      <c r="C756" s="3">
        <v>-7.5060647766925503E-3</v>
      </c>
    </row>
    <row r="757" spans="1:3" x14ac:dyDescent="0.3">
      <c r="A757" s="3">
        <v>733</v>
      </c>
      <c r="B757" s="3">
        <v>5.7306650757926181E-3</v>
      </c>
      <c r="C757" s="3">
        <v>-8.0306650757925868E-3</v>
      </c>
    </row>
    <row r="758" spans="1:3" x14ac:dyDescent="0.3">
      <c r="A758" s="3">
        <v>734</v>
      </c>
      <c r="B758" s="3">
        <v>6.1745653884880958E-3</v>
      </c>
      <c r="C758" s="3">
        <v>-4.374565388488072E-3</v>
      </c>
    </row>
    <row r="759" spans="1:3" x14ac:dyDescent="0.3">
      <c r="A759" s="3">
        <v>735</v>
      </c>
      <c r="B759" s="3">
        <v>5.8271651437698802E-3</v>
      </c>
      <c r="C759" s="3">
        <v>6.8728348562300534E-3</v>
      </c>
    </row>
    <row r="760" spans="1:3" x14ac:dyDescent="0.3">
      <c r="A760" s="3">
        <v>736</v>
      </c>
      <c r="B760" s="3">
        <v>3.3760634171468851E-3</v>
      </c>
      <c r="C760" s="3">
        <v>-1.1276063417146903E-2</v>
      </c>
    </row>
    <row r="761" spans="1:3" x14ac:dyDescent="0.3">
      <c r="A761" s="3">
        <v>737</v>
      </c>
      <c r="B761" s="3">
        <v>4.9007644911879811E-3</v>
      </c>
      <c r="C761" s="3">
        <v>-1.6600764491188025E-2</v>
      </c>
    </row>
    <row r="762" spans="1:3" x14ac:dyDescent="0.3">
      <c r="A762" s="3">
        <v>738</v>
      </c>
      <c r="B762" s="3">
        <v>7.1588660818564243E-3</v>
      </c>
      <c r="C762" s="3">
        <v>-1.3458866081856397E-2</v>
      </c>
    </row>
    <row r="763" spans="1:3" x14ac:dyDescent="0.3">
      <c r="A763" s="3">
        <v>739</v>
      </c>
      <c r="B763" s="3">
        <v>8.3747669383701928E-3</v>
      </c>
      <c r="C763" s="3">
        <v>-9.0747669383701157E-3</v>
      </c>
    </row>
    <row r="764" spans="1:3" x14ac:dyDescent="0.3">
      <c r="A764" s="3">
        <v>740</v>
      </c>
      <c r="B764" s="3">
        <v>8.5098670335383708E-3</v>
      </c>
      <c r="C764" s="3">
        <v>-9.9098670335384387E-3</v>
      </c>
    </row>
    <row r="765" spans="1:3" x14ac:dyDescent="0.3">
      <c r="A765" s="3">
        <v>741</v>
      </c>
      <c r="B765" s="3">
        <v>8.7800672238747823E-3</v>
      </c>
      <c r="C765" s="3">
        <v>-6.0800672238746356E-3</v>
      </c>
    </row>
    <row r="766" spans="1:3" x14ac:dyDescent="0.3">
      <c r="A766" s="3">
        <v>742</v>
      </c>
      <c r="B766" s="3">
        <v>8.2589668567974173E-3</v>
      </c>
      <c r="C766" s="3">
        <v>-1.4358966856797634E-2</v>
      </c>
    </row>
    <row r="767" spans="1:3" x14ac:dyDescent="0.3">
      <c r="A767" s="3">
        <v>743</v>
      </c>
      <c r="B767" s="3">
        <v>9.4362676861203254E-3</v>
      </c>
      <c r="C767" s="3">
        <v>-4.9362676861201549E-3</v>
      </c>
    </row>
    <row r="768" spans="1:3" x14ac:dyDescent="0.3">
      <c r="A768" s="3">
        <v>744</v>
      </c>
      <c r="B768" s="3">
        <v>8.5677670743247447E-3</v>
      </c>
      <c r="C768" s="3">
        <v>-7.0677670743249099E-3</v>
      </c>
    </row>
    <row r="769" spans="1:3" x14ac:dyDescent="0.3">
      <c r="A769" s="3">
        <v>745</v>
      </c>
      <c r="B769" s="3">
        <v>8.2782668703929307E-3</v>
      </c>
      <c r="C769" s="3">
        <v>-1.2878266870392868E-2</v>
      </c>
    </row>
    <row r="770" spans="1:3" x14ac:dyDescent="0.3">
      <c r="A770" s="3">
        <v>746</v>
      </c>
      <c r="B770" s="3">
        <v>9.1660674957839139E-3</v>
      </c>
      <c r="C770" s="3">
        <v>-1.1266067495783905E-2</v>
      </c>
    </row>
    <row r="771" spans="1:3" x14ac:dyDescent="0.3">
      <c r="A771" s="3">
        <v>747</v>
      </c>
      <c r="B771" s="3">
        <v>9.5713677812885034E-3</v>
      </c>
      <c r="C771" s="3">
        <v>-6.9713677812885677E-3</v>
      </c>
    </row>
    <row r="772" spans="1:3" x14ac:dyDescent="0.3">
      <c r="A772" s="3">
        <v>748</v>
      </c>
      <c r="B772" s="3">
        <v>9.0695674278066518E-3</v>
      </c>
      <c r="C772" s="3">
        <v>-1.026956742780652E-2</v>
      </c>
    </row>
    <row r="773" spans="1:3" x14ac:dyDescent="0.3">
      <c r="A773" s="3">
        <v>749</v>
      </c>
      <c r="B773" s="3">
        <v>9.3011675909521196E-3</v>
      </c>
      <c r="C773" s="3">
        <v>-1.2901167590952167E-2</v>
      </c>
    </row>
    <row r="774" spans="1:3" x14ac:dyDescent="0.3">
      <c r="A774" s="3">
        <v>750</v>
      </c>
      <c r="B774" s="3">
        <v>9.9959680803885509E-3</v>
      </c>
      <c r="C774" s="3">
        <v>-1.4495968080388499E-2</v>
      </c>
    </row>
    <row r="775" spans="1:3" x14ac:dyDescent="0.3">
      <c r="A775" s="3">
        <v>751</v>
      </c>
      <c r="B775" s="3">
        <v>1.0864468692184104E-2</v>
      </c>
      <c r="C775" s="3">
        <v>-1.1464468692184038E-2</v>
      </c>
    </row>
    <row r="776" spans="1:3" x14ac:dyDescent="0.3">
      <c r="A776" s="3">
        <v>752</v>
      </c>
      <c r="B776" s="3">
        <v>1.0980268773756824E-2</v>
      </c>
      <c r="C776" s="3">
        <v>-1.588026877375695E-2</v>
      </c>
    </row>
    <row r="777" spans="1:3" x14ac:dyDescent="0.3">
      <c r="A777" s="3">
        <v>753</v>
      </c>
      <c r="B777" s="3">
        <v>1.1925969439934236E-2</v>
      </c>
      <c r="C777" s="3">
        <v>-5.8259694399342421E-3</v>
      </c>
    </row>
    <row r="778" spans="1:3" x14ac:dyDescent="0.3">
      <c r="A778" s="3">
        <v>754</v>
      </c>
      <c r="B778" s="3">
        <v>1.0748668610611384E-2</v>
      </c>
      <c r="C778" s="3">
        <v>-1.3848668610611264E-2</v>
      </c>
    </row>
    <row r="779" spans="1:3" x14ac:dyDescent="0.3">
      <c r="A779" s="3">
        <v>755</v>
      </c>
      <c r="B779" s="3">
        <v>1.1346969032070525E-2</v>
      </c>
      <c r="C779" s="3">
        <v>-2.4469690320706172E-3</v>
      </c>
    </row>
    <row r="780" spans="1:3" x14ac:dyDescent="0.3">
      <c r="A780" s="3">
        <v>756</v>
      </c>
      <c r="B780" s="3">
        <v>9.6292678220748773E-3</v>
      </c>
      <c r="C780" s="3">
        <v>-1.6529267822074784E-2</v>
      </c>
    </row>
    <row r="781" spans="1:3" x14ac:dyDescent="0.3">
      <c r="A781" s="3">
        <v>757</v>
      </c>
      <c r="B781" s="3">
        <v>1.0960968760161366E-2</v>
      </c>
      <c r="C781" s="3">
        <v>-7.3609687601615403E-3</v>
      </c>
    </row>
    <row r="782" spans="1:3" x14ac:dyDescent="0.3">
      <c r="A782" s="3">
        <v>758</v>
      </c>
      <c r="B782" s="3">
        <v>1.0266168270724962E-2</v>
      </c>
      <c r="C782" s="3">
        <v>-5.6661682707248029E-3</v>
      </c>
    </row>
    <row r="783" spans="1:3" x14ac:dyDescent="0.3">
      <c r="A783" s="3">
        <v>759</v>
      </c>
      <c r="B783" s="3">
        <v>9.3783676453339238E-3</v>
      </c>
      <c r="C783" s="3">
        <v>-2.2478367645334035E-2</v>
      </c>
    </row>
    <row r="784" spans="1:3" x14ac:dyDescent="0.3">
      <c r="A784" s="3">
        <v>760</v>
      </c>
      <c r="B784" s="3">
        <v>1.1906669426338778E-2</v>
      </c>
      <c r="C784" s="3">
        <v>-1.2206669426338745E-2</v>
      </c>
    </row>
    <row r="785" spans="1:3" x14ac:dyDescent="0.3">
      <c r="A785" s="3">
        <v>761</v>
      </c>
      <c r="B785" s="3">
        <v>1.1964569467125152E-2</v>
      </c>
      <c r="C785" s="3">
        <v>-8.3645694671251047E-3</v>
      </c>
    </row>
    <row r="786" spans="1:3" x14ac:dyDescent="0.3">
      <c r="A786" s="3">
        <v>762</v>
      </c>
      <c r="B786" s="3">
        <v>1.1269768977688693E-2</v>
      </c>
      <c r="C786" s="3">
        <v>-4.9697689776887211E-3</v>
      </c>
    </row>
    <row r="787" spans="1:3" x14ac:dyDescent="0.3">
      <c r="A787" s="3">
        <v>763</v>
      </c>
      <c r="B787" s="3">
        <v>1.0053868121174925E-2</v>
      </c>
      <c r="C787" s="3">
        <v>-1.4538681211749838E-3</v>
      </c>
    </row>
    <row r="788" spans="1:3" x14ac:dyDescent="0.3">
      <c r="A788" s="3">
        <v>764</v>
      </c>
      <c r="B788" s="3">
        <v>8.3940669519656508E-3</v>
      </c>
      <c r="C788" s="3">
        <v>-8.0940669519656838E-3</v>
      </c>
    </row>
    <row r="789" spans="1:3" x14ac:dyDescent="0.3">
      <c r="A789" s="3">
        <v>765</v>
      </c>
      <c r="B789" s="3">
        <v>8.3361669111792769E-3</v>
      </c>
      <c r="C789" s="3">
        <v>-2.4036166911179102E-2</v>
      </c>
    </row>
    <row r="790" spans="1:3" x14ac:dyDescent="0.3">
      <c r="A790" s="3">
        <v>766</v>
      </c>
      <c r="B790" s="3">
        <v>1.1366269045665983E-2</v>
      </c>
      <c r="C790" s="3">
        <v>-8.3662690456660915E-3</v>
      </c>
    </row>
    <row r="791" spans="1:3" x14ac:dyDescent="0.3">
      <c r="A791" s="3">
        <v>767</v>
      </c>
      <c r="B791" s="3">
        <v>1.07872686378023E-2</v>
      </c>
      <c r="C791" s="3">
        <v>-4.6872686378023054E-3</v>
      </c>
    </row>
    <row r="792" spans="1:3" x14ac:dyDescent="0.3">
      <c r="A792" s="3">
        <v>768</v>
      </c>
      <c r="B792" s="3">
        <v>9.6099678084794193E-3</v>
      </c>
      <c r="C792" s="3">
        <v>-4.3099678084793369E-3</v>
      </c>
    </row>
    <row r="793" spans="1:3" x14ac:dyDescent="0.3">
      <c r="A793" s="3">
        <v>769</v>
      </c>
      <c r="B793" s="3">
        <v>8.5870670879202027E-3</v>
      </c>
      <c r="C793" s="3">
        <v>-3.7870670879202872E-3</v>
      </c>
    </row>
    <row r="794" spans="1:3" x14ac:dyDescent="0.3">
      <c r="A794" s="3">
        <v>770</v>
      </c>
      <c r="B794" s="3">
        <v>7.6606664353382758E-3</v>
      </c>
      <c r="C794" s="3">
        <v>1.1393335646616432E-3</v>
      </c>
    </row>
    <row r="795" spans="1:3" x14ac:dyDescent="0.3">
      <c r="A795" s="3">
        <v>771</v>
      </c>
      <c r="B795" s="3">
        <v>5.9622652389381137E-3</v>
      </c>
      <c r="C795" s="3">
        <v>-8.4622652389380604E-3</v>
      </c>
    </row>
    <row r="796" spans="1:3" x14ac:dyDescent="0.3">
      <c r="A796" s="3">
        <v>772</v>
      </c>
      <c r="B796" s="3">
        <v>6.4447655788245073E-3</v>
      </c>
      <c r="C796" s="3">
        <v>-1.3544765578824391E-2</v>
      </c>
    </row>
    <row r="797" spans="1:3" x14ac:dyDescent="0.3">
      <c r="A797" s="3">
        <v>773</v>
      </c>
      <c r="B797" s="3">
        <v>7.8150665441019118E-3</v>
      </c>
      <c r="C797" s="3">
        <v>-4.1150665441020973E-3</v>
      </c>
    </row>
    <row r="798" spans="1:3" x14ac:dyDescent="0.3">
      <c r="A798" s="3">
        <v>774</v>
      </c>
      <c r="B798" s="3">
        <v>7.1009660410700504E-3</v>
      </c>
      <c r="C798" s="3">
        <v>-2.4009660410699019E-3</v>
      </c>
    </row>
    <row r="799" spans="1:3" x14ac:dyDescent="0.3">
      <c r="A799" s="3">
        <v>775</v>
      </c>
      <c r="B799" s="3">
        <v>6.1938654020835537E-3</v>
      </c>
      <c r="C799" s="3">
        <v>-6.1938654020835537E-3</v>
      </c>
    </row>
    <row r="800" spans="1:3" x14ac:dyDescent="0.3">
      <c r="A800" s="3">
        <v>776</v>
      </c>
      <c r="B800" s="3">
        <v>6.1938654020835537E-3</v>
      </c>
      <c r="C800" s="3">
        <v>-3.9386540208352638E-4</v>
      </c>
    </row>
    <row r="801" spans="1:3" x14ac:dyDescent="0.3">
      <c r="A801" s="3">
        <v>777</v>
      </c>
      <c r="B801" s="3">
        <v>5.074464613547075E-3</v>
      </c>
      <c r="C801" s="3">
        <v>-1.1274464613547058E-2</v>
      </c>
    </row>
    <row r="802" spans="1:3" x14ac:dyDescent="0.3">
      <c r="A802" s="3">
        <v>778</v>
      </c>
      <c r="B802" s="3">
        <v>6.2710654564653856E-3</v>
      </c>
      <c r="C802" s="3">
        <v>-6.7106545646555826E-4</v>
      </c>
    </row>
    <row r="803" spans="1:3" x14ac:dyDescent="0.3">
      <c r="A803" s="3">
        <v>779</v>
      </c>
      <c r="B803" s="3">
        <v>5.1902646951198228E-3</v>
      </c>
      <c r="C803" s="3">
        <v>5.0973530488021557E-4</v>
      </c>
    </row>
    <row r="804" spans="1:3" x14ac:dyDescent="0.3">
      <c r="A804" s="3">
        <v>780</v>
      </c>
      <c r="B804" s="3">
        <v>4.090163920178802E-3</v>
      </c>
      <c r="C804" s="3">
        <v>-8.9901639201787065E-3</v>
      </c>
    </row>
    <row r="805" spans="1:3" x14ac:dyDescent="0.3">
      <c r="A805" s="3">
        <v>781</v>
      </c>
      <c r="B805" s="3">
        <v>5.0358645863561591E-3</v>
      </c>
      <c r="C805" s="3">
        <v>-3.3358645863561243E-3</v>
      </c>
    </row>
    <row r="806" spans="1:3" x14ac:dyDescent="0.3">
      <c r="A806" s="3">
        <v>782</v>
      </c>
      <c r="B806" s="3">
        <v>4.7077643552333737E-3</v>
      </c>
      <c r="C806" s="3">
        <v>-7.0077643552335644E-3</v>
      </c>
    </row>
    <row r="807" spans="1:3" x14ac:dyDescent="0.3">
      <c r="A807" s="3">
        <v>783</v>
      </c>
      <c r="B807" s="3">
        <v>5.1516646679289346E-3</v>
      </c>
      <c r="C807" s="3">
        <v>-8.9516646679287382E-3</v>
      </c>
    </row>
    <row r="808" spans="1:3" x14ac:dyDescent="0.3">
      <c r="A808" s="3">
        <v>784</v>
      </c>
      <c r="B808" s="3">
        <v>5.885065184556254E-3</v>
      </c>
      <c r="C808" s="3">
        <v>-7.8506518455637164E-4</v>
      </c>
    </row>
    <row r="809" spans="1:3" x14ac:dyDescent="0.3">
      <c r="A809" s="3">
        <v>785</v>
      </c>
      <c r="B809" s="3">
        <v>4.9007644911879811E-3</v>
      </c>
      <c r="C809" s="3">
        <v>2.999235508812037E-3</v>
      </c>
    </row>
    <row r="810" spans="1:3" x14ac:dyDescent="0.3">
      <c r="A810" s="3">
        <v>786</v>
      </c>
      <c r="B810" s="3">
        <v>3.3760634171468851E-3</v>
      </c>
      <c r="C810" s="3">
        <v>2.1239365828531753E-3</v>
      </c>
    </row>
    <row r="811" spans="1:3" x14ac:dyDescent="0.3">
      <c r="A811" s="3">
        <v>787</v>
      </c>
      <c r="B811" s="3">
        <v>2.3145626693967525E-3</v>
      </c>
      <c r="C811" s="3">
        <v>-6.714562669396712E-3</v>
      </c>
    </row>
    <row r="812" spans="1:3" x14ac:dyDescent="0.3">
      <c r="A812" s="3">
        <v>788</v>
      </c>
      <c r="B812" s="3">
        <v>3.1637632675968475E-3</v>
      </c>
      <c r="C812" s="3">
        <v>-1.0563763267596921E-2</v>
      </c>
    </row>
    <row r="813" spans="1:3" x14ac:dyDescent="0.3">
      <c r="A813" s="3">
        <v>789</v>
      </c>
      <c r="B813" s="3">
        <v>4.5919642736606536E-3</v>
      </c>
      <c r="C813" s="3">
        <v>-9.1964273660705143E-5</v>
      </c>
    </row>
    <row r="814" spans="1:3" x14ac:dyDescent="0.3">
      <c r="A814" s="3">
        <v>790</v>
      </c>
      <c r="B814" s="3">
        <v>3.7234636618651007E-3</v>
      </c>
      <c r="C814" s="3">
        <v>-5.4234636618651355E-3</v>
      </c>
    </row>
    <row r="815" spans="1:3" x14ac:dyDescent="0.3">
      <c r="A815" s="3">
        <v>791</v>
      </c>
      <c r="B815" s="3">
        <v>4.0515638929878861E-3</v>
      </c>
      <c r="C815" s="3">
        <v>-2.7515638929878072E-3</v>
      </c>
    </row>
    <row r="816" spans="1:3" x14ac:dyDescent="0.3">
      <c r="A816" s="3">
        <v>792</v>
      </c>
      <c r="B816" s="3">
        <v>3.8006637162469326E-3</v>
      </c>
      <c r="C816" s="3">
        <v>-1.8006637162469308E-3</v>
      </c>
    </row>
    <row r="817" spans="1:3" x14ac:dyDescent="0.3">
      <c r="A817" s="3">
        <v>793</v>
      </c>
      <c r="B817" s="3">
        <v>3.414663444337801E-3</v>
      </c>
      <c r="C817" s="3">
        <v>1.9853365556622704E-3</v>
      </c>
    </row>
    <row r="818" spans="1:3" x14ac:dyDescent="0.3">
      <c r="A818" s="3">
        <v>794</v>
      </c>
      <c r="B818" s="3">
        <v>2.3724627101830986E-3</v>
      </c>
      <c r="C818" s="3">
        <v>-9.2724627101832269E-3</v>
      </c>
    </row>
    <row r="819" spans="1:3" x14ac:dyDescent="0.3">
      <c r="A819" s="3">
        <v>795</v>
      </c>
      <c r="B819" s="3">
        <v>3.7041636482696427E-3</v>
      </c>
      <c r="C819" s="3">
        <v>3.0958363517304965E-3</v>
      </c>
    </row>
    <row r="820" spans="1:3" x14ac:dyDescent="0.3">
      <c r="A820" s="3">
        <v>796</v>
      </c>
      <c r="B820" s="3">
        <v>2.3917627237785566E-3</v>
      </c>
      <c r="C820" s="3">
        <v>-3.6917627237786355E-3</v>
      </c>
    </row>
    <row r="821" spans="1:3" x14ac:dyDescent="0.3">
      <c r="A821" s="3">
        <v>797</v>
      </c>
      <c r="B821" s="3">
        <v>2.6426629005195101E-3</v>
      </c>
      <c r="C821" s="3">
        <v>-3.342662900519433E-3</v>
      </c>
    </row>
    <row r="822" spans="1:3" x14ac:dyDescent="0.3">
      <c r="A822" s="3">
        <v>798</v>
      </c>
      <c r="B822" s="3">
        <v>2.7777629956876881E-3</v>
      </c>
      <c r="C822" s="3">
        <v>-7.2777629956878587E-3</v>
      </c>
    </row>
    <row r="823" spans="1:3" x14ac:dyDescent="0.3">
      <c r="A823" s="3">
        <v>799</v>
      </c>
      <c r="B823" s="3">
        <v>3.6462636074832966E-3</v>
      </c>
      <c r="C823" s="3">
        <v>-1.2462636074831168E-3</v>
      </c>
    </row>
    <row r="824" spans="1:3" x14ac:dyDescent="0.3">
      <c r="A824" s="3">
        <v>800</v>
      </c>
      <c r="B824" s="3">
        <v>3.1830632811922777E-3</v>
      </c>
      <c r="C824" s="3">
        <v>2.8169367188077277E-3</v>
      </c>
    </row>
    <row r="825" spans="1:3" x14ac:dyDescent="0.3">
      <c r="A825" s="3">
        <v>801</v>
      </c>
      <c r="B825" s="3">
        <v>2.025062465464883E-3</v>
      </c>
      <c r="C825" s="3">
        <v>-6.8250624654650205E-3</v>
      </c>
    </row>
    <row r="826" spans="1:3" x14ac:dyDescent="0.3">
      <c r="A826" s="3">
        <v>802</v>
      </c>
      <c r="B826" s="3">
        <v>2.9514631180468376E-3</v>
      </c>
      <c r="C826" s="3">
        <v>-2.3514631180469037E-3</v>
      </c>
    </row>
    <row r="827" spans="1:3" x14ac:dyDescent="0.3">
      <c r="A827" s="3">
        <v>803</v>
      </c>
      <c r="B827" s="3">
        <v>2.8356630364741175E-3</v>
      </c>
      <c r="C827" s="3">
        <v>-4.1356630364739744E-3</v>
      </c>
    </row>
    <row r="828" spans="1:3" x14ac:dyDescent="0.3">
      <c r="A828" s="3">
        <v>804</v>
      </c>
      <c r="B828" s="3">
        <v>3.0865632132150156E-3</v>
      </c>
      <c r="C828" s="3">
        <v>-7.4865632132149751E-3</v>
      </c>
    </row>
    <row r="829" spans="1:3" x14ac:dyDescent="0.3">
      <c r="A829" s="3">
        <v>805</v>
      </c>
      <c r="B829" s="3">
        <v>3.9357638114151106E-3</v>
      </c>
      <c r="C829" s="3">
        <v>-1.9357638114151088E-3</v>
      </c>
    </row>
    <row r="830" spans="1:3" x14ac:dyDescent="0.3">
      <c r="A830" s="3">
        <v>806</v>
      </c>
      <c r="B830" s="3">
        <v>3.549763539505979E-3</v>
      </c>
      <c r="C830" s="3">
        <v>-1.014976353950614E-2</v>
      </c>
    </row>
    <row r="831" spans="1:3" x14ac:dyDescent="0.3">
      <c r="A831" s="3">
        <v>807</v>
      </c>
      <c r="B831" s="3">
        <v>4.8235644368061492E-3</v>
      </c>
      <c r="C831" s="3">
        <v>-1.1423564436806088E-2</v>
      </c>
    </row>
    <row r="832" spans="1:3" x14ac:dyDescent="0.3">
      <c r="A832" s="3">
        <v>808</v>
      </c>
      <c r="B832" s="3">
        <v>6.0973653341062917E-3</v>
      </c>
      <c r="C832" s="3">
        <v>-3.6973653341063339E-3</v>
      </c>
    </row>
    <row r="833" spans="1:3" x14ac:dyDescent="0.3">
      <c r="A833" s="3">
        <v>809</v>
      </c>
      <c r="B833" s="3">
        <v>5.6341650078153283E-3</v>
      </c>
      <c r="C833" s="3">
        <v>-6.7341650078152071E-3</v>
      </c>
    </row>
    <row r="834" spans="1:3" x14ac:dyDescent="0.3">
      <c r="A834" s="3">
        <v>810</v>
      </c>
      <c r="B834" s="3">
        <v>5.8464651573653381E-3</v>
      </c>
      <c r="C834" s="3">
        <v>-8.0464651573653179E-3</v>
      </c>
    </row>
    <row r="835" spans="1:3" x14ac:dyDescent="0.3">
      <c r="A835" s="3">
        <v>811</v>
      </c>
      <c r="B835" s="3">
        <v>6.2710654564653856E-3</v>
      </c>
      <c r="C835" s="3">
        <v>-1.3271065456465503E-2</v>
      </c>
    </row>
    <row r="836" spans="1:3" x14ac:dyDescent="0.3">
      <c r="A836" s="3">
        <v>812</v>
      </c>
      <c r="B836" s="3">
        <v>7.6220664081473877E-3</v>
      </c>
      <c r="C836" s="3">
        <v>-4.322066408147307E-3</v>
      </c>
    </row>
    <row r="837" spans="1:3" x14ac:dyDescent="0.3">
      <c r="A837" s="3">
        <v>813</v>
      </c>
      <c r="B837" s="3">
        <v>6.9851659594973026E-3</v>
      </c>
      <c r="C837" s="3">
        <v>-6.0851659594974017E-3</v>
      </c>
    </row>
    <row r="838" spans="1:3" x14ac:dyDescent="0.3">
      <c r="A838" s="3">
        <v>814</v>
      </c>
      <c r="B838" s="3">
        <v>6.8114658371382086E-3</v>
      </c>
      <c r="C838" s="3">
        <v>-1.1111465837138179E-2</v>
      </c>
    </row>
    <row r="839" spans="1:3" x14ac:dyDescent="0.3">
      <c r="A839" s="3">
        <v>815</v>
      </c>
      <c r="B839" s="3">
        <v>7.6413664217428456E-3</v>
      </c>
      <c r="C839" s="3">
        <v>-9.6413664217428474E-3</v>
      </c>
    </row>
    <row r="840" spans="1:3" x14ac:dyDescent="0.3">
      <c r="A840" s="3">
        <v>816</v>
      </c>
      <c r="B840" s="3">
        <v>8.0273666936519772E-3</v>
      </c>
      <c r="C840" s="3">
        <v>-1.092736669365188E-2</v>
      </c>
    </row>
    <row r="841" spans="1:3" x14ac:dyDescent="0.3">
      <c r="A841" s="3">
        <v>817</v>
      </c>
      <c r="B841" s="3">
        <v>8.5870670879202027E-3</v>
      </c>
      <c r="C841" s="3">
        <v>-8.0870670879202577E-3</v>
      </c>
    </row>
    <row r="842" spans="1:3" x14ac:dyDescent="0.3">
      <c r="A842" s="3">
        <v>818</v>
      </c>
      <c r="B842" s="3">
        <v>8.4905670199429129E-3</v>
      </c>
      <c r="C842" s="3">
        <v>-1.0390567019942926E-2</v>
      </c>
    </row>
    <row r="843" spans="1:3" x14ac:dyDescent="0.3">
      <c r="A843" s="3">
        <v>819</v>
      </c>
      <c r="B843" s="3">
        <v>8.8572672782566142E-3</v>
      </c>
      <c r="C843" s="3">
        <v>-6.0572672782567005E-3</v>
      </c>
    </row>
    <row r="844" spans="1:3" x14ac:dyDescent="0.3">
      <c r="A844" s="3">
        <v>820</v>
      </c>
      <c r="B844" s="3">
        <v>8.3168668975838189E-3</v>
      </c>
      <c r="C844" s="3">
        <v>-1.2816866897583767E-2</v>
      </c>
    </row>
    <row r="845" spans="1:3" x14ac:dyDescent="0.3">
      <c r="A845" s="3">
        <v>821</v>
      </c>
      <c r="B845" s="3">
        <v>9.1853675093793719E-3</v>
      </c>
      <c r="C845" s="3">
        <v>-1.8853675093792877E-3</v>
      </c>
    </row>
    <row r="846" spans="1:3" x14ac:dyDescent="0.3">
      <c r="A846" s="3">
        <v>822</v>
      </c>
      <c r="B846" s="3">
        <v>7.7764665169110236E-3</v>
      </c>
      <c r="C846" s="3">
        <v>-1.3276466516911084E-2</v>
      </c>
    </row>
    <row r="847" spans="1:3" x14ac:dyDescent="0.3">
      <c r="A847" s="3">
        <v>823</v>
      </c>
      <c r="B847" s="3">
        <v>8.8379672646611562E-3</v>
      </c>
      <c r="C847" s="3">
        <v>-8.2379672646612223E-3</v>
      </c>
    </row>
    <row r="848" spans="1:3" x14ac:dyDescent="0.3">
      <c r="A848" s="3">
        <v>824</v>
      </c>
      <c r="B848" s="3">
        <v>8.7221671830884362E-3</v>
      </c>
      <c r="C848" s="3">
        <v>-1.0822167183088427E-2</v>
      </c>
    </row>
    <row r="849" spans="1:3" x14ac:dyDescent="0.3">
      <c r="A849" s="3">
        <v>825</v>
      </c>
      <c r="B849" s="3">
        <v>9.1274674685930257E-3</v>
      </c>
      <c r="C849" s="3">
        <v>-8.5274674685928697E-3</v>
      </c>
    </row>
    <row r="850" spans="1:3" x14ac:dyDescent="0.3">
      <c r="A850" s="3">
        <v>826</v>
      </c>
      <c r="B850" s="3">
        <v>9.0116673870202502E-3</v>
      </c>
      <c r="C850" s="3">
        <v>-6.1166738702028711E-4</v>
      </c>
    </row>
    <row r="851" spans="1:3" x14ac:dyDescent="0.3">
      <c r="A851" s="3">
        <v>827</v>
      </c>
      <c r="B851" s="3">
        <v>7.3904662450018921E-3</v>
      </c>
      <c r="C851" s="3">
        <v>-1.0790466245001962E-2</v>
      </c>
    </row>
    <row r="852" spans="1:3" x14ac:dyDescent="0.3">
      <c r="A852" s="3">
        <v>828</v>
      </c>
      <c r="B852" s="3">
        <v>8.0466667072474352E-3</v>
      </c>
      <c r="C852" s="3">
        <v>-7.0466667072473232E-3</v>
      </c>
    </row>
    <row r="853" spans="1:3" x14ac:dyDescent="0.3">
      <c r="A853" s="3">
        <v>829</v>
      </c>
      <c r="B853" s="3">
        <v>7.8536665712928277E-3</v>
      </c>
      <c r="C853" s="3">
        <v>-4.4536665712929802E-3</v>
      </c>
    </row>
    <row r="854" spans="1:3" x14ac:dyDescent="0.3">
      <c r="A854" s="3">
        <v>830</v>
      </c>
      <c r="B854" s="3">
        <v>7.1974661090473402E-3</v>
      </c>
      <c r="C854" s="3">
        <v>-3.1974661090473366E-3</v>
      </c>
    </row>
    <row r="855" spans="1:3" x14ac:dyDescent="0.3">
      <c r="A855" s="3">
        <v>831</v>
      </c>
      <c r="B855" s="3">
        <v>6.4254655652290493E-3</v>
      </c>
      <c r="C855" s="3">
        <v>4.9745344347710274E-3</v>
      </c>
    </row>
    <row r="856" spans="1:3" x14ac:dyDescent="0.3">
      <c r="A856" s="3">
        <v>832</v>
      </c>
      <c r="B856" s="3">
        <v>4.22526401534698E-3</v>
      </c>
      <c r="C856" s="3">
        <v>-5.4252640153470699E-3</v>
      </c>
    </row>
    <row r="857" spans="1:3" x14ac:dyDescent="0.3">
      <c r="A857" s="3">
        <v>833</v>
      </c>
      <c r="B857" s="3">
        <v>4.4568641784924756E-3</v>
      </c>
      <c r="C857" s="3">
        <v>-5.5568641784923545E-3</v>
      </c>
    </row>
    <row r="858" spans="1:3" x14ac:dyDescent="0.3">
      <c r="A858" s="3">
        <v>834</v>
      </c>
      <c r="B858" s="3">
        <v>4.6691643280424577E-3</v>
      </c>
      <c r="C858" s="3">
        <v>-5.2691643280426137E-3</v>
      </c>
    </row>
    <row r="859" spans="1:3" x14ac:dyDescent="0.3">
      <c r="A859" s="3">
        <v>835</v>
      </c>
      <c r="B859" s="3">
        <v>4.7849644096152333E-3</v>
      </c>
      <c r="C859" s="3">
        <v>2.015035590384906E-3</v>
      </c>
    </row>
    <row r="860" spans="1:3" x14ac:dyDescent="0.3">
      <c r="A860" s="3">
        <v>836</v>
      </c>
      <c r="B860" s="3">
        <v>3.4725634851241471E-3</v>
      </c>
      <c r="C860" s="3">
        <v>-6.2725634851242829E-3</v>
      </c>
    </row>
    <row r="861" spans="1:3" x14ac:dyDescent="0.3">
      <c r="A861" s="3">
        <v>837</v>
      </c>
      <c r="B861" s="3">
        <v>4.0129638657969702E-3</v>
      </c>
      <c r="C861" s="3">
        <v>-1.0712963865796898E-2</v>
      </c>
    </row>
    <row r="862" spans="1:3" x14ac:dyDescent="0.3">
      <c r="A862" s="3">
        <v>838</v>
      </c>
      <c r="B862" s="3">
        <v>5.3060647766925706E-3</v>
      </c>
      <c r="C862" s="3">
        <v>-3.8060647766925138E-3</v>
      </c>
    </row>
    <row r="863" spans="1:3" x14ac:dyDescent="0.3">
      <c r="A863" s="3">
        <v>839</v>
      </c>
      <c r="B863" s="3">
        <v>5.0165645727607011E-3</v>
      </c>
      <c r="C863" s="3">
        <v>4.8343542723935928E-4</v>
      </c>
    </row>
    <row r="864" spans="1:3" x14ac:dyDescent="0.3">
      <c r="A864" s="3">
        <v>840</v>
      </c>
      <c r="B864" s="3">
        <v>3.9550638250105685E-3</v>
      </c>
      <c r="C864" s="3">
        <v>-8.755063825010706E-3</v>
      </c>
    </row>
    <row r="865" spans="1:3" x14ac:dyDescent="0.3">
      <c r="A865" s="3">
        <v>841</v>
      </c>
      <c r="B865" s="3">
        <v>4.8814644775925231E-3</v>
      </c>
      <c r="C865" s="3">
        <v>-9.5814644775924496E-3</v>
      </c>
    </row>
    <row r="866" spans="1:3" x14ac:dyDescent="0.3">
      <c r="A866" s="3">
        <v>842</v>
      </c>
      <c r="B866" s="3">
        <v>5.7885651165789642E-3</v>
      </c>
      <c r="C866" s="3">
        <v>-1.1885651165790267E-3</v>
      </c>
    </row>
    <row r="867" spans="1:3" x14ac:dyDescent="0.3">
      <c r="A867" s="3">
        <v>843</v>
      </c>
      <c r="B867" s="3">
        <v>4.9007644911879811E-3</v>
      </c>
      <c r="C867" s="3">
        <v>-4.8007644911879921E-3</v>
      </c>
    </row>
    <row r="868" spans="1:3" x14ac:dyDescent="0.3">
      <c r="A868" s="3">
        <v>844</v>
      </c>
      <c r="B868" s="3">
        <v>4.8814644775925231E-3</v>
      </c>
      <c r="C868" s="3">
        <v>-8.2814644775925927E-3</v>
      </c>
    </row>
    <row r="869" spans="1:3" x14ac:dyDescent="0.3">
      <c r="A869" s="3">
        <v>845</v>
      </c>
      <c r="B869" s="3">
        <v>5.5376649398380662E-3</v>
      </c>
      <c r="C869" s="3">
        <v>-8.1376649398380019E-3</v>
      </c>
    </row>
    <row r="870" spans="1:3" x14ac:dyDescent="0.3">
      <c r="A870" s="3">
        <v>846</v>
      </c>
      <c r="B870" s="3">
        <v>6.0394652933199178E-3</v>
      </c>
      <c r="C870" s="3">
        <v>-2.4394652933198702E-3</v>
      </c>
    </row>
    <row r="871" spans="1:3" x14ac:dyDescent="0.3">
      <c r="A871" s="3">
        <v>847</v>
      </c>
      <c r="B871" s="3">
        <v>5.3446648038834588E-3</v>
      </c>
      <c r="C871" s="3">
        <v>2.6553351961165483E-3</v>
      </c>
    </row>
    <row r="872" spans="1:3" x14ac:dyDescent="0.3">
      <c r="A872" s="3">
        <v>848</v>
      </c>
      <c r="B872" s="3">
        <v>3.8006637162469326E-3</v>
      </c>
      <c r="C872" s="3">
        <v>-6.006637162468409E-4</v>
      </c>
    </row>
    <row r="873" spans="1:3" x14ac:dyDescent="0.3">
      <c r="A873" s="3">
        <v>849</v>
      </c>
      <c r="B873" s="3">
        <v>3.1830632811922777E-3</v>
      </c>
      <c r="C873" s="3">
        <v>-2.4830632811923548E-3</v>
      </c>
    </row>
    <row r="874" spans="1:3" x14ac:dyDescent="0.3">
      <c r="A874" s="3">
        <v>850</v>
      </c>
      <c r="B874" s="3">
        <v>3.0479631860240997E-3</v>
      </c>
      <c r="C874" s="3">
        <v>9.152036813975889E-3</v>
      </c>
    </row>
    <row r="875" spans="1:3" x14ac:dyDescent="0.3">
      <c r="A875" s="3">
        <v>851</v>
      </c>
      <c r="B875" s="3">
        <v>6.933615273783944E-4</v>
      </c>
      <c r="C875" s="3">
        <v>8.9066384726216585E-3</v>
      </c>
    </row>
    <row r="876" spans="1:3" x14ac:dyDescent="0.3">
      <c r="A876" s="3">
        <v>852</v>
      </c>
      <c r="B876" s="3">
        <v>-1.159439777785487E-3</v>
      </c>
      <c r="C876" s="3">
        <v>1.459439777785454E-3</v>
      </c>
    </row>
    <row r="877" spans="1:3" x14ac:dyDescent="0.3">
      <c r="A877" s="3">
        <v>853</v>
      </c>
      <c r="B877" s="3">
        <v>-1.2173398185718332E-3</v>
      </c>
      <c r="C877" s="3">
        <v>1.9173398185717561E-3</v>
      </c>
    </row>
    <row r="878" spans="1:3" x14ac:dyDescent="0.3">
      <c r="A878" s="3">
        <v>854</v>
      </c>
      <c r="B878" s="3">
        <v>-1.3524399137400389E-3</v>
      </c>
      <c r="C878" s="3">
        <v>5.5243991374012702E-4</v>
      </c>
    </row>
    <row r="879" spans="1:3" x14ac:dyDescent="0.3">
      <c r="A879" s="3">
        <v>855</v>
      </c>
      <c r="B879" s="3">
        <v>-1.1980398049764029E-3</v>
      </c>
      <c r="C879" s="3">
        <v>-1.6019601950237328E-3</v>
      </c>
    </row>
    <row r="880" spans="1:3" x14ac:dyDescent="0.3">
      <c r="A880" s="3">
        <v>856</v>
      </c>
      <c r="B880" s="3">
        <v>-6.5763942430357991E-4</v>
      </c>
      <c r="C880" s="3">
        <v>-6.3423605756963153E-3</v>
      </c>
    </row>
    <row r="881" spans="1:3" x14ac:dyDescent="0.3">
      <c r="A881" s="3">
        <v>857</v>
      </c>
      <c r="B881" s="3">
        <v>6.933615273783944E-4</v>
      </c>
      <c r="C881" s="3">
        <v>-1.1933615273783393E-3</v>
      </c>
    </row>
    <row r="882" spans="1:3" x14ac:dyDescent="0.3">
      <c r="A882" s="3">
        <v>858</v>
      </c>
      <c r="B882" s="3">
        <v>7.8986159535565648E-4</v>
      </c>
      <c r="C882" s="3">
        <v>-6.8898615953556508E-3</v>
      </c>
    </row>
    <row r="883" spans="1:3" x14ac:dyDescent="0.3">
      <c r="A883" s="3">
        <v>859</v>
      </c>
      <c r="B883" s="3">
        <v>1.9671624246785091E-3</v>
      </c>
      <c r="C883" s="3">
        <v>-2.867162424678632E-3</v>
      </c>
    </row>
    <row r="884" spans="1:3" x14ac:dyDescent="0.3">
      <c r="A884" s="3">
        <v>860</v>
      </c>
      <c r="B884" s="3">
        <v>2.1408625470376585E-3</v>
      </c>
      <c r="C884" s="3">
        <v>8.5913745296245514E-4</v>
      </c>
    </row>
    <row r="885" spans="1:3" x14ac:dyDescent="0.3">
      <c r="A885" s="3">
        <v>861</v>
      </c>
      <c r="B885" s="3">
        <v>1.5618621391739196E-3</v>
      </c>
      <c r="C885" s="3">
        <v>-1.256186213917404E-2</v>
      </c>
    </row>
    <row r="886" spans="1:3" x14ac:dyDescent="0.3">
      <c r="A886" s="3">
        <v>862</v>
      </c>
      <c r="B886" s="3">
        <v>3.6848636346741848E-3</v>
      </c>
      <c r="C886" s="3">
        <v>5.1513636532579676E-4</v>
      </c>
    </row>
    <row r="887" spans="1:3" x14ac:dyDescent="0.3">
      <c r="A887" s="3">
        <v>863</v>
      </c>
      <c r="B887" s="3">
        <v>2.8742630636650057E-3</v>
      </c>
      <c r="C887" s="3">
        <v>-5.0742630636649855E-3</v>
      </c>
    </row>
    <row r="888" spans="1:3" x14ac:dyDescent="0.3">
      <c r="A888" s="3">
        <v>864</v>
      </c>
      <c r="B888" s="3">
        <v>3.2988633627650532E-3</v>
      </c>
      <c r="C888" s="3">
        <v>-4.3988633627649321E-3</v>
      </c>
    </row>
    <row r="889" spans="1:3" x14ac:dyDescent="0.3">
      <c r="A889" s="3">
        <v>865</v>
      </c>
      <c r="B889" s="3">
        <v>3.5111635123150631E-3</v>
      </c>
      <c r="C889" s="3">
        <v>-8.1111635123152226E-3</v>
      </c>
    </row>
    <row r="890" spans="1:3" x14ac:dyDescent="0.3">
      <c r="A890" s="3">
        <v>866</v>
      </c>
      <c r="B890" s="3">
        <v>4.3989641377061017E-3</v>
      </c>
      <c r="C890" s="3">
        <v>-3.5989641377059678E-3</v>
      </c>
    </row>
    <row r="891" spans="1:3" x14ac:dyDescent="0.3">
      <c r="A891" s="3">
        <v>867</v>
      </c>
      <c r="B891" s="3">
        <v>4.244564028942438E-3</v>
      </c>
      <c r="C891" s="3">
        <v>2.3554359710575012E-3</v>
      </c>
    </row>
    <row r="892" spans="1:3" x14ac:dyDescent="0.3">
      <c r="A892" s="3">
        <v>868</v>
      </c>
      <c r="B892" s="3">
        <v>2.9707631316422956E-3</v>
      </c>
      <c r="C892" s="3">
        <v>-3.7707631316422074E-3</v>
      </c>
    </row>
    <row r="893" spans="1:3" x14ac:dyDescent="0.3">
      <c r="A893" s="3">
        <v>869</v>
      </c>
      <c r="B893" s="3">
        <v>3.1251632404059315E-3</v>
      </c>
      <c r="C893" s="3">
        <v>-7.925163240406069E-3</v>
      </c>
    </row>
    <row r="894" spans="1:3" x14ac:dyDescent="0.3">
      <c r="A894" s="3">
        <v>870</v>
      </c>
      <c r="B894" s="3">
        <v>4.0515638929878861E-3</v>
      </c>
      <c r="C894" s="3">
        <v>-2.1515638929878733E-3</v>
      </c>
    </row>
    <row r="895" spans="1:3" x14ac:dyDescent="0.3">
      <c r="A895" s="3">
        <v>871</v>
      </c>
      <c r="B895" s="3">
        <v>3.6848636346741848E-3</v>
      </c>
      <c r="C895" s="3">
        <v>-3.0848636346740288E-3</v>
      </c>
    </row>
    <row r="896" spans="1:3" x14ac:dyDescent="0.3">
      <c r="A896" s="3">
        <v>872</v>
      </c>
      <c r="B896" s="3">
        <v>3.569063553101437E-3</v>
      </c>
      <c r="C896" s="3">
        <v>-7.0690635531014956E-3</v>
      </c>
    </row>
    <row r="897" spans="1:3" x14ac:dyDescent="0.3">
      <c r="A897" s="3">
        <v>873</v>
      </c>
      <c r="B897" s="3">
        <v>4.244564028942438E-3</v>
      </c>
      <c r="C897" s="3">
        <v>-8.2445640289424416E-3</v>
      </c>
    </row>
    <row r="898" spans="1:3" x14ac:dyDescent="0.3">
      <c r="A898" s="3">
        <v>874</v>
      </c>
      <c r="B898" s="3">
        <v>5.0165645727607011E-3</v>
      </c>
      <c r="C898" s="3">
        <v>-5.0165645727607011E-3</v>
      </c>
    </row>
    <row r="899" spans="1:3" x14ac:dyDescent="0.3">
      <c r="A899" s="3">
        <v>875</v>
      </c>
      <c r="B899" s="3">
        <v>5.0165645727607011E-3</v>
      </c>
      <c r="C899" s="3">
        <v>-8.0165645727608148E-3</v>
      </c>
    </row>
    <row r="900" spans="1:3" x14ac:dyDescent="0.3">
      <c r="A900" s="3">
        <v>876</v>
      </c>
      <c r="B900" s="3">
        <v>5.5955649806244123E-3</v>
      </c>
      <c r="C900" s="3">
        <v>-5.8955649806243793E-3</v>
      </c>
    </row>
    <row r="901" spans="1:3" x14ac:dyDescent="0.3">
      <c r="A901" s="3">
        <v>877</v>
      </c>
      <c r="B901" s="3">
        <v>5.6534650214107862E-3</v>
      </c>
      <c r="C901" s="3">
        <v>-6.2534650214107201E-3</v>
      </c>
    </row>
    <row r="902" spans="1:3" x14ac:dyDescent="0.3">
      <c r="A902" s="3">
        <v>878</v>
      </c>
      <c r="B902" s="3">
        <v>5.7692651029835063E-3</v>
      </c>
      <c r="C902" s="3">
        <v>-3.1692651029835706E-3</v>
      </c>
    </row>
    <row r="903" spans="1:3" x14ac:dyDescent="0.3">
      <c r="A903" s="3">
        <v>879</v>
      </c>
      <c r="B903" s="3">
        <v>5.2674647495016547E-3</v>
      </c>
      <c r="C903" s="3">
        <v>-9.9674647495015811E-3</v>
      </c>
    </row>
    <row r="904" spans="1:3" x14ac:dyDescent="0.3">
      <c r="A904" s="3">
        <v>880</v>
      </c>
      <c r="B904" s="3">
        <v>6.1745653884880958E-3</v>
      </c>
      <c r="C904" s="3">
        <v>-4.6745653884880389E-3</v>
      </c>
    </row>
    <row r="905" spans="1:3" x14ac:dyDescent="0.3">
      <c r="A905" s="3">
        <v>881</v>
      </c>
      <c r="B905" s="3">
        <v>5.885065184556254E-3</v>
      </c>
      <c r="C905" s="3">
        <v>-1.088506518455637E-2</v>
      </c>
    </row>
    <row r="906" spans="1:3" x14ac:dyDescent="0.3">
      <c r="A906" s="3">
        <v>882</v>
      </c>
      <c r="B906" s="3">
        <v>6.8500658643290968E-3</v>
      </c>
      <c r="C906" s="3">
        <v>-7.7500658643289977E-3</v>
      </c>
    </row>
    <row r="907" spans="1:3" x14ac:dyDescent="0.3">
      <c r="A907" s="3">
        <v>883</v>
      </c>
      <c r="B907" s="3">
        <v>7.0237659866881907E-3</v>
      </c>
      <c r="C907" s="3">
        <v>-5.3237659866881559E-3</v>
      </c>
    </row>
    <row r="908" spans="1:3" x14ac:dyDescent="0.3">
      <c r="A908" s="3">
        <v>884</v>
      </c>
      <c r="B908" s="3">
        <v>6.6956657555654331E-3</v>
      </c>
      <c r="C908" s="3">
        <v>-6.956657555656498E-4</v>
      </c>
    </row>
    <row r="909" spans="1:3" x14ac:dyDescent="0.3">
      <c r="A909" s="3">
        <v>885</v>
      </c>
      <c r="B909" s="3">
        <v>5.5376649398380662E-3</v>
      </c>
      <c r="C909" s="3">
        <v>-8.3766493983791768E-4</v>
      </c>
    </row>
    <row r="910" spans="1:3" x14ac:dyDescent="0.3">
      <c r="A910" s="3">
        <v>886</v>
      </c>
      <c r="B910" s="3">
        <v>4.6305643008515696E-3</v>
      </c>
      <c r="C910" s="3">
        <v>-1.2930564300851544E-2</v>
      </c>
    </row>
    <row r="911" spans="1:3" x14ac:dyDescent="0.3">
      <c r="A911" s="3">
        <v>887</v>
      </c>
      <c r="B911" s="3">
        <v>6.2324654292744697E-3</v>
      </c>
      <c r="C911" s="3">
        <v>-1.3032465429274609E-2</v>
      </c>
    </row>
    <row r="912" spans="1:3" x14ac:dyDescent="0.3">
      <c r="A912" s="3">
        <v>888</v>
      </c>
      <c r="B912" s="3">
        <v>7.5448663537655558E-3</v>
      </c>
      <c r="C912" s="3">
        <v>-5.444866353765565E-3</v>
      </c>
    </row>
    <row r="913" spans="1:3" x14ac:dyDescent="0.3">
      <c r="A913" s="3">
        <v>889</v>
      </c>
      <c r="B913" s="3">
        <v>7.1395660682609663E-3</v>
      </c>
      <c r="C913" s="3">
        <v>-1.4539566068260817E-2</v>
      </c>
    </row>
    <row r="914" spans="1:3" x14ac:dyDescent="0.3">
      <c r="A914" s="3">
        <v>890</v>
      </c>
      <c r="B914" s="3">
        <v>8.5677670743247447E-3</v>
      </c>
      <c r="C914" s="3">
        <v>-7.8677670743248218E-3</v>
      </c>
    </row>
    <row r="915" spans="1:3" x14ac:dyDescent="0.3">
      <c r="A915" s="3">
        <v>891</v>
      </c>
      <c r="B915" s="3">
        <v>8.4326669791565667E-3</v>
      </c>
      <c r="C915" s="3">
        <v>-1.123266697915648E-2</v>
      </c>
    </row>
    <row r="916" spans="1:3" x14ac:dyDescent="0.3">
      <c r="A916" s="3">
        <v>892</v>
      </c>
      <c r="B916" s="3">
        <v>8.9730673598293342E-3</v>
      </c>
      <c r="C916" s="3">
        <v>-8.9730673598293342E-3</v>
      </c>
    </row>
    <row r="917" spans="1:3" x14ac:dyDescent="0.3">
      <c r="A917" s="3">
        <v>893</v>
      </c>
      <c r="B917" s="3">
        <v>8.9730673598293342E-3</v>
      </c>
      <c r="C917" s="3">
        <v>-4.0730673598294298E-3</v>
      </c>
    </row>
    <row r="918" spans="1:3" x14ac:dyDescent="0.3">
      <c r="A918" s="3">
        <v>894</v>
      </c>
      <c r="B918" s="3">
        <v>8.0273666936519772E-3</v>
      </c>
      <c r="C918" s="3">
        <v>-7.6273666936520212E-3</v>
      </c>
    </row>
    <row r="919" spans="1:3" x14ac:dyDescent="0.3">
      <c r="A919" s="3">
        <v>895</v>
      </c>
      <c r="B919" s="3">
        <v>7.9501666392701453E-3</v>
      </c>
      <c r="C919" s="3">
        <v>-1.0350166639270103E-2</v>
      </c>
    </row>
    <row r="920" spans="1:3" x14ac:dyDescent="0.3">
      <c r="A920" s="3">
        <v>896</v>
      </c>
      <c r="B920" s="3">
        <v>8.4133669655611087E-3</v>
      </c>
      <c r="C920" s="3">
        <v>-1.7113366965561039E-2</v>
      </c>
    </row>
    <row r="921" spans="1:3" x14ac:dyDescent="0.3">
      <c r="A921" s="3">
        <v>897</v>
      </c>
      <c r="B921" s="3">
        <v>1.0092468148365841E-2</v>
      </c>
      <c r="C921" s="3">
        <v>-8.6924681483659949E-3</v>
      </c>
    </row>
    <row r="922" spans="1:3" x14ac:dyDescent="0.3">
      <c r="A922" s="3">
        <v>898</v>
      </c>
      <c r="B922" s="3">
        <v>9.822267958029457E-3</v>
      </c>
      <c r="C922" s="3">
        <v>-6.3222679580293983E-3</v>
      </c>
    </row>
    <row r="923" spans="1:3" x14ac:dyDescent="0.3">
      <c r="A923" s="3">
        <v>899</v>
      </c>
      <c r="B923" s="3">
        <v>9.1467674821884559E-3</v>
      </c>
      <c r="C923" s="3">
        <v>-1.0446767482188313E-2</v>
      </c>
    </row>
    <row r="924" spans="1:3" x14ac:dyDescent="0.3">
      <c r="A924" s="3">
        <v>900</v>
      </c>
      <c r="B924" s="3">
        <v>9.3976676589293817E-3</v>
      </c>
      <c r="C924" s="3">
        <v>-1.1197667658929406E-2</v>
      </c>
    </row>
    <row r="925" spans="1:3" x14ac:dyDescent="0.3">
      <c r="A925" s="3">
        <v>901</v>
      </c>
      <c r="B925" s="3">
        <v>9.7450679036475973E-3</v>
      </c>
      <c r="C925" s="3">
        <v>-9.8450679036475863E-3</v>
      </c>
    </row>
    <row r="926" spans="1:3" x14ac:dyDescent="0.3">
      <c r="A926" s="3">
        <v>902</v>
      </c>
      <c r="B926" s="3">
        <v>9.7643679172430553E-3</v>
      </c>
      <c r="C926" s="3">
        <v>-1.0364367917243211E-2</v>
      </c>
    </row>
    <row r="927" spans="1:3" x14ac:dyDescent="0.3">
      <c r="A927" s="3">
        <v>903</v>
      </c>
      <c r="B927" s="3">
        <v>9.8801679988158309E-3</v>
      </c>
      <c r="C927" s="3">
        <v>-1.6080167998815814E-2</v>
      </c>
    </row>
    <row r="928" spans="1:3" x14ac:dyDescent="0.3">
      <c r="A928" s="3">
        <v>904</v>
      </c>
      <c r="B928" s="3">
        <v>1.1076768841734141E-2</v>
      </c>
      <c r="C928" s="3">
        <v>-1.3076768841734143E-2</v>
      </c>
    </row>
    <row r="929" spans="1:3" x14ac:dyDescent="0.3">
      <c r="A929" s="3">
        <v>905</v>
      </c>
      <c r="B929" s="3">
        <v>1.1462769113643273E-2</v>
      </c>
      <c r="C929" s="3">
        <v>-1.8462769113643168E-2</v>
      </c>
    </row>
    <row r="930" spans="1:3" x14ac:dyDescent="0.3">
      <c r="A930" s="3">
        <v>906</v>
      </c>
      <c r="B930" s="3">
        <v>1.2813770065325247E-2</v>
      </c>
      <c r="C930" s="3">
        <v>-6.913770065325231E-3</v>
      </c>
    </row>
    <row r="931" spans="1:3" x14ac:dyDescent="0.3">
      <c r="A931" s="3">
        <v>907</v>
      </c>
      <c r="B931" s="3">
        <v>1.1675069263193283E-2</v>
      </c>
      <c r="C931" s="3">
        <v>-1.0575069263193404E-2</v>
      </c>
    </row>
    <row r="932" spans="1:3" x14ac:dyDescent="0.3">
      <c r="A932" s="3">
        <v>908</v>
      </c>
      <c r="B932" s="3">
        <v>1.1462769113643273E-2</v>
      </c>
      <c r="C932" s="3">
        <v>-2.0862769113643126E-2</v>
      </c>
    </row>
    <row r="933" spans="1:3" x14ac:dyDescent="0.3">
      <c r="A933" s="3">
        <v>909</v>
      </c>
      <c r="B933" s="3">
        <v>1.3276970391616183E-2</v>
      </c>
      <c r="C933" s="3">
        <v>-1.4376970391616284E-2</v>
      </c>
    </row>
    <row r="934" spans="1:3" x14ac:dyDescent="0.3">
      <c r="A934" s="3">
        <v>910</v>
      </c>
      <c r="B934" s="3">
        <v>1.3489270541166248E-2</v>
      </c>
      <c r="C934" s="3">
        <v>-9.6892705411662228E-3</v>
      </c>
    </row>
    <row r="935" spans="1:3" x14ac:dyDescent="0.3">
      <c r="A935" s="3">
        <v>911</v>
      </c>
      <c r="B935" s="3">
        <v>1.2755870024538873E-2</v>
      </c>
      <c r="C935" s="3">
        <v>-8.2558700245389249E-3</v>
      </c>
    </row>
    <row r="936" spans="1:3" x14ac:dyDescent="0.3">
      <c r="A936" s="3">
        <v>912</v>
      </c>
      <c r="B936" s="3">
        <v>1.188736941274332E-2</v>
      </c>
      <c r="C936" s="3">
        <v>-8.0873694127432949E-3</v>
      </c>
    </row>
    <row r="937" spans="1:3" x14ac:dyDescent="0.3">
      <c r="A937" s="3">
        <v>913</v>
      </c>
      <c r="B937" s="3">
        <v>1.1153968896115973E-2</v>
      </c>
      <c r="C937" s="3">
        <v>-1.3253968896115964E-2</v>
      </c>
    </row>
    <row r="938" spans="1:3" x14ac:dyDescent="0.3">
      <c r="A938" s="3">
        <v>914</v>
      </c>
      <c r="B938" s="3">
        <v>1.1559269181620563E-2</v>
      </c>
      <c r="C938" s="3">
        <v>-7.7592691816205372E-3</v>
      </c>
    </row>
    <row r="939" spans="1:3" x14ac:dyDescent="0.3">
      <c r="A939" s="3">
        <v>915</v>
      </c>
      <c r="B939" s="3">
        <v>1.0825868664993188E-2</v>
      </c>
      <c r="C939" s="3">
        <v>-9.42586866499312E-3</v>
      </c>
    </row>
    <row r="940" spans="1:3" x14ac:dyDescent="0.3">
      <c r="A940" s="3">
        <v>916</v>
      </c>
      <c r="B940" s="3">
        <v>1.0555668474656776E-2</v>
      </c>
      <c r="C940" s="3">
        <v>-1.9655668474656884E-2</v>
      </c>
    </row>
    <row r="941" spans="1:3" x14ac:dyDescent="0.3">
      <c r="A941" s="3">
        <v>917</v>
      </c>
      <c r="B941" s="3">
        <v>1.2311969711843368E-2</v>
      </c>
      <c r="C941" s="3">
        <v>-1.4011969711843403E-2</v>
      </c>
    </row>
    <row r="942" spans="1:3" x14ac:dyDescent="0.3">
      <c r="A942" s="3">
        <v>918</v>
      </c>
      <c r="B942" s="3">
        <v>1.2640069942966153E-2</v>
      </c>
      <c r="C942" s="3">
        <v>-7.7400699429660269E-3</v>
      </c>
    </row>
    <row r="943" spans="1:3" x14ac:dyDescent="0.3">
      <c r="A943" s="3">
        <v>919</v>
      </c>
      <c r="B943" s="3">
        <v>1.1694369276788741E-2</v>
      </c>
      <c r="C943" s="3">
        <v>-9.994369276788706E-3</v>
      </c>
    </row>
    <row r="944" spans="1:3" x14ac:dyDescent="0.3">
      <c r="A944" s="3">
        <v>920</v>
      </c>
      <c r="B944" s="3">
        <v>1.1366269045665983E-2</v>
      </c>
      <c r="C944" s="3">
        <v>-1.5366269045665987E-2</v>
      </c>
    </row>
    <row r="945" spans="1:3" x14ac:dyDescent="0.3">
      <c r="A945" s="3">
        <v>921</v>
      </c>
      <c r="B945" s="3">
        <v>1.2138269589484246E-2</v>
      </c>
      <c r="C945" s="3">
        <v>-7.7382695894842868E-3</v>
      </c>
    </row>
    <row r="946" spans="1:3" x14ac:dyDescent="0.3">
      <c r="A946" s="3">
        <v>922</v>
      </c>
      <c r="B946" s="3">
        <v>1.1289068991284151E-2</v>
      </c>
      <c r="C946" s="3">
        <v>-9.8890689912843055E-3</v>
      </c>
    </row>
    <row r="947" spans="1:3" x14ac:dyDescent="0.3">
      <c r="A947" s="3">
        <v>923</v>
      </c>
      <c r="B947" s="3">
        <v>1.1018868800947795E-2</v>
      </c>
      <c r="C947" s="3">
        <v>-3.5188688009477331E-3</v>
      </c>
    </row>
    <row r="948" spans="1:3" x14ac:dyDescent="0.3">
      <c r="A948" s="3">
        <v>924</v>
      </c>
      <c r="B948" s="3">
        <v>9.5713677812885034E-3</v>
      </c>
      <c r="C948" s="3">
        <v>-1.7571367781288511E-2</v>
      </c>
    </row>
    <row r="949" spans="1:3" x14ac:dyDescent="0.3">
      <c r="A949" s="3">
        <v>925</v>
      </c>
      <c r="B949" s="3">
        <v>1.1115368868925057E-2</v>
      </c>
      <c r="C949" s="3">
        <v>-1.3615368868925004E-2</v>
      </c>
    </row>
    <row r="950" spans="1:3" x14ac:dyDescent="0.3">
      <c r="A950" s="3">
        <v>926</v>
      </c>
      <c r="B950" s="3">
        <v>1.1597869208811479E-2</v>
      </c>
      <c r="C950" s="3">
        <v>-1.1897869208811446E-2</v>
      </c>
    </row>
    <row r="951" spans="1:3" x14ac:dyDescent="0.3">
      <c r="A951" s="3">
        <v>927</v>
      </c>
      <c r="B951" s="3">
        <v>1.1655769249597825E-2</v>
      </c>
      <c r="C951" s="3">
        <v>-1.1255769249597869E-2</v>
      </c>
    </row>
    <row r="952" spans="1:3" x14ac:dyDescent="0.3">
      <c r="A952" s="3">
        <v>928</v>
      </c>
      <c r="B952" s="3">
        <v>1.1578569195216021E-2</v>
      </c>
      <c r="C952" s="3">
        <v>-6.6785691952161164E-3</v>
      </c>
    </row>
    <row r="953" spans="1:3" x14ac:dyDescent="0.3">
      <c r="A953" s="3">
        <v>929</v>
      </c>
      <c r="B953" s="3">
        <v>1.0632868529038636E-2</v>
      </c>
      <c r="C953" s="3">
        <v>-1.4332868529038451E-2</v>
      </c>
    </row>
    <row r="954" spans="1:3" x14ac:dyDescent="0.3">
      <c r="A954" s="3">
        <v>930</v>
      </c>
      <c r="B954" s="3">
        <v>1.1346969032070525E-2</v>
      </c>
      <c r="C954" s="3">
        <v>-1.2146969032070659E-2</v>
      </c>
    </row>
    <row r="955" spans="1:3" x14ac:dyDescent="0.3">
      <c r="A955" s="3">
        <v>931</v>
      </c>
      <c r="B955" s="3">
        <v>1.1501369140834189E-2</v>
      </c>
      <c r="C955" s="3">
        <v>-6.3013691408340955E-3</v>
      </c>
    </row>
    <row r="956" spans="1:3" x14ac:dyDescent="0.3">
      <c r="A956" s="3">
        <v>932</v>
      </c>
      <c r="B956" s="3">
        <v>1.049776843387043E-2</v>
      </c>
      <c r="C956" s="3">
        <v>4.0223156612947952E-4</v>
      </c>
    </row>
    <row r="957" spans="1:3" x14ac:dyDescent="0.3">
      <c r="A957" s="3">
        <v>933</v>
      </c>
      <c r="B957" s="3">
        <v>8.3940669519656508E-3</v>
      </c>
      <c r="C957" s="3">
        <v>-9.7940669519657186E-3</v>
      </c>
    </row>
    <row r="958" spans="1:3" x14ac:dyDescent="0.3">
      <c r="A958" s="3">
        <v>934</v>
      </c>
      <c r="B958" s="3">
        <v>8.6642671423020623E-3</v>
      </c>
      <c r="C958" s="3">
        <v>-1.0264267142301886E-2</v>
      </c>
    </row>
    <row r="959" spans="1:3" x14ac:dyDescent="0.3">
      <c r="A959" s="3">
        <v>935</v>
      </c>
      <c r="B959" s="3">
        <v>8.9730673598293342E-3</v>
      </c>
      <c r="C959" s="3">
        <v>-8.1730673598294223E-3</v>
      </c>
    </row>
    <row r="960" spans="1:3" x14ac:dyDescent="0.3">
      <c r="A960" s="3">
        <v>936</v>
      </c>
      <c r="B960" s="3">
        <v>8.8186672510656983E-3</v>
      </c>
      <c r="C960" s="3">
        <v>-1.2918667251065691E-2</v>
      </c>
    </row>
    <row r="961" spans="1:3" x14ac:dyDescent="0.3">
      <c r="A961" s="3">
        <v>937</v>
      </c>
      <c r="B961" s="3">
        <v>9.6099678084794193E-3</v>
      </c>
      <c r="C961" s="3">
        <v>-8.1099678084793625E-3</v>
      </c>
    </row>
    <row r="962" spans="1:3" x14ac:dyDescent="0.3">
      <c r="A962" s="3">
        <v>938</v>
      </c>
      <c r="B962" s="3">
        <v>9.3204676045475499E-3</v>
      </c>
      <c r="C962" s="3">
        <v>-7.720467604547504E-3</v>
      </c>
    </row>
    <row r="963" spans="1:3" x14ac:dyDescent="0.3">
      <c r="A963" s="3">
        <v>939</v>
      </c>
      <c r="B963" s="3">
        <v>9.0116673870202502E-3</v>
      </c>
      <c r="C963" s="3">
        <v>9.1883326129797438E-3</v>
      </c>
    </row>
    <row r="964" spans="1:3" x14ac:dyDescent="0.3">
      <c r="A964" s="3">
        <v>940</v>
      </c>
      <c r="B964" s="3">
        <v>5.4990649126470947E-3</v>
      </c>
      <c r="C964" s="3">
        <v>-8.7990649126471754E-3</v>
      </c>
    </row>
    <row r="965" spans="1:3" x14ac:dyDescent="0.3">
      <c r="A965" s="3">
        <v>941</v>
      </c>
      <c r="B965" s="3">
        <v>6.1359653612972076E-3</v>
      </c>
      <c r="C965" s="3">
        <v>-5.7359653612972517E-3</v>
      </c>
    </row>
    <row r="966" spans="1:3" x14ac:dyDescent="0.3">
      <c r="A966" s="3">
        <v>942</v>
      </c>
      <c r="B966" s="3">
        <v>6.0587653069153757E-3</v>
      </c>
      <c r="C966" s="3">
        <v>-3.5876530691533737E-4</v>
      </c>
    </row>
    <row r="967" spans="1:3" x14ac:dyDescent="0.3">
      <c r="A967" s="3">
        <v>943</v>
      </c>
      <c r="B967" s="3">
        <v>4.9586645319743272E-3</v>
      </c>
      <c r="C967" s="3">
        <v>-1.8586645319742245E-3</v>
      </c>
    </row>
    <row r="968" spans="1:3" x14ac:dyDescent="0.3">
      <c r="A968" s="3">
        <v>944</v>
      </c>
      <c r="B968" s="3">
        <v>4.360364110515158E-3</v>
      </c>
      <c r="C968" s="3">
        <v>-7.2603641105152827E-3</v>
      </c>
    </row>
    <row r="969" spans="1:3" x14ac:dyDescent="0.3">
      <c r="A969" s="3">
        <v>945</v>
      </c>
      <c r="B969" s="3">
        <v>4.9200645047834113E-3</v>
      </c>
      <c r="C969" s="3">
        <v>-7.120064504783391E-3</v>
      </c>
    </row>
    <row r="970" spans="1:3" x14ac:dyDescent="0.3">
      <c r="A970" s="3">
        <v>946</v>
      </c>
      <c r="B970" s="3">
        <v>5.3446648038834588E-3</v>
      </c>
      <c r="C970" s="3">
        <v>-3.644664803883424E-3</v>
      </c>
    </row>
    <row r="971" spans="1:3" x14ac:dyDescent="0.3">
      <c r="A971" s="3">
        <v>947</v>
      </c>
      <c r="B971" s="3">
        <v>5.0165645727607011E-3</v>
      </c>
      <c r="C971" s="3">
        <v>-1.5165645727606425E-3</v>
      </c>
    </row>
    <row r="972" spans="1:3" x14ac:dyDescent="0.3">
      <c r="A972" s="3">
        <v>948</v>
      </c>
      <c r="B972" s="3">
        <v>4.3410640969197001E-3</v>
      </c>
      <c r="C972" s="3">
        <v>-2.9410640969198543E-3</v>
      </c>
    </row>
    <row r="973" spans="1:3" x14ac:dyDescent="0.3">
      <c r="A973" s="3">
        <v>949</v>
      </c>
      <c r="B973" s="3">
        <v>4.0708639065833441E-3</v>
      </c>
      <c r="C973" s="3">
        <v>-3.7086390658330748E-4</v>
      </c>
    </row>
    <row r="974" spans="1:3" x14ac:dyDescent="0.3">
      <c r="A974" s="3">
        <v>950</v>
      </c>
      <c r="B974" s="3">
        <v>3.3567634035514271E-3</v>
      </c>
      <c r="C974" s="3">
        <v>-5.5567634035514069E-3</v>
      </c>
    </row>
    <row r="975" spans="1:3" x14ac:dyDescent="0.3">
      <c r="A975" s="3">
        <v>951</v>
      </c>
      <c r="B975" s="3">
        <v>3.7813637026514746E-3</v>
      </c>
      <c r="C975" s="3">
        <v>-1.198136370265146E-2</v>
      </c>
    </row>
    <row r="976" spans="1:3" x14ac:dyDescent="0.3">
      <c r="A976" s="3">
        <v>952</v>
      </c>
      <c r="B976" s="3">
        <v>5.3639648174789167E-3</v>
      </c>
      <c r="C976" s="3">
        <v>-5.8639648174788617E-3</v>
      </c>
    </row>
    <row r="977" spans="1:3" x14ac:dyDescent="0.3">
      <c r="A977" s="3">
        <v>953</v>
      </c>
      <c r="B977" s="3">
        <v>5.4604648854562066E-3</v>
      </c>
      <c r="C977" s="3">
        <v>-9.9604648854563771E-3</v>
      </c>
    </row>
    <row r="978" spans="1:3" x14ac:dyDescent="0.3">
      <c r="A978" s="3">
        <v>954</v>
      </c>
      <c r="B978" s="3">
        <v>6.3289654972517873E-3</v>
      </c>
      <c r="C978" s="3">
        <v>-1.042896549725178E-2</v>
      </c>
    </row>
    <row r="979" spans="1:3" x14ac:dyDescent="0.3">
      <c r="A979" s="3">
        <v>955</v>
      </c>
      <c r="B979" s="3">
        <v>7.1202660546655083E-3</v>
      </c>
      <c r="C979" s="3">
        <v>-1.0420266054665367E-2</v>
      </c>
    </row>
    <row r="980" spans="1:3" x14ac:dyDescent="0.3">
      <c r="A980" s="3">
        <v>956</v>
      </c>
      <c r="B980" s="3">
        <v>7.7571665033155657E-3</v>
      </c>
      <c r="C980" s="3">
        <v>-4.757166503315674E-3</v>
      </c>
    </row>
    <row r="981" spans="1:3" x14ac:dyDescent="0.3">
      <c r="A981" s="3">
        <v>957</v>
      </c>
      <c r="B981" s="3">
        <v>7.1781660954518822E-3</v>
      </c>
      <c r="C981" s="3">
        <v>-1.0278166095451763E-2</v>
      </c>
    </row>
    <row r="982" spans="1:3" x14ac:dyDescent="0.3">
      <c r="A982" s="3">
        <v>958</v>
      </c>
      <c r="B982" s="3">
        <v>7.7764665169110236E-3</v>
      </c>
      <c r="C982" s="3">
        <v>-7.7764665169110236E-3</v>
      </c>
    </row>
    <row r="983" spans="1:3" x14ac:dyDescent="0.3">
      <c r="A983" s="3">
        <v>959</v>
      </c>
      <c r="B983" s="3">
        <v>7.7764665169110236E-3</v>
      </c>
      <c r="C983" s="3">
        <v>-4.676466516911143E-3</v>
      </c>
    </row>
    <row r="984" spans="1:3" x14ac:dyDescent="0.3">
      <c r="A984" s="3">
        <v>960</v>
      </c>
      <c r="B984" s="3">
        <v>7.1781660954518822E-3</v>
      </c>
      <c r="C984" s="3">
        <v>9.2183390454811387E-4</v>
      </c>
    </row>
    <row r="985" spans="1:3" x14ac:dyDescent="0.3">
      <c r="A985" s="3">
        <v>961</v>
      </c>
      <c r="B985" s="3">
        <v>5.6148649942198703E-3</v>
      </c>
      <c r="C985" s="3">
        <v>6.1851350057801624E-3</v>
      </c>
    </row>
    <row r="986" spans="1:3" x14ac:dyDescent="0.3">
      <c r="A986" s="3">
        <v>962</v>
      </c>
      <c r="B986" s="3">
        <v>3.3374633899559691E-3</v>
      </c>
      <c r="C986" s="3">
        <v>-1.3037463389956011E-2</v>
      </c>
    </row>
    <row r="987" spans="1:3" x14ac:dyDescent="0.3">
      <c r="A987" s="3">
        <v>963</v>
      </c>
      <c r="B987" s="3">
        <v>5.2095647087152808E-3</v>
      </c>
      <c r="C987" s="3">
        <v>-2.4095647087151451E-3</v>
      </c>
    </row>
    <row r="988" spans="1:3" x14ac:dyDescent="0.3">
      <c r="A988" s="3">
        <v>964</v>
      </c>
      <c r="B988" s="3">
        <v>4.6691643280424577E-3</v>
      </c>
      <c r="C988" s="3">
        <v>1.1308356719575696E-3</v>
      </c>
    </row>
    <row r="989" spans="1:3" x14ac:dyDescent="0.3">
      <c r="A989" s="3">
        <v>965</v>
      </c>
      <c r="B989" s="3">
        <v>3.549763539505979E-3</v>
      </c>
      <c r="C989" s="3">
        <v>-7.7497635395059605E-3</v>
      </c>
    </row>
    <row r="990" spans="1:3" x14ac:dyDescent="0.3">
      <c r="A990" s="3">
        <v>966</v>
      </c>
      <c r="B990" s="3">
        <v>4.360364110515158E-3</v>
      </c>
      <c r="C990" s="3">
        <v>2.6396358894847372E-3</v>
      </c>
    </row>
    <row r="991" spans="1:3" x14ac:dyDescent="0.3">
      <c r="A991" s="3">
        <v>967</v>
      </c>
      <c r="B991" s="3">
        <v>3.0093631588332115E-3</v>
      </c>
      <c r="C991" s="3">
        <v>-2.8093631588332335E-3</v>
      </c>
    </row>
    <row r="992" spans="1:3" x14ac:dyDescent="0.3">
      <c r="A992" s="3">
        <v>968</v>
      </c>
      <c r="B992" s="3">
        <v>2.9707631316422956E-3</v>
      </c>
      <c r="C992" s="3">
        <v>-3.2707631316422625E-3</v>
      </c>
    </row>
    <row r="993" spans="1:3" x14ac:dyDescent="0.3">
      <c r="A993" s="3">
        <v>969</v>
      </c>
      <c r="B993" s="3">
        <v>3.0286631724286417E-3</v>
      </c>
      <c r="C993" s="3">
        <v>4.7133682757141693E-4</v>
      </c>
    </row>
    <row r="994" spans="1:3" x14ac:dyDescent="0.3">
      <c r="A994" s="3">
        <v>970</v>
      </c>
      <c r="B994" s="3">
        <v>2.3531626965876407E-3</v>
      </c>
      <c r="C994" s="3">
        <v>3.7468373034123537E-3</v>
      </c>
    </row>
    <row r="995" spans="1:3" x14ac:dyDescent="0.3">
      <c r="A995" s="3">
        <v>971</v>
      </c>
      <c r="B995" s="3">
        <v>1.175861867264788E-3</v>
      </c>
      <c r="C995" s="3">
        <v>-5.5758618672647475E-3</v>
      </c>
    </row>
    <row r="996" spans="1:3" x14ac:dyDescent="0.3">
      <c r="A996" s="3">
        <v>972</v>
      </c>
      <c r="B996" s="3">
        <v>2.025062465464883E-3</v>
      </c>
      <c r="C996" s="3">
        <v>-4.3250624654650738E-3</v>
      </c>
    </row>
    <row r="997" spans="1:3" x14ac:dyDescent="0.3">
      <c r="A997" s="3">
        <v>973</v>
      </c>
      <c r="B997" s="3">
        <v>2.4689627781604162E-3</v>
      </c>
      <c r="C997" s="3">
        <v>-7.0568962778160244E-2</v>
      </c>
    </row>
    <row r="998" spans="1:3" x14ac:dyDescent="0.3">
      <c r="A998" s="3">
        <v>974</v>
      </c>
      <c r="B998" s="3">
        <v>1.5612272036666458E-2</v>
      </c>
      <c r="C998" s="3">
        <v>4.3587727963333461E-2</v>
      </c>
    </row>
    <row r="999" spans="1:3" x14ac:dyDescent="0.3">
      <c r="A999" s="3">
        <v>975</v>
      </c>
      <c r="B999" s="3">
        <v>4.1866639881560641E-3</v>
      </c>
      <c r="C999" s="3">
        <v>-6.7866639881559998E-3</v>
      </c>
    </row>
    <row r="1000" spans="1:3" x14ac:dyDescent="0.3">
      <c r="A1000" s="3">
        <v>976</v>
      </c>
      <c r="B1000" s="3">
        <v>4.6884643416379157E-3</v>
      </c>
      <c r="C1000" s="3">
        <v>-2.488464341637936E-3</v>
      </c>
    </row>
    <row r="1001" spans="1:3" x14ac:dyDescent="0.3">
      <c r="A1001" s="3">
        <v>977</v>
      </c>
      <c r="B1001" s="3">
        <v>4.2638640425378682E-3</v>
      </c>
      <c r="C1001" s="3">
        <v>-4.4638640425378462E-3</v>
      </c>
    </row>
    <row r="1002" spans="1:3" x14ac:dyDescent="0.3">
      <c r="A1002" s="3">
        <v>978</v>
      </c>
      <c r="B1002" s="3">
        <v>4.3024640697287841E-3</v>
      </c>
      <c r="C1002" s="3">
        <v>-3.5024640697288723E-3</v>
      </c>
    </row>
    <row r="1003" spans="1:3" x14ac:dyDescent="0.3">
      <c r="A1003" s="3">
        <v>979</v>
      </c>
      <c r="B1003" s="3">
        <v>4.1480639609651482E-3</v>
      </c>
      <c r="C1003" s="3">
        <v>-5.948063960965172E-3</v>
      </c>
    </row>
    <row r="1004" spans="1:3" x14ac:dyDescent="0.3">
      <c r="A1004" s="3">
        <v>980</v>
      </c>
      <c r="B1004" s="3">
        <v>4.4954642056833916E-3</v>
      </c>
      <c r="C1004" s="3">
        <v>-4.95464205683388E-4</v>
      </c>
    </row>
    <row r="1005" spans="1:3" x14ac:dyDescent="0.3">
      <c r="A1005" s="3">
        <v>981</v>
      </c>
      <c r="B1005" s="3">
        <v>3.7234636618651007E-3</v>
      </c>
      <c r="C1005" s="3">
        <v>-3.8234636618650897E-3</v>
      </c>
    </row>
    <row r="1006" spans="1:3" x14ac:dyDescent="0.3">
      <c r="A1006" s="3">
        <v>982</v>
      </c>
      <c r="B1006" s="3">
        <v>3.7427636754605587E-3</v>
      </c>
      <c r="C1006" s="3">
        <v>-5.8427636754605494E-3</v>
      </c>
    </row>
    <row r="1007" spans="1:3" x14ac:dyDescent="0.3">
      <c r="A1007" s="3">
        <v>983</v>
      </c>
      <c r="B1007" s="3">
        <v>4.1480639609651482E-3</v>
      </c>
      <c r="C1007" s="3">
        <v>-4.2480639609651372E-3</v>
      </c>
    </row>
    <row r="1008" spans="1:3" x14ac:dyDescent="0.3">
      <c r="A1008" s="3">
        <v>984</v>
      </c>
      <c r="B1008" s="3">
        <v>4.1673639745606061E-3</v>
      </c>
      <c r="C1008" s="3">
        <v>-1.1567363974560679E-2</v>
      </c>
    </row>
    <row r="1009" spans="1:3" x14ac:dyDescent="0.3">
      <c r="A1009" s="3">
        <v>985</v>
      </c>
      <c r="B1009" s="3">
        <v>5.5955649806244123E-3</v>
      </c>
      <c r="C1009" s="3">
        <v>-4.8955649806242674E-3</v>
      </c>
    </row>
    <row r="1010" spans="1:3" x14ac:dyDescent="0.3">
      <c r="A1010" s="3">
        <v>986</v>
      </c>
      <c r="B1010" s="3">
        <v>5.4604648854562066E-3</v>
      </c>
      <c r="C1010" s="3">
        <v>-6.1604648854563515E-3</v>
      </c>
    </row>
    <row r="1011" spans="1:3" x14ac:dyDescent="0.3">
      <c r="A1011" s="3">
        <v>987</v>
      </c>
      <c r="B1011" s="3">
        <v>5.5955649806244123E-3</v>
      </c>
      <c r="C1011" s="3">
        <v>-3.2955649806244436E-3</v>
      </c>
    </row>
    <row r="1012" spans="1:3" x14ac:dyDescent="0.3">
      <c r="A1012" s="3">
        <v>988</v>
      </c>
      <c r="B1012" s="3">
        <v>5.1516646679289346E-3</v>
      </c>
      <c r="C1012" s="3">
        <v>-6.7516646679287584E-3</v>
      </c>
    </row>
    <row r="1013" spans="1:3" x14ac:dyDescent="0.3">
      <c r="A1013" s="3">
        <v>989</v>
      </c>
      <c r="B1013" s="3">
        <v>5.4604648854562066E-3</v>
      </c>
      <c r="C1013" s="3">
        <v>-8.4604648854563202E-3</v>
      </c>
    </row>
    <row r="1014" spans="1:3" x14ac:dyDescent="0.3">
      <c r="A1014" s="3">
        <v>990</v>
      </c>
      <c r="B1014" s="3">
        <v>6.0394652933199178E-3</v>
      </c>
      <c r="C1014" s="3">
        <v>-2.8394652933198261E-3</v>
      </c>
    </row>
    <row r="1015" spans="1:3" x14ac:dyDescent="0.3">
      <c r="A1015" s="3">
        <v>991</v>
      </c>
      <c r="B1015" s="3">
        <v>5.4218648582652906E-3</v>
      </c>
      <c r="C1015" s="3">
        <v>-9.1218648582653272E-3</v>
      </c>
    </row>
    <row r="1016" spans="1:3" x14ac:dyDescent="0.3">
      <c r="A1016" s="3">
        <v>992</v>
      </c>
      <c r="B1016" s="3">
        <v>6.1359653612972076E-3</v>
      </c>
      <c r="C1016" s="3">
        <v>-5.5359653612972737E-3</v>
      </c>
    </row>
    <row r="1017" spans="1:3" x14ac:dyDescent="0.3">
      <c r="A1017" s="3">
        <v>993</v>
      </c>
      <c r="B1017" s="3">
        <v>6.0201652797244598E-3</v>
      </c>
      <c r="C1017" s="3">
        <v>-7.9201652797244726E-3</v>
      </c>
    </row>
    <row r="1018" spans="1:3" x14ac:dyDescent="0.3">
      <c r="A1018" s="3">
        <v>994</v>
      </c>
      <c r="B1018" s="3">
        <v>6.3868655380381611E-3</v>
      </c>
      <c r="C1018" s="3">
        <v>-5.6868655380380162E-3</v>
      </c>
    </row>
    <row r="1019" spans="1:3" x14ac:dyDescent="0.3">
      <c r="A1019" s="3">
        <v>995</v>
      </c>
      <c r="B1019" s="3">
        <v>6.2517654428699276E-3</v>
      </c>
      <c r="C1019" s="3">
        <v>-8.6517654428701074E-3</v>
      </c>
    </row>
    <row r="1020" spans="1:3" x14ac:dyDescent="0.3">
      <c r="A1020" s="3">
        <v>996</v>
      </c>
      <c r="B1020" s="3">
        <v>6.7149657691609188E-3</v>
      </c>
      <c r="C1020" s="3">
        <v>-1.1149657691608694E-3</v>
      </c>
    </row>
    <row r="1021" spans="1:3" x14ac:dyDescent="0.3">
      <c r="A1021" s="3">
        <v>997</v>
      </c>
      <c r="B1021" s="3">
        <v>5.6341650078153283E-3</v>
      </c>
      <c r="C1021" s="3">
        <v>-1.4434165007815247E-2</v>
      </c>
    </row>
    <row r="1022" spans="1:3" x14ac:dyDescent="0.3">
      <c r="A1022" s="3">
        <v>998</v>
      </c>
      <c r="B1022" s="3">
        <v>7.3325662042155182E-3</v>
      </c>
      <c r="C1022" s="3">
        <v>-1.1632566204215489E-2</v>
      </c>
    </row>
    <row r="1023" spans="1:3" x14ac:dyDescent="0.3">
      <c r="A1023" s="3">
        <v>999</v>
      </c>
      <c r="B1023" s="3">
        <v>8.1624667888201552E-3</v>
      </c>
      <c r="C1023" s="3">
        <v>-6.8624667888202984E-3</v>
      </c>
    </row>
    <row r="1024" spans="1:3" x14ac:dyDescent="0.3">
      <c r="A1024" s="3">
        <v>1000</v>
      </c>
      <c r="B1024" s="3">
        <v>7.9115666120792294E-3</v>
      </c>
      <c r="C1024" s="3">
        <v>-6.2115666120791946E-3</v>
      </c>
    </row>
    <row r="1025" spans="1:3" x14ac:dyDescent="0.3">
      <c r="A1025" s="3">
        <v>1001</v>
      </c>
      <c r="B1025" s="3">
        <v>7.5834663809564717E-3</v>
      </c>
      <c r="C1025" s="3">
        <v>-7.0834663809565268E-3</v>
      </c>
    </row>
    <row r="1026" spans="1:3" x14ac:dyDescent="0.3">
      <c r="A1026" s="3">
        <v>1002</v>
      </c>
      <c r="B1026" s="3">
        <v>7.4869663129792097E-3</v>
      </c>
      <c r="C1026" s="3">
        <v>-6.8869663129790537E-3</v>
      </c>
    </row>
    <row r="1027" spans="1:3" x14ac:dyDescent="0.3">
      <c r="A1027" s="3">
        <v>1003</v>
      </c>
      <c r="B1027" s="3">
        <v>7.3711662314064341E-3</v>
      </c>
      <c r="C1027" s="3">
        <v>-8.471166231406535E-3</v>
      </c>
    </row>
    <row r="1028" spans="1:3" x14ac:dyDescent="0.3">
      <c r="A1028" s="3">
        <v>1004</v>
      </c>
      <c r="B1028" s="3">
        <v>7.5834663809564717E-3</v>
      </c>
      <c r="C1028" s="3">
        <v>-1.3783466380956455E-2</v>
      </c>
    </row>
    <row r="1029" spans="1:3" x14ac:dyDescent="0.3">
      <c r="A1029" s="3">
        <v>1005</v>
      </c>
      <c r="B1029" s="3">
        <v>8.7800672238747823E-3</v>
      </c>
      <c r="C1029" s="3">
        <v>-7.1800672238747365E-3</v>
      </c>
    </row>
    <row r="1030" spans="1:3" x14ac:dyDescent="0.3">
      <c r="A1030" s="3">
        <v>1006</v>
      </c>
      <c r="B1030" s="3">
        <v>8.4712670063474826E-3</v>
      </c>
      <c r="C1030" s="3">
        <v>-3.8712670063475452E-3</v>
      </c>
    </row>
    <row r="1031" spans="1:3" x14ac:dyDescent="0.3">
      <c r="A1031" s="3">
        <v>1007</v>
      </c>
      <c r="B1031" s="3">
        <v>7.5834663809564717E-3</v>
      </c>
      <c r="C1031" s="3">
        <v>-7.2834663809565048E-3</v>
      </c>
    </row>
    <row r="1032" spans="1:3" x14ac:dyDescent="0.3">
      <c r="A1032" s="3">
        <v>1008</v>
      </c>
      <c r="B1032" s="3">
        <v>7.5255663401700978E-3</v>
      </c>
      <c r="C1032" s="3">
        <v>-7.2255663401699088E-3</v>
      </c>
    </row>
    <row r="1033" spans="1:3" x14ac:dyDescent="0.3">
      <c r="A1033" s="3">
        <v>1009</v>
      </c>
      <c r="B1033" s="3">
        <v>7.4676662993836962E-3</v>
      </c>
      <c r="C1033" s="3">
        <v>-4.8676662993837605E-3</v>
      </c>
    </row>
    <row r="1034" spans="1:3" x14ac:dyDescent="0.3">
      <c r="A1034" s="3">
        <v>1010</v>
      </c>
      <c r="B1034" s="3">
        <v>6.9658659459018446E-3</v>
      </c>
      <c r="C1034" s="3">
        <v>-5.5658659459017767E-3</v>
      </c>
    </row>
    <row r="1035" spans="1:3" x14ac:dyDescent="0.3">
      <c r="A1035" s="3">
        <v>1011</v>
      </c>
      <c r="B1035" s="3">
        <v>6.6956657555654331E-3</v>
      </c>
      <c r="C1035" s="3">
        <v>-6.0956657555654992E-3</v>
      </c>
    </row>
    <row r="1036" spans="1:3" x14ac:dyDescent="0.3">
      <c r="A1036" s="3">
        <v>1012</v>
      </c>
      <c r="B1036" s="3">
        <v>6.5798656739926853E-3</v>
      </c>
      <c r="C1036" s="3">
        <v>-7.0798656739926302E-3</v>
      </c>
    </row>
    <row r="1037" spans="1:3" x14ac:dyDescent="0.3">
      <c r="A1037" s="3">
        <v>1013</v>
      </c>
      <c r="B1037" s="3">
        <v>6.6763657419699751E-3</v>
      </c>
      <c r="C1037" s="3">
        <v>-3.7763657419700725E-3</v>
      </c>
    </row>
    <row r="1038" spans="1:3" x14ac:dyDescent="0.3">
      <c r="A1038" s="3">
        <v>1014</v>
      </c>
      <c r="B1038" s="3">
        <v>6.1166653477017496E-3</v>
      </c>
      <c r="C1038" s="3">
        <v>-6.4166653477017166E-3</v>
      </c>
    </row>
    <row r="1039" spans="1:3" x14ac:dyDescent="0.3">
      <c r="A1039" s="3">
        <v>1015</v>
      </c>
      <c r="B1039" s="3">
        <v>6.1745653884880958E-3</v>
      </c>
      <c r="C1039" s="3">
        <v>-6.9745653884882297E-3</v>
      </c>
    </row>
    <row r="1040" spans="1:3" x14ac:dyDescent="0.3">
      <c r="A1040" s="3">
        <v>1016</v>
      </c>
      <c r="B1040" s="3">
        <v>6.3289654972517873E-3</v>
      </c>
      <c r="C1040" s="3">
        <v>-9.6289654972516459E-3</v>
      </c>
    </row>
    <row r="1041" spans="1:3" x14ac:dyDescent="0.3">
      <c r="A1041" s="3">
        <v>1017</v>
      </c>
      <c r="B1041" s="3">
        <v>6.9658659459018446E-3</v>
      </c>
      <c r="C1041" s="3">
        <v>-3.565865945901775E-3</v>
      </c>
    </row>
    <row r="1042" spans="1:3" x14ac:dyDescent="0.3">
      <c r="A1042" s="3">
        <v>1018</v>
      </c>
      <c r="B1042" s="3">
        <v>6.3096654836563015E-3</v>
      </c>
      <c r="C1042" s="3">
        <v>-4.6096654836564888E-3</v>
      </c>
    </row>
    <row r="1043" spans="1:3" x14ac:dyDescent="0.3">
      <c r="A1043" s="3">
        <v>1019</v>
      </c>
      <c r="B1043" s="3">
        <v>5.9815652525335716E-3</v>
      </c>
      <c r="C1043" s="3">
        <v>-5.8815652525335826E-3</v>
      </c>
    </row>
    <row r="1044" spans="1:3" x14ac:dyDescent="0.3">
      <c r="A1044" s="3">
        <v>1020</v>
      </c>
      <c r="B1044" s="3">
        <v>5.9622652389381137E-3</v>
      </c>
      <c r="C1044" s="3">
        <v>-1.7622652389381321E-3</v>
      </c>
    </row>
    <row r="1045" spans="1:3" x14ac:dyDescent="0.3">
      <c r="A1045" s="3">
        <v>1021</v>
      </c>
      <c r="B1045" s="3">
        <v>5.1516646679289346E-3</v>
      </c>
      <c r="C1045" s="3">
        <v>-2.5166466792880815E-4</v>
      </c>
    </row>
    <row r="1046" spans="1:3" x14ac:dyDescent="0.3">
      <c r="A1046" s="3">
        <v>1022</v>
      </c>
      <c r="B1046" s="3">
        <v>4.2059640017515221E-3</v>
      </c>
      <c r="C1046" s="3">
        <v>-5.105964001751645E-3</v>
      </c>
    </row>
    <row r="1047" spans="1:3" x14ac:dyDescent="0.3">
      <c r="A1047" s="3">
        <v>1023</v>
      </c>
      <c r="B1047" s="3">
        <v>4.3796641241106438E-3</v>
      </c>
      <c r="C1047" s="3">
        <v>-5.4796641241105226E-3</v>
      </c>
    </row>
    <row r="1048" spans="1:3" x14ac:dyDescent="0.3">
      <c r="A1048" s="3">
        <v>1024</v>
      </c>
      <c r="B1048" s="3">
        <v>4.5919642736606536E-3</v>
      </c>
      <c r="C1048" s="3">
        <v>-4.7919642736606316E-3</v>
      </c>
    </row>
    <row r="1049" spans="1:3" x14ac:dyDescent="0.3">
      <c r="A1049" s="3">
        <v>1025</v>
      </c>
      <c r="B1049" s="3">
        <v>4.6305643008515696E-3</v>
      </c>
      <c r="C1049" s="3">
        <v>-2.4305643008515898E-3</v>
      </c>
    </row>
    <row r="1050" spans="1:3" x14ac:dyDescent="0.3">
      <c r="A1050" s="3">
        <v>1026</v>
      </c>
      <c r="B1050" s="3">
        <v>4.2059640017515221E-3</v>
      </c>
      <c r="C1050" s="3">
        <v>-1.0705964001751472E-2</v>
      </c>
    </row>
    <row r="1051" spans="1:3" x14ac:dyDescent="0.3">
      <c r="A1051" s="3">
        <v>1027</v>
      </c>
      <c r="B1051" s="3">
        <v>5.4604648854562066E-3</v>
      </c>
      <c r="C1051" s="3">
        <v>-4.8604648854562726E-3</v>
      </c>
    </row>
    <row r="1052" spans="1:3" x14ac:dyDescent="0.3">
      <c r="A1052" s="3">
        <v>1028</v>
      </c>
      <c r="B1052" s="3">
        <v>5.3446648038834588E-3</v>
      </c>
      <c r="C1052" s="3">
        <v>-6.9446648038835046E-3</v>
      </c>
    </row>
    <row r="1053" spans="1:3" x14ac:dyDescent="0.3">
      <c r="A1053" s="3">
        <v>1029</v>
      </c>
      <c r="B1053" s="3">
        <v>5.6534650214107862E-3</v>
      </c>
      <c r="C1053" s="3">
        <v>-6.2534650214107201E-3</v>
      </c>
    </row>
    <row r="1054" spans="1:3" x14ac:dyDescent="0.3">
      <c r="A1054" s="3">
        <v>1030</v>
      </c>
      <c r="B1054" s="3">
        <v>5.7692651029835063E-3</v>
      </c>
      <c r="C1054" s="3">
        <v>-4.6926510298342383E-4</v>
      </c>
    </row>
    <row r="1055" spans="1:3" x14ac:dyDescent="0.3">
      <c r="A1055" s="3">
        <v>1031</v>
      </c>
      <c r="B1055" s="3">
        <v>4.7463643824242896E-3</v>
      </c>
      <c r="C1055" s="3">
        <v>-1.0546364382424317E-2</v>
      </c>
    </row>
    <row r="1056" spans="1:3" x14ac:dyDescent="0.3">
      <c r="A1056" s="3">
        <v>1032</v>
      </c>
      <c r="B1056" s="3">
        <v>5.8657651709607961E-3</v>
      </c>
      <c r="C1056" s="3">
        <v>-1.1365765170960856E-2</v>
      </c>
    </row>
    <row r="1057" spans="1:3" x14ac:dyDescent="0.3">
      <c r="A1057" s="3">
        <v>1033</v>
      </c>
      <c r="B1057" s="3">
        <v>6.9272659187109287E-3</v>
      </c>
      <c r="C1057" s="3">
        <v>-3.827265918711048E-3</v>
      </c>
    </row>
    <row r="1058" spans="1:3" x14ac:dyDescent="0.3">
      <c r="A1058" s="3">
        <v>1034</v>
      </c>
      <c r="B1058" s="3">
        <v>6.3289654972517873E-3</v>
      </c>
      <c r="C1058" s="3">
        <v>-6.9289654972517212E-3</v>
      </c>
    </row>
    <row r="1059" spans="1:3" x14ac:dyDescent="0.3">
      <c r="A1059" s="3">
        <v>1035</v>
      </c>
      <c r="B1059" s="3">
        <v>6.4447655788245073E-3</v>
      </c>
      <c r="C1059" s="3">
        <v>-6.8447655788244632E-3</v>
      </c>
    </row>
    <row r="1060" spans="1:3" x14ac:dyDescent="0.3">
      <c r="A1060" s="3">
        <v>1036</v>
      </c>
      <c r="B1060" s="3">
        <v>6.5219656332063392E-3</v>
      </c>
      <c r="C1060" s="3">
        <v>-1.0421965633206354E-2</v>
      </c>
    </row>
    <row r="1061" spans="1:3" x14ac:dyDescent="0.3">
      <c r="A1061" s="3">
        <v>1037</v>
      </c>
      <c r="B1061" s="3">
        <v>7.2746661634291443E-3</v>
      </c>
      <c r="C1061" s="3">
        <v>-6.6746661634292104E-3</v>
      </c>
    </row>
    <row r="1062" spans="1:3" x14ac:dyDescent="0.3">
      <c r="A1062" s="3">
        <v>1038</v>
      </c>
      <c r="B1062" s="3">
        <v>7.1588660818564243E-3</v>
      </c>
      <c r="C1062" s="3">
        <v>-1.2158866081856318E-2</v>
      </c>
    </row>
    <row r="1063" spans="1:3" x14ac:dyDescent="0.3">
      <c r="A1063" s="3">
        <v>1039</v>
      </c>
      <c r="B1063" s="3">
        <v>8.1238667616292393E-3</v>
      </c>
      <c r="C1063" s="3">
        <v>-5.6238667616292926E-3</v>
      </c>
    </row>
    <row r="1064" spans="1:3" x14ac:dyDescent="0.3">
      <c r="A1064" s="3">
        <v>1040</v>
      </c>
      <c r="B1064" s="3">
        <v>7.6413664217428456E-3</v>
      </c>
      <c r="C1064" s="3">
        <v>-9.413664217429174E-4</v>
      </c>
    </row>
    <row r="1065" spans="1:3" x14ac:dyDescent="0.3">
      <c r="A1065" s="3">
        <v>1041</v>
      </c>
      <c r="B1065" s="3">
        <v>6.3482655108472452E-3</v>
      </c>
      <c r="C1065" s="3">
        <v>-6.3482655108472452E-3</v>
      </c>
    </row>
    <row r="1066" spans="1:3" x14ac:dyDescent="0.3">
      <c r="A1066" s="3">
        <v>1042</v>
      </c>
      <c r="B1066" s="3">
        <v>6.3482655108472452E-3</v>
      </c>
      <c r="C1066" s="3">
        <v>-6.3482655108472452E-3</v>
      </c>
    </row>
    <row r="1067" spans="1:3" x14ac:dyDescent="0.3">
      <c r="A1067" s="3">
        <v>1043</v>
      </c>
      <c r="B1067" s="3">
        <v>6.3482655108472452E-3</v>
      </c>
      <c r="C1067" s="3">
        <v>-4.0482655108470544E-3</v>
      </c>
    </row>
    <row r="1068" spans="1:3" x14ac:dyDescent="0.3">
      <c r="A1068" s="3">
        <v>1044</v>
      </c>
      <c r="B1068" s="3">
        <v>5.904365198151712E-3</v>
      </c>
      <c r="C1068" s="3">
        <v>-6.204365198151901E-3</v>
      </c>
    </row>
    <row r="1069" spans="1:3" x14ac:dyDescent="0.3">
      <c r="A1069" s="3">
        <v>1045</v>
      </c>
      <c r="B1069" s="3">
        <v>5.9622652389381137E-3</v>
      </c>
      <c r="C1069" s="3">
        <v>-1.7262265238937979E-2</v>
      </c>
    </row>
    <row r="1070" spans="1:3" x14ac:dyDescent="0.3">
      <c r="A1070" s="3">
        <v>1046</v>
      </c>
      <c r="B1070" s="3">
        <v>8.1431667752246972E-3</v>
      </c>
      <c r="C1070" s="3">
        <v>-9.943166775224721E-3</v>
      </c>
    </row>
    <row r="1071" spans="1:3" x14ac:dyDescent="0.3">
      <c r="A1071" s="3">
        <v>1047</v>
      </c>
      <c r="B1071" s="3">
        <v>8.4905670199429129E-3</v>
      </c>
      <c r="C1071" s="3">
        <v>-1.6690567019942898E-2</v>
      </c>
    </row>
    <row r="1072" spans="1:3" x14ac:dyDescent="0.3">
      <c r="A1072" s="3">
        <v>1048</v>
      </c>
      <c r="B1072" s="3">
        <v>1.0073168134770383E-2</v>
      </c>
      <c r="C1072" s="3">
        <v>-1.2073168134770385E-2</v>
      </c>
    </row>
    <row r="1073" spans="1:3" x14ac:dyDescent="0.3">
      <c r="A1073" s="3">
        <v>1049</v>
      </c>
      <c r="B1073" s="3">
        <v>1.0459168406679514E-2</v>
      </c>
      <c r="C1073" s="3">
        <v>-1.0959168406679459E-2</v>
      </c>
    </row>
    <row r="1074" spans="1:3" x14ac:dyDescent="0.3">
      <c r="A1074" s="3">
        <v>1050</v>
      </c>
      <c r="B1074" s="3">
        <v>1.0555668474656776E-2</v>
      </c>
      <c r="C1074" s="3">
        <v>-5.155668474656927E-3</v>
      </c>
    </row>
    <row r="1075" spans="1:3" x14ac:dyDescent="0.3">
      <c r="A1075" s="3">
        <v>1051</v>
      </c>
      <c r="B1075" s="3">
        <v>9.5134677405021573E-3</v>
      </c>
      <c r="C1075" s="3">
        <v>-1.2313467740502071E-2</v>
      </c>
    </row>
    <row r="1076" spans="1:3" x14ac:dyDescent="0.3">
      <c r="A1076" s="3">
        <v>1052</v>
      </c>
      <c r="B1076" s="3">
        <v>1.0053868121174925E-2</v>
      </c>
      <c r="C1076" s="3">
        <v>-8.9538681211750459E-3</v>
      </c>
    </row>
    <row r="1077" spans="1:3" x14ac:dyDescent="0.3">
      <c r="A1077" s="3">
        <v>1053</v>
      </c>
      <c r="B1077" s="3">
        <v>9.8415679716249149E-3</v>
      </c>
      <c r="C1077" s="3">
        <v>-9.8415679716249149E-3</v>
      </c>
    </row>
    <row r="1078" spans="1:3" x14ac:dyDescent="0.3">
      <c r="A1078" s="3">
        <v>1054</v>
      </c>
      <c r="B1078" s="3">
        <v>9.8415679716249149E-3</v>
      </c>
      <c r="C1078" s="3">
        <v>-5.3415679716247444E-3</v>
      </c>
    </row>
    <row r="1079" spans="1:3" x14ac:dyDescent="0.3">
      <c r="A1079" s="3">
        <v>1055</v>
      </c>
      <c r="B1079" s="3">
        <v>8.9730673598293342E-3</v>
      </c>
      <c r="C1079" s="3">
        <v>-9.1730673598293122E-3</v>
      </c>
    </row>
    <row r="1080" spans="1:3" x14ac:dyDescent="0.3">
      <c r="A1080" s="3">
        <v>1056</v>
      </c>
      <c r="B1080" s="3">
        <v>9.0116673870202502E-3</v>
      </c>
      <c r="C1080" s="3">
        <v>-5.8116673870203805E-3</v>
      </c>
    </row>
    <row r="1081" spans="1:3" x14ac:dyDescent="0.3">
      <c r="A1081" s="3">
        <v>1057</v>
      </c>
      <c r="B1081" s="3">
        <v>8.3940669519656508E-3</v>
      </c>
      <c r="C1081" s="3">
        <v>-1.2094066951965687E-2</v>
      </c>
    </row>
    <row r="1082" spans="1:3" x14ac:dyDescent="0.3">
      <c r="A1082" s="3">
        <v>1058</v>
      </c>
      <c r="B1082" s="3">
        <v>9.1081674549975677E-3</v>
      </c>
      <c r="C1082" s="3">
        <v>-6.408167454997421E-3</v>
      </c>
    </row>
    <row r="1083" spans="1:3" x14ac:dyDescent="0.3">
      <c r="A1083" s="3">
        <v>1059</v>
      </c>
      <c r="B1083" s="3">
        <v>8.5870670879202027E-3</v>
      </c>
      <c r="C1083" s="3">
        <v>-1.3987067087920274E-2</v>
      </c>
    </row>
    <row r="1084" spans="1:3" x14ac:dyDescent="0.3">
      <c r="A1084" s="3">
        <v>1060</v>
      </c>
      <c r="B1084" s="3">
        <v>9.6292678220748773E-3</v>
      </c>
      <c r="C1084" s="3">
        <v>-5.2292678220749178E-3</v>
      </c>
    </row>
    <row r="1085" spans="1:3" x14ac:dyDescent="0.3">
      <c r="A1085" s="3">
        <v>1061</v>
      </c>
      <c r="B1085" s="3">
        <v>8.7800672238747823E-3</v>
      </c>
      <c r="C1085" s="3">
        <v>-7.1800672238747365E-3</v>
      </c>
    </row>
    <row r="1086" spans="1:3" x14ac:dyDescent="0.3">
      <c r="A1086" s="3">
        <v>1062</v>
      </c>
      <c r="B1086" s="3">
        <v>8.4712670063474826E-3</v>
      </c>
      <c r="C1086" s="3">
        <v>-5.171267006347402E-3</v>
      </c>
    </row>
    <row r="1087" spans="1:3" x14ac:dyDescent="0.3">
      <c r="A1087" s="3">
        <v>1063</v>
      </c>
      <c r="B1087" s="3">
        <v>7.8343665576973698E-3</v>
      </c>
      <c r="C1087" s="3">
        <v>-6.8343665576974799E-3</v>
      </c>
    </row>
    <row r="1088" spans="1:3" x14ac:dyDescent="0.3">
      <c r="A1088" s="3">
        <v>1064</v>
      </c>
      <c r="B1088" s="3">
        <v>7.6413664217428456E-3</v>
      </c>
      <c r="C1088" s="3">
        <v>-9.2413664217428915E-3</v>
      </c>
    </row>
    <row r="1089" spans="1:3" x14ac:dyDescent="0.3">
      <c r="A1089" s="3">
        <v>1065</v>
      </c>
      <c r="B1089" s="3">
        <v>7.9501666392701453E-3</v>
      </c>
      <c r="C1089" s="3">
        <v>-8.6501666392700682E-3</v>
      </c>
    </row>
    <row r="1090" spans="1:3" x14ac:dyDescent="0.3">
      <c r="A1090" s="3">
        <v>1066</v>
      </c>
      <c r="B1090" s="3">
        <v>8.0852667344383233E-3</v>
      </c>
      <c r="C1090" s="3">
        <v>-4.4852667344382757E-3</v>
      </c>
    </row>
    <row r="1091" spans="1:3" x14ac:dyDescent="0.3">
      <c r="A1091" s="3">
        <v>1067</v>
      </c>
      <c r="B1091" s="3">
        <v>7.3904662450018921E-3</v>
      </c>
      <c r="C1091" s="3">
        <v>-8.590466245001982E-3</v>
      </c>
    </row>
    <row r="1092" spans="1:3" x14ac:dyDescent="0.3">
      <c r="A1092" s="3">
        <v>1068</v>
      </c>
      <c r="B1092" s="3">
        <v>7.6220664081473877E-3</v>
      </c>
      <c r="C1092" s="3">
        <v>-5.7220664081473749E-3</v>
      </c>
    </row>
    <row r="1093" spans="1:3" x14ac:dyDescent="0.3">
      <c r="A1093" s="3">
        <v>1069</v>
      </c>
      <c r="B1093" s="3">
        <v>7.2553661498336863E-3</v>
      </c>
      <c r="C1093" s="3">
        <v>-4.2553661498335726E-3</v>
      </c>
    </row>
    <row r="1094" spans="1:3" x14ac:dyDescent="0.3">
      <c r="A1094" s="3">
        <v>1070</v>
      </c>
      <c r="B1094" s="3">
        <v>6.6763657419699751E-3</v>
      </c>
      <c r="C1094" s="3">
        <v>-2.7636574197001385E-4</v>
      </c>
    </row>
    <row r="1095" spans="1:3" x14ac:dyDescent="0.3">
      <c r="A1095" s="3">
        <v>1071</v>
      </c>
      <c r="B1095" s="3">
        <v>5.4411648718607486E-3</v>
      </c>
      <c r="C1095" s="3">
        <v>-7.1411648718607834E-3</v>
      </c>
    </row>
    <row r="1096" spans="1:3" x14ac:dyDescent="0.3">
      <c r="A1096" s="3">
        <v>1072</v>
      </c>
      <c r="B1096" s="3">
        <v>5.7692651029835063E-3</v>
      </c>
      <c r="C1096" s="3">
        <v>-5.2692651029835613E-3</v>
      </c>
    </row>
    <row r="1097" spans="1:3" x14ac:dyDescent="0.3">
      <c r="A1097" s="3">
        <v>1073</v>
      </c>
      <c r="B1097" s="3">
        <v>5.6727650350062442E-3</v>
      </c>
      <c r="C1097" s="3">
        <v>-7.172765035006301E-3</v>
      </c>
    </row>
    <row r="1098" spans="1:3" x14ac:dyDescent="0.3">
      <c r="A1098" s="3">
        <v>1074</v>
      </c>
      <c r="B1098" s="3">
        <v>5.9622652389381137E-3</v>
      </c>
      <c r="C1098" s="3">
        <v>-6.0622652389381027E-3</v>
      </c>
    </row>
    <row r="1099" spans="1:3" x14ac:dyDescent="0.3">
      <c r="A1099" s="3">
        <v>1075</v>
      </c>
      <c r="B1099" s="3">
        <v>5.9815652525335716E-3</v>
      </c>
      <c r="C1099" s="3">
        <v>-9.2815652525334302E-3</v>
      </c>
    </row>
    <row r="1100" spans="1:3" x14ac:dyDescent="0.3">
      <c r="A1100" s="3">
        <v>1076</v>
      </c>
      <c r="B1100" s="3">
        <v>6.6184657011836012E-3</v>
      </c>
      <c r="C1100" s="3">
        <v>-7.4184657011837352E-3</v>
      </c>
    </row>
    <row r="1101" spans="1:3" x14ac:dyDescent="0.3">
      <c r="A1101" s="3">
        <v>1077</v>
      </c>
      <c r="B1101" s="3">
        <v>6.7728658099472927E-3</v>
      </c>
      <c r="C1101" s="3">
        <v>-3.572865809947201E-3</v>
      </c>
    </row>
    <row r="1102" spans="1:3" x14ac:dyDescent="0.3">
      <c r="A1102" s="3">
        <v>1078</v>
      </c>
      <c r="B1102" s="3">
        <v>6.1552653748926656E-3</v>
      </c>
      <c r="C1102" s="3">
        <v>-4.8552653748925867E-3</v>
      </c>
    </row>
    <row r="1103" spans="1:3" x14ac:dyDescent="0.3">
      <c r="A1103" s="3">
        <v>1079</v>
      </c>
      <c r="B1103" s="3">
        <v>5.904365198151712E-3</v>
      </c>
      <c r="C1103" s="3">
        <v>-6.204365198151901E-3</v>
      </c>
    </row>
    <row r="1104" spans="1:3" x14ac:dyDescent="0.3">
      <c r="A1104" s="3">
        <v>1080</v>
      </c>
      <c r="B1104" s="3">
        <v>5.9622652389381137E-3</v>
      </c>
      <c r="C1104" s="3">
        <v>-1.1462265238937952E-2</v>
      </c>
    </row>
    <row r="1105" spans="1:3" x14ac:dyDescent="0.3">
      <c r="A1105" s="3">
        <v>1081</v>
      </c>
      <c r="B1105" s="3">
        <v>7.0237659866881907E-3</v>
      </c>
      <c r="C1105" s="3">
        <v>-3.8237659866883211E-3</v>
      </c>
    </row>
    <row r="1106" spans="1:3" x14ac:dyDescent="0.3">
      <c r="A1106" s="3">
        <v>1082</v>
      </c>
      <c r="B1106" s="3">
        <v>6.4061655516336191E-3</v>
      </c>
      <c r="C1106" s="3">
        <v>-5.5061655516334962E-3</v>
      </c>
    </row>
    <row r="1107" spans="1:3" x14ac:dyDescent="0.3">
      <c r="A1107" s="3">
        <v>1083</v>
      </c>
      <c r="B1107" s="3">
        <v>6.2324654292744697E-3</v>
      </c>
      <c r="C1107" s="3">
        <v>-1.3246542927447535E-4</v>
      </c>
    </row>
    <row r="1108" spans="1:3" x14ac:dyDescent="0.3">
      <c r="A1108" s="3">
        <v>1084</v>
      </c>
      <c r="B1108" s="3">
        <v>5.055164599951617E-3</v>
      </c>
      <c r="C1108" s="3">
        <v>-7.4551645999515748E-3</v>
      </c>
    </row>
    <row r="1109" spans="1:3" x14ac:dyDescent="0.3">
      <c r="A1109" s="3">
        <v>1085</v>
      </c>
      <c r="B1109" s="3">
        <v>5.5183649262425527E-3</v>
      </c>
      <c r="C1109" s="3">
        <v>-6.5183649262426646E-3</v>
      </c>
    </row>
    <row r="1110" spans="1:3" x14ac:dyDescent="0.3">
      <c r="A1110" s="3">
        <v>1086</v>
      </c>
      <c r="B1110" s="3">
        <v>5.7113650621971601E-3</v>
      </c>
      <c r="C1110" s="3">
        <v>-3.7113650621971583E-3</v>
      </c>
    </row>
    <row r="1111" spans="1:3" x14ac:dyDescent="0.3">
      <c r="A1111" s="3">
        <v>1087</v>
      </c>
      <c r="B1111" s="3">
        <v>5.3253647902880286E-3</v>
      </c>
      <c r="C1111" s="3">
        <v>-1.4125364790287948E-2</v>
      </c>
    </row>
    <row r="1112" spans="1:3" x14ac:dyDescent="0.3">
      <c r="A1112" s="3">
        <v>1088</v>
      </c>
      <c r="B1112" s="3">
        <v>7.0237659866881907E-3</v>
      </c>
      <c r="C1112" s="3">
        <v>-1.0723765986688227E-2</v>
      </c>
    </row>
    <row r="1113" spans="1:3" x14ac:dyDescent="0.3">
      <c r="A1113" s="3">
        <v>1089</v>
      </c>
      <c r="B1113" s="3">
        <v>7.7378664897201077E-3</v>
      </c>
      <c r="C1113" s="3">
        <v>-1.0137866489720065E-2</v>
      </c>
    </row>
    <row r="1114" spans="1:3" x14ac:dyDescent="0.3">
      <c r="A1114" s="3">
        <v>1090</v>
      </c>
      <c r="B1114" s="3">
        <v>8.2010668160110711E-3</v>
      </c>
      <c r="C1114" s="3">
        <v>-1.4010668160111539E-3</v>
      </c>
    </row>
    <row r="1115" spans="1:3" x14ac:dyDescent="0.3">
      <c r="A1115" s="3">
        <v>1091</v>
      </c>
      <c r="B1115" s="3">
        <v>6.8886658915200127E-3</v>
      </c>
      <c r="C1115" s="3">
        <v>-1.4088665891520108E-2</v>
      </c>
    </row>
    <row r="1116" spans="1:3" x14ac:dyDescent="0.3">
      <c r="A1116" s="3">
        <v>1092</v>
      </c>
      <c r="B1116" s="3">
        <v>8.2782668703929307E-3</v>
      </c>
      <c r="C1116" s="3">
        <v>-1.1778266870392767E-2</v>
      </c>
    </row>
    <row r="1117" spans="1:3" x14ac:dyDescent="0.3">
      <c r="A1117" s="3">
        <v>1093</v>
      </c>
      <c r="B1117" s="3">
        <v>8.9537673462338763E-3</v>
      </c>
      <c r="C1117" s="3">
        <v>-5.5537673462340287E-3</v>
      </c>
    </row>
    <row r="1118" spans="1:3" x14ac:dyDescent="0.3">
      <c r="A1118" s="3">
        <v>1094</v>
      </c>
      <c r="B1118" s="3">
        <v>8.2975668839883887E-3</v>
      </c>
      <c r="C1118" s="3">
        <v>-7.8975668839882107E-3</v>
      </c>
    </row>
    <row r="1119" spans="1:3" x14ac:dyDescent="0.3">
      <c r="A1119" s="3">
        <v>1095</v>
      </c>
      <c r="B1119" s="3">
        <v>8.2203668296065291E-3</v>
      </c>
      <c r="C1119" s="3">
        <v>-7.8203668296065731E-3</v>
      </c>
    </row>
    <row r="1120" spans="1:3" x14ac:dyDescent="0.3">
      <c r="A1120" s="3">
        <v>1096</v>
      </c>
      <c r="B1120" s="3">
        <v>8.1431667752246972E-3</v>
      </c>
      <c r="C1120" s="3">
        <v>-1.2343166775224679E-2</v>
      </c>
    </row>
    <row r="1121" spans="1:3" x14ac:dyDescent="0.3">
      <c r="A1121" s="3">
        <v>1097</v>
      </c>
      <c r="B1121" s="3">
        <v>8.9537673462338763E-3</v>
      </c>
      <c r="C1121" s="3">
        <v>-9.8537673462339992E-3</v>
      </c>
    </row>
    <row r="1122" spans="1:3" x14ac:dyDescent="0.3">
      <c r="A1122" s="3">
        <v>1098</v>
      </c>
      <c r="B1122" s="3">
        <v>9.1274674685930257E-3</v>
      </c>
      <c r="C1122" s="3">
        <v>-5.0274674685930332E-3</v>
      </c>
    </row>
    <row r="1123" spans="1:3" x14ac:dyDescent="0.3">
      <c r="A1123" s="3">
        <v>1099</v>
      </c>
      <c r="B1123" s="3">
        <v>8.3361669111792769E-3</v>
      </c>
      <c r="C1123" s="3">
        <v>-1.023616691117929E-2</v>
      </c>
    </row>
    <row r="1124" spans="1:3" x14ac:dyDescent="0.3">
      <c r="A1124" s="3">
        <v>1100</v>
      </c>
      <c r="B1124" s="3">
        <v>8.7028671694929782E-3</v>
      </c>
      <c r="C1124" s="3">
        <v>-1.2102867169492826E-2</v>
      </c>
    </row>
    <row r="1125" spans="1:3" x14ac:dyDescent="0.3">
      <c r="A1125" s="3">
        <v>1101</v>
      </c>
      <c r="B1125" s="3">
        <v>9.3590676317384658E-3</v>
      </c>
      <c r="C1125" s="3">
        <v>-7.0590676317384971E-3</v>
      </c>
    </row>
    <row r="1126" spans="1:3" x14ac:dyDescent="0.3">
      <c r="A1126" s="3">
        <v>1102</v>
      </c>
      <c r="B1126" s="3">
        <v>8.9151673190429603E-3</v>
      </c>
      <c r="C1126" s="3">
        <v>-7.8151673190430815E-3</v>
      </c>
    </row>
    <row r="1127" spans="1:3" x14ac:dyDescent="0.3">
      <c r="A1127" s="3">
        <v>1103</v>
      </c>
      <c r="B1127" s="3">
        <v>8.7028671694929782E-3</v>
      </c>
      <c r="C1127" s="3">
        <v>-6.2028671694928095E-3</v>
      </c>
    </row>
    <row r="1128" spans="1:3" x14ac:dyDescent="0.3">
      <c r="A1128" s="3">
        <v>1104</v>
      </c>
      <c r="B1128" s="3">
        <v>8.2203668296065291E-3</v>
      </c>
      <c r="C1128" s="3">
        <v>-7.6203668296065952E-3</v>
      </c>
    </row>
    <row r="1129" spans="1:3" x14ac:dyDescent="0.3">
      <c r="A1129" s="3">
        <v>1105</v>
      </c>
      <c r="B1129" s="3">
        <v>8.1045667480337813E-3</v>
      </c>
      <c r="C1129" s="3">
        <v>-3.9045667480337998E-3</v>
      </c>
    </row>
    <row r="1130" spans="1:3" x14ac:dyDescent="0.3">
      <c r="A1130" s="3">
        <v>1106</v>
      </c>
      <c r="B1130" s="3">
        <v>7.2939661770246023E-3</v>
      </c>
      <c r="C1130" s="3">
        <v>-4.8939661770246445E-3</v>
      </c>
    </row>
    <row r="1131" spans="1:3" x14ac:dyDescent="0.3">
      <c r="A1131" s="3">
        <v>1107</v>
      </c>
      <c r="B1131" s="3">
        <v>6.8307658507336388E-3</v>
      </c>
      <c r="C1131" s="3">
        <v>-4.2307658507337031E-3</v>
      </c>
    </row>
    <row r="1132" spans="1:3" x14ac:dyDescent="0.3">
      <c r="A1132" s="3">
        <v>1108</v>
      </c>
      <c r="B1132" s="3">
        <v>6.3289654972517873E-3</v>
      </c>
      <c r="C1132" s="3">
        <v>-7.7289654972516331E-3</v>
      </c>
    </row>
    <row r="1133" spans="1:3" x14ac:dyDescent="0.3">
      <c r="A1133" s="3">
        <v>1109</v>
      </c>
      <c r="B1133" s="3">
        <v>6.5991656875881433E-3</v>
      </c>
      <c r="C1133" s="3">
        <v>-7.5991656875882552E-3</v>
      </c>
    </row>
    <row r="1134" spans="1:3" x14ac:dyDescent="0.3">
      <c r="A1134" s="3">
        <v>1110</v>
      </c>
      <c r="B1134" s="3">
        <v>6.7921658235427507E-3</v>
      </c>
      <c r="C1134" s="3">
        <v>-4.9921658235427269E-3</v>
      </c>
    </row>
    <row r="1135" spans="1:3" x14ac:dyDescent="0.3">
      <c r="A1135" s="3">
        <v>1111</v>
      </c>
      <c r="B1135" s="3">
        <v>6.4447655788245073E-3</v>
      </c>
      <c r="C1135" s="3">
        <v>-2.9447655788244487E-3</v>
      </c>
    </row>
    <row r="1136" spans="1:3" x14ac:dyDescent="0.3">
      <c r="A1136" s="3">
        <v>1112</v>
      </c>
      <c r="B1136" s="3">
        <v>5.7692651029835063E-3</v>
      </c>
      <c r="C1136" s="3">
        <v>-1.6692651029835137E-3</v>
      </c>
    </row>
    <row r="1137" spans="1:3" x14ac:dyDescent="0.3">
      <c r="A1137" s="3">
        <v>1113</v>
      </c>
      <c r="B1137" s="3">
        <v>4.9779645455697852E-3</v>
      </c>
      <c r="C1137" s="3">
        <v>-6.1779645455698751E-3</v>
      </c>
    </row>
    <row r="1138" spans="1:3" x14ac:dyDescent="0.3">
      <c r="A1138" s="3">
        <v>1114</v>
      </c>
      <c r="B1138" s="3">
        <v>5.2095647087152808E-3</v>
      </c>
      <c r="C1138" s="3">
        <v>-4.9095647087153138E-3</v>
      </c>
    </row>
    <row r="1139" spans="1:3" x14ac:dyDescent="0.3">
      <c r="A1139" s="3">
        <v>1115</v>
      </c>
      <c r="B1139" s="3">
        <v>5.1516646679289346E-3</v>
      </c>
      <c r="C1139" s="3">
        <v>-1.1516646679289311E-3</v>
      </c>
    </row>
    <row r="1140" spans="1:3" x14ac:dyDescent="0.3">
      <c r="A1140" s="3">
        <v>1116</v>
      </c>
      <c r="B1140" s="3">
        <v>4.3796641241106438E-3</v>
      </c>
      <c r="C1140" s="3">
        <v>-8.4796641241106363E-3</v>
      </c>
    </row>
    <row r="1141" spans="1:3" x14ac:dyDescent="0.3">
      <c r="A1141" s="3">
        <v>1117</v>
      </c>
      <c r="B1141" s="3">
        <v>5.1709646815243648E-3</v>
      </c>
      <c r="C1141" s="3">
        <v>-7.0709646815243776E-3</v>
      </c>
    </row>
    <row r="1142" spans="1:3" x14ac:dyDescent="0.3">
      <c r="A1142" s="3">
        <v>1118</v>
      </c>
      <c r="B1142" s="3">
        <v>5.5376649398380662E-3</v>
      </c>
      <c r="C1142" s="3">
        <v>-4.3376649398379763E-3</v>
      </c>
    </row>
    <row r="1143" spans="1:3" x14ac:dyDescent="0.3">
      <c r="A1143" s="3">
        <v>1119</v>
      </c>
      <c r="B1143" s="3">
        <v>5.3060647766925706E-3</v>
      </c>
      <c r="C1143" s="3">
        <v>-9.1060647766925962E-3</v>
      </c>
    </row>
    <row r="1144" spans="1:3" x14ac:dyDescent="0.3">
      <c r="A1144" s="3">
        <v>1120</v>
      </c>
      <c r="B1144" s="3">
        <v>6.0394652933199178E-3</v>
      </c>
      <c r="C1144" s="3">
        <v>-7.2394652933197856E-3</v>
      </c>
    </row>
    <row r="1145" spans="1:3" x14ac:dyDescent="0.3">
      <c r="A1145" s="3">
        <v>1121</v>
      </c>
      <c r="B1145" s="3">
        <v>6.2710654564653856E-3</v>
      </c>
      <c r="C1145" s="3">
        <v>-5.7710654564654407E-3</v>
      </c>
    </row>
    <row r="1146" spans="1:3" x14ac:dyDescent="0.3">
      <c r="A1146" s="3">
        <v>1122</v>
      </c>
      <c r="B1146" s="3">
        <v>6.1745653884880958E-3</v>
      </c>
      <c r="C1146" s="3">
        <v>-4.8745653884880169E-3</v>
      </c>
    </row>
    <row r="1147" spans="1:3" x14ac:dyDescent="0.3">
      <c r="A1147" s="3">
        <v>1123</v>
      </c>
      <c r="B1147" s="3">
        <v>5.9236652117471422E-3</v>
      </c>
      <c r="C1147" s="3">
        <v>-9.7236652117471678E-3</v>
      </c>
    </row>
    <row r="1148" spans="1:3" x14ac:dyDescent="0.3">
      <c r="A1148" s="3">
        <v>1124</v>
      </c>
      <c r="B1148" s="3">
        <v>6.6570657283745172E-3</v>
      </c>
      <c r="C1148" s="3">
        <v>-7.0570657283746951E-3</v>
      </c>
    </row>
    <row r="1149" spans="1:3" x14ac:dyDescent="0.3">
      <c r="A1149" s="3">
        <v>1125</v>
      </c>
      <c r="B1149" s="3">
        <v>6.7342657827563768E-3</v>
      </c>
      <c r="C1149" s="3">
        <v>-5.7342657827562649E-3</v>
      </c>
    </row>
    <row r="1150" spans="1:3" x14ac:dyDescent="0.3">
      <c r="A1150" s="3">
        <v>1126</v>
      </c>
      <c r="B1150" s="3">
        <v>6.5412656468017971E-3</v>
      </c>
      <c r="C1150" s="3">
        <v>-9.9412656468018668E-3</v>
      </c>
    </row>
    <row r="1151" spans="1:3" x14ac:dyDescent="0.3">
      <c r="A1151" s="3">
        <v>1127</v>
      </c>
      <c r="B1151" s="3">
        <v>7.1974661090473402E-3</v>
      </c>
      <c r="C1151" s="3">
        <v>4.5025338909527035E-3</v>
      </c>
    </row>
    <row r="1152" spans="1:3" x14ac:dyDescent="0.3">
      <c r="A1152" s="3">
        <v>1128</v>
      </c>
      <c r="B1152" s="3">
        <v>4.9393645183788693E-3</v>
      </c>
      <c r="C1152" s="3">
        <v>-5.3936451837890975E-4</v>
      </c>
    </row>
    <row r="1153" spans="1:3" x14ac:dyDescent="0.3">
      <c r="A1153" s="3">
        <v>1129</v>
      </c>
      <c r="B1153" s="3">
        <v>4.090163920178802E-3</v>
      </c>
      <c r="C1153" s="3">
        <v>-6.2901639201787818E-3</v>
      </c>
    </row>
    <row r="1154" spans="1:3" x14ac:dyDescent="0.3">
      <c r="A1154" s="3">
        <v>1130</v>
      </c>
      <c r="B1154" s="3">
        <v>4.5147642192788218E-3</v>
      </c>
      <c r="C1154" s="3">
        <v>-5.4147642192787226E-3</v>
      </c>
    </row>
    <row r="1155" spans="1:3" x14ac:dyDescent="0.3">
      <c r="A1155" s="3">
        <v>1131</v>
      </c>
      <c r="B1155" s="3">
        <v>4.6884643416379157E-3</v>
      </c>
      <c r="C1155" s="3">
        <v>-4.9884643416378827E-3</v>
      </c>
    </row>
    <row r="1156" spans="1:3" x14ac:dyDescent="0.3">
      <c r="A1156" s="3">
        <v>1132</v>
      </c>
      <c r="B1156" s="3">
        <v>4.7463643824242896E-3</v>
      </c>
      <c r="C1156" s="3">
        <v>-4.9463643824244896E-3</v>
      </c>
    </row>
    <row r="1157" spans="1:3" x14ac:dyDescent="0.3">
      <c r="A1157" s="3">
        <v>1133</v>
      </c>
      <c r="B1157" s="3">
        <v>4.7849644096152333E-3</v>
      </c>
      <c r="C1157" s="3">
        <v>-3.2849644096151764E-3</v>
      </c>
    </row>
    <row r="1158" spans="1:3" x14ac:dyDescent="0.3">
      <c r="A1158" s="3">
        <v>1134</v>
      </c>
      <c r="B1158" s="3">
        <v>4.4954642056833916E-3</v>
      </c>
      <c r="C1158" s="3">
        <v>1.6045357943166028E-3</v>
      </c>
    </row>
    <row r="1159" spans="1:3" x14ac:dyDescent="0.3">
      <c r="A1159" s="3">
        <v>1135</v>
      </c>
      <c r="B1159" s="3">
        <v>3.3181633763605112E-3</v>
      </c>
      <c r="C1159" s="3">
        <v>-1.3181633763605094E-3</v>
      </c>
    </row>
    <row r="1160" spans="1:3" x14ac:dyDescent="0.3">
      <c r="A1160" s="3">
        <v>1136</v>
      </c>
      <c r="B1160" s="3">
        <v>2.9321631044513796E-3</v>
      </c>
      <c r="C1160" s="3">
        <v>-7.0321631044513722E-3</v>
      </c>
    </row>
    <row r="1161" spans="1:3" x14ac:dyDescent="0.3">
      <c r="A1161" s="3">
        <v>1137</v>
      </c>
      <c r="B1161" s="3">
        <v>3.7234636618651007E-3</v>
      </c>
      <c r="C1161" s="3">
        <v>1.9765363381349377E-3</v>
      </c>
    </row>
    <row r="1162" spans="1:3" x14ac:dyDescent="0.3">
      <c r="A1162" s="3">
        <v>1138</v>
      </c>
      <c r="B1162" s="3">
        <v>2.6233628869240522E-3</v>
      </c>
      <c r="C1162" s="3">
        <v>3.0766371130759862E-3</v>
      </c>
    </row>
    <row r="1163" spans="1:3" x14ac:dyDescent="0.3">
      <c r="A1163" s="3">
        <v>1139</v>
      </c>
      <c r="B1163" s="3">
        <v>1.5232621119830314E-3</v>
      </c>
      <c r="C1163" s="3">
        <v>2.9767378880169171E-3</v>
      </c>
    </row>
    <row r="1164" spans="1:3" x14ac:dyDescent="0.3">
      <c r="A1164" s="3">
        <v>1140</v>
      </c>
      <c r="B1164" s="3">
        <v>6.5476150018747847E-4</v>
      </c>
      <c r="C1164" s="3">
        <v>1.3452384998125233E-3</v>
      </c>
    </row>
    <row r="1165" spans="1:3" x14ac:dyDescent="0.3">
      <c r="A1165" s="3">
        <v>1141</v>
      </c>
      <c r="B1165" s="3">
        <v>2.6876122827834692E-4</v>
      </c>
      <c r="C1165" s="3">
        <v>-4.0687612282783725E-3</v>
      </c>
    </row>
    <row r="1166" spans="1:3" x14ac:dyDescent="0.3">
      <c r="A1166" s="3">
        <v>1142</v>
      </c>
      <c r="B1166" s="3">
        <v>1.0021617449056941E-3</v>
      </c>
      <c r="C1166" s="3">
        <v>6.797838255094335E-3</v>
      </c>
    </row>
    <row r="1167" spans="1:3" x14ac:dyDescent="0.3">
      <c r="A1167" s="3">
        <v>1143</v>
      </c>
      <c r="B1167" s="3">
        <v>-5.0323931553994394E-4</v>
      </c>
      <c r="C1167" s="3">
        <v>-2.3967606844599587E-3</v>
      </c>
    </row>
    <row r="1168" spans="1:3" x14ac:dyDescent="0.3">
      <c r="A1168" s="3">
        <v>1144</v>
      </c>
      <c r="B1168" s="3">
        <v>5.6461078728281544E-5</v>
      </c>
      <c r="C1168" s="3">
        <v>2.2435389212716872E-3</v>
      </c>
    </row>
    <row r="1169" spans="1:3" x14ac:dyDescent="0.3">
      <c r="A1169" s="3">
        <v>1145</v>
      </c>
      <c r="B1169" s="3">
        <v>-3.8743923396719615E-4</v>
      </c>
      <c r="C1169" s="3">
        <v>-6.0125607660327651E-3</v>
      </c>
    </row>
    <row r="1170" spans="1:3" x14ac:dyDescent="0.3">
      <c r="A1170" s="3">
        <v>1146</v>
      </c>
      <c r="B1170" s="3">
        <v>8.4776163614203037E-4</v>
      </c>
      <c r="C1170" s="3">
        <v>-5.1477616361422229E-3</v>
      </c>
    </row>
    <row r="1171" spans="1:3" x14ac:dyDescent="0.3">
      <c r="A1171" s="3">
        <v>1147</v>
      </c>
      <c r="B1171" s="3">
        <v>1.6776622207466951E-3</v>
      </c>
      <c r="C1171" s="3">
        <v>-4.6776622207465868E-3</v>
      </c>
    </row>
    <row r="1172" spans="1:3" x14ac:dyDescent="0.3">
      <c r="A1172" s="3">
        <v>1148</v>
      </c>
      <c r="B1172" s="3">
        <v>2.2566626286103786E-3</v>
      </c>
      <c r="C1172" s="3">
        <v>1.4333737138957914E-4</v>
      </c>
    </row>
    <row r="1173" spans="1:3" x14ac:dyDescent="0.3">
      <c r="A1173" s="3">
        <v>1149</v>
      </c>
      <c r="B1173" s="3">
        <v>1.7934623023194152E-3</v>
      </c>
      <c r="C1173" s="3">
        <v>-4.5934623023193288E-3</v>
      </c>
    </row>
    <row r="1174" spans="1:3" x14ac:dyDescent="0.3">
      <c r="A1174" s="3">
        <v>1150</v>
      </c>
      <c r="B1174" s="3">
        <v>2.3338626829922104E-3</v>
      </c>
      <c r="C1174" s="3">
        <v>1.5661373170078041E-3</v>
      </c>
    </row>
    <row r="1175" spans="1:3" x14ac:dyDescent="0.3">
      <c r="A1175" s="3">
        <v>1151</v>
      </c>
      <c r="B1175" s="3">
        <v>1.5811621527693775E-3</v>
      </c>
      <c r="C1175" s="3">
        <v>1.2188378472305361E-3</v>
      </c>
    </row>
    <row r="1176" spans="1:3" x14ac:dyDescent="0.3">
      <c r="A1176" s="3">
        <v>1152</v>
      </c>
      <c r="B1176" s="3">
        <v>1.04076177209661E-3</v>
      </c>
      <c r="C1176" s="3">
        <v>-3.7407617720965347E-3</v>
      </c>
    </row>
    <row r="1177" spans="1:3" x14ac:dyDescent="0.3">
      <c r="A1177" s="3">
        <v>1153</v>
      </c>
      <c r="B1177" s="3">
        <v>1.5618621391739196E-3</v>
      </c>
      <c r="C1177" s="3">
        <v>-6.4618621391740461E-3</v>
      </c>
    </row>
    <row r="1178" spans="1:3" x14ac:dyDescent="0.3">
      <c r="A1178" s="3">
        <v>1154</v>
      </c>
      <c r="B1178" s="3">
        <v>2.5075628053513321E-3</v>
      </c>
      <c r="C1178" s="3">
        <v>-4.0075628053511669E-3</v>
      </c>
    </row>
    <row r="1179" spans="1:3" x14ac:dyDescent="0.3">
      <c r="A1179" s="3">
        <v>1155</v>
      </c>
      <c r="B1179" s="3">
        <v>2.7970630092831461E-3</v>
      </c>
      <c r="C1179" s="3">
        <v>-3.59706300928328E-3</v>
      </c>
    </row>
    <row r="1180" spans="1:3" x14ac:dyDescent="0.3">
      <c r="A1180" s="3">
        <v>1156</v>
      </c>
      <c r="B1180" s="3">
        <v>2.9514631180468376E-3</v>
      </c>
      <c r="C1180" s="3">
        <v>3.3485368819531347E-3</v>
      </c>
    </row>
    <row r="1181" spans="1:3" x14ac:dyDescent="0.3">
      <c r="A1181" s="3">
        <v>1157</v>
      </c>
      <c r="B1181" s="3">
        <v>1.735562261533069E-3</v>
      </c>
      <c r="C1181" s="3">
        <v>-1.5355622615330911E-3</v>
      </c>
    </row>
    <row r="1182" spans="1:3" x14ac:dyDescent="0.3">
      <c r="A1182" s="3">
        <v>1158</v>
      </c>
      <c r="B1182" s="3">
        <v>1.6969622343421531E-3</v>
      </c>
      <c r="C1182" s="3">
        <v>3.9030377656578963E-3</v>
      </c>
    </row>
    <row r="1183" spans="1:3" x14ac:dyDescent="0.3">
      <c r="A1183" s="3">
        <v>1159</v>
      </c>
      <c r="B1183" s="3">
        <v>6.1616147299656254E-4</v>
      </c>
      <c r="C1183" s="3">
        <v>-2.5161614729965753E-3</v>
      </c>
    </row>
    <row r="1184" spans="1:3" x14ac:dyDescent="0.3">
      <c r="A1184" s="3">
        <v>1160</v>
      </c>
      <c r="B1184" s="3">
        <v>9.8286173131023613E-4</v>
      </c>
      <c r="C1184" s="3">
        <v>-4.828617313102912E-4</v>
      </c>
    </row>
    <row r="1185" spans="1:3" x14ac:dyDescent="0.3">
      <c r="A1185" s="3">
        <v>1161</v>
      </c>
      <c r="B1185" s="3">
        <v>8.8636166333297406E-4</v>
      </c>
      <c r="C1185" s="3">
        <v>3.4136383366672185E-3</v>
      </c>
    </row>
    <row r="1186" spans="1:3" x14ac:dyDescent="0.3">
      <c r="A1186" s="3">
        <v>1162</v>
      </c>
      <c r="B1186" s="3">
        <v>5.6461078728281544E-5</v>
      </c>
      <c r="C1186" s="3">
        <v>4.3538921271707443E-5</v>
      </c>
    </row>
    <row r="1187" spans="1:3" x14ac:dyDescent="0.3">
      <c r="A1187" s="3">
        <v>1163</v>
      </c>
      <c r="B1187" s="3">
        <v>3.7161065132823579E-5</v>
      </c>
      <c r="C1187" s="3">
        <v>-5.037161065132939E-3</v>
      </c>
    </row>
    <row r="1188" spans="1:3" x14ac:dyDescent="0.3">
      <c r="A1188" s="3">
        <v>1164</v>
      </c>
      <c r="B1188" s="3">
        <v>1.0021617449056941E-3</v>
      </c>
      <c r="C1188" s="3">
        <v>5.7978382550944452E-3</v>
      </c>
    </row>
    <row r="1189" spans="1:3" x14ac:dyDescent="0.3">
      <c r="A1189" s="3">
        <v>1165</v>
      </c>
      <c r="B1189" s="3">
        <v>-3.1023917958539204E-4</v>
      </c>
      <c r="C1189" s="3">
        <v>-4.4897608204147454E-3</v>
      </c>
    </row>
    <row r="1190" spans="1:3" x14ac:dyDescent="0.3">
      <c r="A1190" s="3">
        <v>1166</v>
      </c>
      <c r="B1190" s="3">
        <v>6.1616147299656254E-4</v>
      </c>
      <c r="C1190" s="3">
        <v>3.783838527003397E-3</v>
      </c>
    </row>
    <row r="1191" spans="1:3" x14ac:dyDescent="0.3">
      <c r="A1191" s="3">
        <v>1167</v>
      </c>
      <c r="B1191" s="3">
        <v>-2.3303912520353243E-4</v>
      </c>
      <c r="C1191" s="3">
        <v>-1.0669608747963244E-3</v>
      </c>
    </row>
    <row r="1192" spans="1:3" x14ac:dyDescent="0.3">
      <c r="A1192" s="3">
        <v>1168</v>
      </c>
      <c r="B1192" s="3">
        <v>1.7861051537393369E-5</v>
      </c>
      <c r="C1192" s="3">
        <v>-2.9178610515375181E-3</v>
      </c>
    </row>
    <row r="1193" spans="1:3" x14ac:dyDescent="0.3">
      <c r="A1193" s="3">
        <v>1169</v>
      </c>
      <c r="B1193" s="3">
        <v>5.7756144580564661E-4</v>
      </c>
      <c r="C1193" s="3">
        <v>-7.2775614458055748E-3</v>
      </c>
    </row>
    <row r="1194" spans="1:3" x14ac:dyDescent="0.3">
      <c r="A1194" s="3">
        <v>1170</v>
      </c>
      <c r="B1194" s="3">
        <v>1.870662356701247E-3</v>
      </c>
      <c r="C1194" s="3">
        <v>-4.0706623567012268E-3</v>
      </c>
    </row>
    <row r="1195" spans="1:3" x14ac:dyDescent="0.3">
      <c r="A1195" s="3">
        <v>1171</v>
      </c>
      <c r="B1195" s="3">
        <v>2.2952626558012945E-3</v>
      </c>
      <c r="C1195" s="3">
        <v>-3.6952626558013624E-3</v>
      </c>
    </row>
    <row r="1196" spans="1:3" x14ac:dyDescent="0.3">
      <c r="A1196" s="3">
        <v>1172</v>
      </c>
      <c r="B1196" s="3">
        <v>2.565462846137706E-3</v>
      </c>
      <c r="C1196" s="3">
        <v>-8.0654628461377664E-3</v>
      </c>
    </row>
    <row r="1197" spans="1:3" x14ac:dyDescent="0.3">
      <c r="A1197" s="3">
        <v>1173</v>
      </c>
      <c r="B1197" s="3">
        <v>3.6269635938878386E-3</v>
      </c>
      <c r="C1197" s="3">
        <v>-3.8269635938878166E-3</v>
      </c>
    </row>
    <row r="1198" spans="1:3" x14ac:dyDescent="0.3">
      <c r="A1198" s="3">
        <v>1174</v>
      </c>
      <c r="B1198" s="3">
        <v>3.6655636210787546E-3</v>
      </c>
      <c r="C1198" s="3">
        <v>-3.0655636210785986E-3</v>
      </c>
    </row>
    <row r="1199" spans="1:3" x14ac:dyDescent="0.3">
      <c r="A1199" s="3">
        <v>1175</v>
      </c>
      <c r="B1199" s="3">
        <v>3.549763539505979E-3</v>
      </c>
      <c r="C1199" s="3">
        <v>-7.6497635395059715E-3</v>
      </c>
    </row>
    <row r="1200" spans="1:3" x14ac:dyDescent="0.3">
      <c r="A1200" s="3">
        <v>1176</v>
      </c>
      <c r="B1200" s="3">
        <v>4.3410640969197001E-3</v>
      </c>
      <c r="C1200" s="3">
        <v>-4.7410640969198781E-3</v>
      </c>
    </row>
    <row r="1201" spans="1:3" x14ac:dyDescent="0.3">
      <c r="A1201" s="3">
        <v>1177</v>
      </c>
      <c r="B1201" s="3">
        <v>4.4182641513015597E-3</v>
      </c>
      <c r="C1201" s="3">
        <v>-4.2182641513015817E-3</v>
      </c>
    </row>
    <row r="1202" spans="1:3" x14ac:dyDescent="0.3">
      <c r="A1202" s="3">
        <v>1178</v>
      </c>
      <c r="B1202" s="3">
        <v>4.3796641241106438E-3</v>
      </c>
      <c r="C1202" s="3">
        <v>-7.1796641241105574E-3</v>
      </c>
    </row>
    <row r="1203" spans="1:3" x14ac:dyDescent="0.3">
      <c r="A1203" s="3">
        <v>1179</v>
      </c>
      <c r="B1203" s="3">
        <v>4.9200645047834113E-3</v>
      </c>
      <c r="C1203" s="3">
        <v>-6.8200645047834241E-3</v>
      </c>
    </row>
    <row r="1204" spans="1:3" x14ac:dyDescent="0.3">
      <c r="A1204" s="3">
        <v>1180</v>
      </c>
      <c r="B1204" s="3">
        <v>5.2867647630971126E-3</v>
      </c>
      <c r="C1204" s="3">
        <v>-8.1867647630970153E-3</v>
      </c>
    </row>
    <row r="1205" spans="1:3" x14ac:dyDescent="0.3">
      <c r="A1205" s="3">
        <v>1181</v>
      </c>
      <c r="B1205" s="3">
        <v>5.8464651573653381E-3</v>
      </c>
      <c r="C1205" s="3">
        <v>-8.8464651573654518E-3</v>
      </c>
    </row>
    <row r="1206" spans="1:3" x14ac:dyDescent="0.3">
      <c r="A1206" s="3">
        <v>1182</v>
      </c>
      <c r="B1206" s="3">
        <v>6.4254655652290493E-3</v>
      </c>
      <c r="C1206" s="3">
        <v>-2.9254655652289907E-3</v>
      </c>
    </row>
    <row r="1207" spans="1:3" x14ac:dyDescent="0.3">
      <c r="A1207" s="3">
        <v>1183</v>
      </c>
      <c r="B1207" s="3">
        <v>5.7499650893880483E-3</v>
      </c>
      <c r="C1207" s="3">
        <v>-1.0849965089388153E-2</v>
      </c>
    </row>
    <row r="1208" spans="1:3" x14ac:dyDescent="0.3">
      <c r="A1208" s="3">
        <v>1184</v>
      </c>
      <c r="B1208" s="3">
        <v>6.7342657827563768E-3</v>
      </c>
      <c r="C1208" s="3">
        <v>-8.5342657827561785E-3</v>
      </c>
    </row>
    <row r="1209" spans="1:3" x14ac:dyDescent="0.3">
      <c r="A1209" s="3">
        <v>1185</v>
      </c>
      <c r="B1209" s="3">
        <v>7.0816660274745646E-3</v>
      </c>
      <c r="C1209" s="3">
        <v>-8.6816660274746105E-3</v>
      </c>
    </row>
    <row r="1210" spans="1:3" x14ac:dyDescent="0.3">
      <c r="A1210" s="3">
        <v>1186</v>
      </c>
      <c r="B1210" s="3">
        <v>7.3904662450018921E-3</v>
      </c>
      <c r="C1210" s="3">
        <v>-2.7904662450019546E-3</v>
      </c>
    </row>
    <row r="1211" spans="1:3" x14ac:dyDescent="0.3">
      <c r="A1211" s="3">
        <v>1187</v>
      </c>
      <c r="B1211" s="3">
        <v>6.5026656196108812E-3</v>
      </c>
      <c r="C1211" s="3">
        <v>-9.9026656196109508E-3</v>
      </c>
    </row>
    <row r="1212" spans="1:3" x14ac:dyDescent="0.3">
      <c r="A1212" s="3">
        <v>1188</v>
      </c>
      <c r="B1212" s="3">
        <v>7.1588660818564243E-3</v>
      </c>
      <c r="C1212" s="3">
        <v>-5.2588660818564115E-3</v>
      </c>
    </row>
    <row r="1213" spans="1:3" x14ac:dyDescent="0.3">
      <c r="A1213" s="3">
        <v>1189</v>
      </c>
      <c r="B1213" s="3">
        <v>6.7921658235427507E-3</v>
      </c>
      <c r="C1213" s="3">
        <v>-6.1921658235425947E-3</v>
      </c>
    </row>
    <row r="1214" spans="1:3" x14ac:dyDescent="0.3">
      <c r="A1214" s="3">
        <v>1190</v>
      </c>
      <c r="B1214" s="3">
        <v>6.6763657419699751E-3</v>
      </c>
      <c r="C1214" s="3">
        <v>-2.9763657419701606E-3</v>
      </c>
    </row>
    <row r="1215" spans="1:3" x14ac:dyDescent="0.3">
      <c r="A1215" s="3">
        <v>1191</v>
      </c>
      <c r="B1215" s="3">
        <v>5.9622652389381137E-3</v>
      </c>
      <c r="C1215" s="3">
        <v>-3.162265238937978E-3</v>
      </c>
    </row>
    <row r="1216" spans="1:3" x14ac:dyDescent="0.3">
      <c r="A1216" s="3">
        <v>1192</v>
      </c>
      <c r="B1216" s="3">
        <v>5.4218648582652906E-3</v>
      </c>
      <c r="C1216" s="3">
        <v>-1.0321864858265417E-2</v>
      </c>
    </row>
    <row r="1217" spans="1:3" x14ac:dyDescent="0.3">
      <c r="A1217" s="3">
        <v>1193</v>
      </c>
      <c r="B1217" s="3">
        <v>6.3675655244427032E-3</v>
      </c>
      <c r="C1217" s="3">
        <v>-2.0675655244427327E-3</v>
      </c>
    </row>
    <row r="1218" spans="1:3" x14ac:dyDescent="0.3">
      <c r="A1218" s="3">
        <v>1194</v>
      </c>
      <c r="B1218" s="3">
        <v>5.5376649398380662E-3</v>
      </c>
      <c r="C1218" s="3">
        <v>-2.3766493983798376E-4</v>
      </c>
    </row>
    <row r="1219" spans="1:3" x14ac:dyDescent="0.3">
      <c r="A1219" s="3">
        <v>1195</v>
      </c>
      <c r="B1219" s="3">
        <v>4.5147642192788218E-3</v>
      </c>
      <c r="C1219" s="3">
        <v>-2.4714764219278818E-2</v>
      </c>
    </row>
    <row r="1220" spans="1:3" x14ac:dyDescent="0.3">
      <c r="A1220" s="3">
        <v>1196</v>
      </c>
      <c r="B1220" s="3">
        <v>8.4133669655611087E-3</v>
      </c>
      <c r="C1220" s="3">
        <v>-8.1336696556105759E-4</v>
      </c>
    </row>
    <row r="1221" spans="1:3" x14ac:dyDescent="0.3">
      <c r="A1221" s="3">
        <v>1197</v>
      </c>
      <c r="B1221" s="3">
        <v>6.9465659323063866E-3</v>
      </c>
      <c r="C1221" s="3">
        <v>-1.5546565932306328E-2</v>
      </c>
    </row>
    <row r="1222" spans="1:3" x14ac:dyDescent="0.3">
      <c r="A1222" s="3">
        <v>1198</v>
      </c>
      <c r="B1222" s="3">
        <v>8.6063671015156606E-3</v>
      </c>
      <c r="C1222" s="3">
        <v>-1.5006367101515844E-2</v>
      </c>
    </row>
    <row r="1223" spans="1:3" x14ac:dyDescent="0.3">
      <c r="A1223" s="3">
        <v>1199</v>
      </c>
      <c r="B1223" s="3">
        <v>9.8415679716249149E-3</v>
      </c>
      <c r="C1223" s="3">
        <v>-1.2941567971624796E-2</v>
      </c>
    </row>
    <row r="1224" spans="1:3" x14ac:dyDescent="0.3">
      <c r="A1224" s="3">
        <v>1200</v>
      </c>
      <c r="B1224" s="3">
        <v>1.0439868393084056E-2</v>
      </c>
      <c r="C1224" s="3">
        <v>-1.6439868393084062E-2</v>
      </c>
    </row>
    <row r="1225" spans="1:3" x14ac:dyDescent="0.3">
      <c r="A1225" s="3">
        <v>1201</v>
      </c>
      <c r="B1225" s="3">
        <v>1.1597869208811479E-2</v>
      </c>
      <c r="C1225" s="3">
        <v>-1.4897869208811559E-2</v>
      </c>
    </row>
    <row r="1226" spans="1:3" x14ac:dyDescent="0.3">
      <c r="A1226" s="3">
        <v>1202</v>
      </c>
      <c r="B1226" s="3">
        <v>1.2234769657461564E-2</v>
      </c>
      <c r="C1226" s="3">
        <v>-1.1134769657461463E-2</v>
      </c>
    </row>
    <row r="1227" spans="1:3" x14ac:dyDescent="0.3">
      <c r="A1227" s="3">
        <v>1203</v>
      </c>
      <c r="B1227" s="3">
        <v>1.2022469507911526E-2</v>
      </c>
      <c r="C1227" s="3">
        <v>-6.2224695079114989E-3</v>
      </c>
    </row>
    <row r="1228" spans="1:3" x14ac:dyDescent="0.3">
      <c r="A1228" s="3">
        <v>1204</v>
      </c>
      <c r="B1228" s="3">
        <v>1.090306871937502E-2</v>
      </c>
      <c r="C1228" s="3">
        <v>-1.1303068719374976E-2</v>
      </c>
    </row>
    <row r="1229" spans="1:3" x14ac:dyDescent="0.3">
      <c r="A1229" s="3">
        <v>1205</v>
      </c>
      <c r="B1229" s="3">
        <v>1.0980268773756824E-2</v>
      </c>
      <c r="C1229" s="3">
        <v>-1.6180268773756917E-2</v>
      </c>
    </row>
    <row r="1230" spans="1:3" x14ac:dyDescent="0.3">
      <c r="A1230" s="3">
        <v>1206</v>
      </c>
      <c r="B1230" s="3">
        <v>1.198386948072061E-2</v>
      </c>
      <c r="C1230" s="3">
        <v>-1.8983869480720728E-2</v>
      </c>
    </row>
    <row r="1231" spans="1:3" x14ac:dyDescent="0.3">
      <c r="A1231" s="3">
        <v>1207</v>
      </c>
      <c r="B1231" s="3">
        <v>1.3334870432402612E-2</v>
      </c>
      <c r="C1231" s="3">
        <v>-1.893487043240244E-2</v>
      </c>
    </row>
    <row r="1232" spans="1:3" x14ac:dyDescent="0.3">
      <c r="A1232" s="3">
        <v>1208</v>
      </c>
      <c r="B1232" s="3">
        <v>1.4415671193748147E-2</v>
      </c>
      <c r="C1232" s="3">
        <v>-6.7156711937481073E-3</v>
      </c>
    </row>
    <row r="1233" spans="1:3" x14ac:dyDescent="0.3">
      <c r="A1233" s="3">
        <v>1209</v>
      </c>
      <c r="B1233" s="3">
        <v>1.2929570146897967E-2</v>
      </c>
      <c r="C1233" s="3">
        <v>-1.3729570146898101E-2</v>
      </c>
    </row>
    <row r="1234" spans="1:3" x14ac:dyDescent="0.3">
      <c r="A1234" s="3">
        <v>1210</v>
      </c>
      <c r="B1234" s="3">
        <v>1.3083970255661659E-2</v>
      </c>
      <c r="C1234" s="3">
        <v>-5.2839702556616297E-3</v>
      </c>
    </row>
    <row r="1235" spans="1:3" x14ac:dyDescent="0.3">
      <c r="A1235" s="3">
        <v>1211</v>
      </c>
      <c r="B1235" s="3">
        <v>1.1578569195216021E-2</v>
      </c>
      <c r="C1235" s="3">
        <v>-1.2678569195216122E-2</v>
      </c>
    </row>
    <row r="1236" spans="1:3" x14ac:dyDescent="0.3">
      <c r="A1236" s="3">
        <v>1212</v>
      </c>
      <c r="B1236" s="3">
        <v>1.1790869344766058E-2</v>
      </c>
      <c r="C1236" s="3">
        <v>-9.5908693447658566E-3</v>
      </c>
    </row>
    <row r="1237" spans="1:3" x14ac:dyDescent="0.3">
      <c r="A1237" s="3">
        <v>1213</v>
      </c>
      <c r="B1237" s="3">
        <v>1.1366269045665983E-2</v>
      </c>
      <c r="C1237" s="3">
        <v>-1.9166269045666012E-2</v>
      </c>
    </row>
    <row r="1238" spans="1:3" x14ac:dyDescent="0.3">
      <c r="A1238" s="3">
        <v>1214</v>
      </c>
      <c r="B1238" s="3">
        <v>1.2871670106111593E-2</v>
      </c>
      <c r="C1238" s="3">
        <v>-1.1671670106111726E-2</v>
      </c>
    </row>
    <row r="1239" spans="1:3" x14ac:dyDescent="0.3">
      <c r="A1239" s="3">
        <v>1215</v>
      </c>
      <c r="B1239" s="3">
        <v>1.2640069942966153E-2</v>
      </c>
      <c r="C1239" s="3">
        <v>-1.2540069942966164E-2</v>
      </c>
    </row>
    <row r="1240" spans="1:3" x14ac:dyDescent="0.3">
      <c r="A1240" s="3">
        <v>1216</v>
      </c>
      <c r="B1240" s="3">
        <v>1.2620769929370695E-2</v>
      </c>
      <c r="C1240" s="3">
        <v>-5.0207699293706443E-3</v>
      </c>
    </row>
    <row r="1241" spans="1:3" x14ac:dyDescent="0.3">
      <c r="A1241" s="3">
        <v>1217</v>
      </c>
      <c r="B1241" s="3">
        <v>1.1153968896115973E-2</v>
      </c>
      <c r="C1241" s="3">
        <v>-1.2953968896115997E-2</v>
      </c>
    </row>
    <row r="1242" spans="1:3" x14ac:dyDescent="0.3">
      <c r="A1242" s="3">
        <v>1218</v>
      </c>
      <c r="B1242" s="3">
        <v>1.1501369140834189E-2</v>
      </c>
      <c r="C1242" s="3">
        <v>-1.3101369140834235E-2</v>
      </c>
    </row>
    <row r="1243" spans="1:3" x14ac:dyDescent="0.3">
      <c r="A1243" s="3">
        <v>1219</v>
      </c>
      <c r="B1243" s="3">
        <v>1.1810169358361516E-2</v>
      </c>
      <c r="C1243" s="3">
        <v>-1.4410169358361452E-2</v>
      </c>
    </row>
    <row r="1244" spans="1:3" x14ac:dyDescent="0.3">
      <c r="A1244" s="3">
        <v>1220</v>
      </c>
      <c r="B1244" s="3">
        <v>1.2311969711843368E-2</v>
      </c>
      <c r="C1244" s="3">
        <v>-1.5511969711843238E-2</v>
      </c>
    </row>
    <row r="1245" spans="1:3" x14ac:dyDescent="0.3">
      <c r="A1245" s="3">
        <v>1221</v>
      </c>
      <c r="B1245" s="3">
        <v>1.2929570146897967E-2</v>
      </c>
      <c r="C1245" s="3">
        <v>-1.5629570146898114E-2</v>
      </c>
    </row>
    <row r="1246" spans="1:3" x14ac:dyDescent="0.3">
      <c r="A1246" s="3">
        <v>1222</v>
      </c>
      <c r="B1246" s="3">
        <v>1.3450670513975332E-2</v>
      </c>
      <c r="C1246" s="3">
        <v>-9.9506705139752738E-3</v>
      </c>
    </row>
    <row r="1247" spans="1:3" x14ac:dyDescent="0.3">
      <c r="A1247" s="3">
        <v>1223</v>
      </c>
      <c r="B1247" s="3">
        <v>1.2775170038134331E-2</v>
      </c>
      <c r="C1247" s="3">
        <v>-1.1975170038134419E-2</v>
      </c>
    </row>
    <row r="1248" spans="1:3" x14ac:dyDescent="0.3">
      <c r="A1248" s="3">
        <v>1224</v>
      </c>
      <c r="B1248" s="3">
        <v>1.2620769929370695E-2</v>
      </c>
      <c r="C1248" s="3">
        <v>-1.4720769929370686E-2</v>
      </c>
    </row>
    <row r="1249" spans="1:3" x14ac:dyDescent="0.3">
      <c r="A1249" s="3">
        <v>1225</v>
      </c>
      <c r="B1249" s="3">
        <v>1.3026070214875285E-2</v>
      </c>
      <c r="C1249" s="3">
        <v>-2.672607021487533E-2</v>
      </c>
    </row>
    <row r="1250" spans="1:3" x14ac:dyDescent="0.3">
      <c r="A1250" s="3">
        <v>1226</v>
      </c>
      <c r="B1250" s="3">
        <v>1.5670172077452887E-2</v>
      </c>
      <c r="C1250" s="3">
        <v>-1.4670172077452776E-2</v>
      </c>
    </row>
    <row r="1251" spans="1:3" x14ac:dyDescent="0.3">
      <c r="A1251" s="3">
        <v>1227</v>
      </c>
      <c r="B1251" s="3">
        <v>1.547717194149828E-2</v>
      </c>
      <c r="C1251" s="3">
        <v>-8.7771719414983518E-3</v>
      </c>
    </row>
    <row r="1252" spans="1:3" x14ac:dyDescent="0.3">
      <c r="A1252" s="3">
        <v>1228</v>
      </c>
      <c r="B1252" s="3">
        <v>1.4184071030602707E-2</v>
      </c>
      <c r="C1252" s="3">
        <v>-1.6584071030602665E-2</v>
      </c>
    </row>
    <row r="1253" spans="1:3" x14ac:dyDescent="0.3">
      <c r="A1253" s="3">
        <v>1229</v>
      </c>
      <c r="B1253" s="3">
        <v>1.4647271356893643E-2</v>
      </c>
      <c r="C1253" s="3">
        <v>-1.5447271356893555E-2</v>
      </c>
    </row>
    <row r="1254" spans="1:3" x14ac:dyDescent="0.3">
      <c r="A1254" s="3">
        <v>1230</v>
      </c>
      <c r="B1254" s="3">
        <v>1.4801671465657279E-2</v>
      </c>
      <c r="C1254" s="3">
        <v>-1.4101671465657356E-2</v>
      </c>
    </row>
    <row r="1255" spans="1:3" x14ac:dyDescent="0.3">
      <c r="A1255" s="3">
        <v>1231</v>
      </c>
      <c r="B1255" s="3">
        <v>1.4666571370489101E-2</v>
      </c>
      <c r="C1255" s="3">
        <v>-1.2866571370489077E-2</v>
      </c>
    </row>
    <row r="1256" spans="1:3" x14ac:dyDescent="0.3">
      <c r="A1256" s="3">
        <v>1232</v>
      </c>
      <c r="B1256" s="3">
        <v>1.4319171125770885E-2</v>
      </c>
      <c r="C1256" s="3">
        <v>-1.381917112577094E-2</v>
      </c>
    </row>
    <row r="1257" spans="1:3" x14ac:dyDescent="0.3">
      <c r="A1257" s="3">
        <v>1233</v>
      </c>
      <c r="B1257" s="3">
        <v>1.4222671057793596E-2</v>
      </c>
      <c r="C1257" s="3">
        <v>-1.6222671057793597E-2</v>
      </c>
    </row>
    <row r="1258" spans="1:3" x14ac:dyDescent="0.3">
      <c r="A1258" s="3">
        <v>1234</v>
      </c>
      <c r="B1258" s="3">
        <v>1.4608671329702727E-2</v>
      </c>
      <c r="C1258" s="3">
        <v>-2.0008671329702576E-2</v>
      </c>
    </row>
    <row r="1259" spans="1:3" x14ac:dyDescent="0.3">
      <c r="A1259" s="3">
        <v>1235</v>
      </c>
      <c r="B1259" s="3">
        <v>1.5650872063857374E-2</v>
      </c>
      <c r="C1259" s="3">
        <v>-2.4450872063857515E-2</v>
      </c>
    </row>
    <row r="1260" spans="1:3" x14ac:dyDescent="0.3">
      <c r="A1260" s="3">
        <v>1236</v>
      </c>
      <c r="B1260" s="3">
        <v>1.7349273260257592E-2</v>
      </c>
      <c r="C1260" s="3">
        <v>-1.3049273260257621E-2</v>
      </c>
    </row>
    <row r="1261" spans="1:3" x14ac:dyDescent="0.3">
      <c r="A1261" s="3">
        <v>1237</v>
      </c>
      <c r="B1261" s="3">
        <v>1.6519372675652955E-2</v>
      </c>
      <c r="C1261" s="3">
        <v>-8.3193726756529696E-3</v>
      </c>
    </row>
    <row r="1262" spans="1:3" x14ac:dyDescent="0.3">
      <c r="A1262" s="3">
        <v>1238</v>
      </c>
      <c r="B1262" s="3">
        <v>1.4936771560825512E-2</v>
      </c>
      <c r="C1262" s="3">
        <v>-2.0036771560825395E-2</v>
      </c>
    </row>
    <row r="1263" spans="1:3" x14ac:dyDescent="0.3">
      <c r="A1263" s="3">
        <v>1239</v>
      </c>
      <c r="B1263" s="3">
        <v>1.5921072254193785E-2</v>
      </c>
      <c r="C1263" s="3">
        <v>-1.8021072254193776E-2</v>
      </c>
    </row>
    <row r="1264" spans="1:3" x14ac:dyDescent="0.3">
      <c r="A1264" s="3">
        <v>1240</v>
      </c>
      <c r="B1264" s="3">
        <v>1.6326372539698375E-2</v>
      </c>
      <c r="C1264" s="3">
        <v>-1.8326372539698377E-2</v>
      </c>
    </row>
    <row r="1265" spans="1:3" x14ac:dyDescent="0.3">
      <c r="A1265" s="3">
        <v>1241</v>
      </c>
      <c r="B1265" s="3">
        <v>1.6712372811607507E-2</v>
      </c>
      <c r="C1265" s="3">
        <v>-2.2112372811607578E-2</v>
      </c>
    </row>
    <row r="1266" spans="1:3" x14ac:dyDescent="0.3">
      <c r="A1266" s="3">
        <v>1242</v>
      </c>
      <c r="B1266" s="3">
        <v>1.7754573545762181E-2</v>
      </c>
      <c r="C1266" s="3">
        <v>-1.7754573545762181E-2</v>
      </c>
    </row>
    <row r="1267" spans="1:3" x14ac:dyDescent="0.3">
      <c r="A1267" s="3">
        <v>1243</v>
      </c>
      <c r="B1267" s="3">
        <v>1.7754573545762181E-2</v>
      </c>
      <c r="C1267" s="3">
        <v>-1.1454573545762209E-2</v>
      </c>
    </row>
    <row r="1268" spans="1:3" x14ac:dyDescent="0.3">
      <c r="A1268" s="3">
        <v>1244</v>
      </c>
      <c r="B1268" s="3">
        <v>1.6538672689248413E-2</v>
      </c>
      <c r="C1268" s="3">
        <v>-1.8338672689248436E-2</v>
      </c>
    </row>
    <row r="1269" spans="1:3" x14ac:dyDescent="0.3">
      <c r="A1269" s="3">
        <v>1245</v>
      </c>
      <c r="B1269" s="3">
        <v>1.6886072933966656E-2</v>
      </c>
      <c r="C1269" s="3">
        <v>-1.5986072933966533E-2</v>
      </c>
    </row>
    <row r="1270" spans="1:3" x14ac:dyDescent="0.3">
      <c r="A1270" s="3">
        <v>1246</v>
      </c>
      <c r="B1270" s="3">
        <v>1.6712372811607507E-2</v>
      </c>
      <c r="C1270" s="3">
        <v>-1.9412372811607653E-2</v>
      </c>
    </row>
    <row r="1271" spans="1:3" x14ac:dyDescent="0.3">
      <c r="A1271" s="3">
        <v>1247</v>
      </c>
      <c r="B1271" s="3">
        <v>1.7233473178684872E-2</v>
      </c>
      <c r="C1271" s="3">
        <v>-2.9334731786846702E-3</v>
      </c>
    </row>
    <row r="1272" spans="1:3" x14ac:dyDescent="0.3">
      <c r="A1272" s="3">
        <v>1248</v>
      </c>
      <c r="B1272" s="3">
        <v>1.4473571234534521E-2</v>
      </c>
      <c r="C1272" s="3">
        <v>-1.2973571234534687E-2</v>
      </c>
    </row>
    <row r="1273" spans="1:3" x14ac:dyDescent="0.3">
      <c r="A1273" s="3">
        <v>1249</v>
      </c>
      <c r="B1273" s="3">
        <v>1.4184071030602707E-2</v>
      </c>
      <c r="C1273" s="3">
        <v>-1.6384071030602687E-2</v>
      </c>
    </row>
    <row r="1274" spans="1:3" x14ac:dyDescent="0.3">
      <c r="A1274" s="3">
        <v>1250</v>
      </c>
      <c r="B1274" s="3">
        <v>1.4608671329702727E-2</v>
      </c>
      <c r="C1274" s="3">
        <v>-1.3808671329702593E-2</v>
      </c>
    </row>
    <row r="1275" spans="1:3" x14ac:dyDescent="0.3">
      <c r="A1275" s="3">
        <v>1251</v>
      </c>
      <c r="B1275" s="3">
        <v>1.4454271220939063E-2</v>
      </c>
      <c r="C1275" s="3">
        <v>-6.6542712209392563E-3</v>
      </c>
    </row>
    <row r="1276" spans="1:3" x14ac:dyDescent="0.3">
      <c r="A1276" s="3">
        <v>1252</v>
      </c>
      <c r="B1276" s="3">
        <v>1.2948870160493481E-2</v>
      </c>
      <c r="C1276" s="3">
        <v>-1.3148870160493459E-2</v>
      </c>
    </row>
    <row r="1277" spans="1:3" x14ac:dyDescent="0.3">
      <c r="A1277" s="3">
        <v>1253</v>
      </c>
      <c r="B1277" s="3">
        <v>1.2987470187684369E-2</v>
      </c>
      <c r="C1277" s="3">
        <v>-1.9287470187684341E-2</v>
      </c>
    </row>
    <row r="1278" spans="1:3" x14ac:dyDescent="0.3">
      <c r="A1278" s="3">
        <v>1254</v>
      </c>
      <c r="B1278" s="3">
        <v>1.4203371044198138E-2</v>
      </c>
      <c r="C1278" s="3">
        <v>-1.5003371044198049E-2</v>
      </c>
    </row>
    <row r="1279" spans="1:3" x14ac:dyDescent="0.3">
      <c r="A1279" s="3">
        <v>1255</v>
      </c>
      <c r="B1279" s="3">
        <v>1.4357771152961774E-2</v>
      </c>
      <c r="C1279" s="3">
        <v>-1.7357771152961887E-2</v>
      </c>
    </row>
    <row r="1280" spans="1:3" x14ac:dyDescent="0.3">
      <c r="A1280" s="3">
        <v>1256</v>
      </c>
      <c r="B1280" s="3">
        <v>1.4936771560825512E-2</v>
      </c>
      <c r="C1280" s="3">
        <v>-1.7736771560825426E-2</v>
      </c>
    </row>
    <row r="1281" spans="1:3" x14ac:dyDescent="0.3">
      <c r="A1281" s="3">
        <v>1257</v>
      </c>
      <c r="B1281" s="3">
        <v>1.547717194149828E-2</v>
      </c>
      <c r="C1281" s="3">
        <v>-1.7277171941498304E-2</v>
      </c>
    </row>
    <row r="1282" spans="1:3" x14ac:dyDescent="0.3">
      <c r="A1282" s="3">
        <v>1258</v>
      </c>
      <c r="B1282" s="3">
        <v>1.5824572186216523E-2</v>
      </c>
      <c r="C1282" s="3">
        <v>-1.2524572186216443E-2</v>
      </c>
    </row>
    <row r="1283" spans="1:3" x14ac:dyDescent="0.3">
      <c r="A1283" s="3">
        <v>1259</v>
      </c>
      <c r="B1283" s="3">
        <v>1.5187671737566411E-2</v>
      </c>
      <c r="C1283" s="3">
        <v>-1.2687671737566464E-2</v>
      </c>
    </row>
    <row r="1284" spans="1:3" x14ac:dyDescent="0.3">
      <c r="A1284" s="3">
        <v>1260</v>
      </c>
      <c r="B1284" s="3">
        <v>1.4705171397680017E-2</v>
      </c>
      <c r="C1284" s="3">
        <v>-1.6805171397680008E-2</v>
      </c>
    </row>
    <row r="1285" spans="1:3" x14ac:dyDescent="0.3">
      <c r="A1285" s="3">
        <v>1261</v>
      </c>
      <c r="B1285" s="3">
        <v>1.5110471683184606E-2</v>
      </c>
      <c r="C1285" s="3">
        <v>-2.0510471683184678E-2</v>
      </c>
    </row>
    <row r="1286" spans="1:3" x14ac:dyDescent="0.3">
      <c r="A1286" s="3">
        <v>1262</v>
      </c>
      <c r="B1286" s="3">
        <v>1.6152672417339281E-2</v>
      </c>
      <c r="C1286" s="3">
        <v>-1.8252672417339272E-2</v>
      </c>
    </row>
    <row r="1287" spans="1:3" x14ac:dyDescent="0.3">
      <c r="A1287" s="3">
        <v>1263</v>
      </c>
      <c r="B1287" s="3">
        <v>1.6557972702843871E-2</v>
      </c>
      <c r="C1287" s="3">
        <v>-1.1157972702843799E-2</v>
      </c>
    </row>
    <row r="1288" spans="1:3" x14ac:dyDescent="0.3">
      <c r="A1288" s="3">
        <v>1264</v>
      </c>
      <c r="B1288" s="3">
        <v>1.5515771968689196E-2</v>
      </c>
      <c r="C1288" s="3">
        <v>-1.3315771968689216E-2</v>
      </c>
    </row>
    <row r="1289" spans="1:3" x14ac:dyDescent="0.3">
      <c r="A1289" s="3">
        <v>1265</v>
      </c>
      <c r="B1289" s="3">
        <v>1.5091171669589148E-2</v>
      </c>
      <c r="C1289" s="3">
        <v>-6.8911716695891634E-3</v>
      </c>
    </row>
    <row r="1290" spans="1:3" x14ac:dyDescent="0.3">
      <c r="A1290" s="3">
        <v>1266</v>
      </c>
      <c r="B1290" s="3">
        <v>1.3508570554761706E-2</v>
      </c>
      <c r="C1290" s="3">
        <v>-1.0808570554761782E-2</v>
      </c>
    </row>
    <row r="1291" spans="1:3" x14ac:dyDescent="0.3">
      <c r="A1291" s="3">
        <v>1267</v>
      </c>
      <c r="B1291" s="3">
        <v>1.2987470187684369E-2</v>
      </c>
      <c r="C1291" s="3">
        <v>-1.388747018768427E-2</v>
      </c>
    </row>
    <row r="1292" spans="1:3" x14ac:dyDescent="0.3">
      <c r="A1292" s="3">
        <v>1268</v>
      </c>
      <c r="B1292" s="3">
        <v>1.3161170310043463E-2</v>
      </c>
      <c r="C1292" s="3">
        <v>-1.68611703100435E-2</v>
      </c>
    </row>
    <row r="1293" spans="1:3" x14ac:dyDescent="0.3">
      <c r="A1293" s="3">
        <v>1269</v>
      </c>
      <c r="B1293" s="3">
        <v>1.387527081307538E-2</v>
      </c>
      <c r="C1293" s="3">
        <v>-1.6275270813075338E-2</v>
      </c>
    </row>
    <row r="1294" spans="1:3" x14ac:dyDescent="0.3">
      <c r="A1294" s="3">
        <v>1270</v>
      </c>
      <c r="B1294" s="3">
        <v>1.4338471139366343E-2</v>
      </c>
      <c r="C1294" s="3">
        <v>-6.4384711393663252E-3</v>
      </c>
    </row>
    <row r="1295" spans="1:3" x14ac:dyDescent="0.3">
      <c r="A1295" s="3">
        <v>1271</v>
      </c>
      <c r="B1295" s="3">
        <v>1.2813770065325247E-2</v>
      </c>
      <c r="C1295" s="3">
        <v>-1.7013770065325229E-2</v>
      </c>
    </row>
    <row r="1296" spans="1:3" x14ac:dyDescent="0.3">
      <c r="A1296" s="3">
        <v>1272</v>
      </c>
      <c r="B1296" s="3">
        <v>1.3624370636334426E-2</v>
      </c>
      <c r="C1296" s="3">
        <v>-1.2824370636334514E-2</v>
      </c>
    </row>
    <row r="1297" spans="1:3" x14ac:dyDescent="0.3">
      <c r="A1297" s="3">
        <v>1273</v>
      </c>
      <c r="B1297" s="3">
        <v>1.346997052757079E-2</v>
      </c>
      <c r="C1297" s="3">
        <v>-8.7699705275708639E-3</v>
      </c>
    </row>
    <row r="1298" spans="1:3" x14ac:dyDescent="0.3">
      <c r="A1298" s="3">
        <v>1274</v>
      </c>
      <c r="B1298" s="3">
        <v>1.2562869888584322E-2</v>
      </c>
      <c r="C1298" s="3">
        <v>-1.5562869888584213E-2</v>
      </c>
    </row>
    <row r="1299" spans="1:3" x14ac:dyDescent="0.3">
      <c r="A1299" s="3">
        <v>1275</v>
      </c>
      <c r="B1299" s="3">
        <v>1.3141870296448005E-2</v>
      </c>
      <c r="C1299" s="3">
        <v>-2.1741870296447946E-2</v>
      </c>
    </row>
    <row r="1300" spans="1:3" x14ac:dyDescent="0.3">
      <c r="A1300" s="3">
        <v>1276</v>
      </c>
      <c r="B1300" s="3">
        <v>1.4801671465657279E-2</v>
      </c>
      <c r="C1300" s="3">
        <v>-1.7001671465657259E-2</v>
      </c>
    </row>
    <row r="1301" spans="1:3" x14ac:dyDescent="0.3">
      <c r="A1301" s="3">
        <v>1277</v>
      </c>
      <c r="B1301" s="3">
        <v>1.5226271764757326E-2</v>
      </c>
      <c r="C1301" s="3">
        <v>-4.1262717647574387E-3</v>
      </c>
    </row>
    <row r="1302" spans="1:3" x14ac:dyDescent="0.3">
      <c r="A1302" s="3">
        <v>1278</v>
      </c>
      <c r="B1302" s="3">
        <v>1.3083970255661659E-2</v>
      </c>
      <c r="C1302" s="3">
        <v>7.1602974433837563E-4</v>
      </c>
    </row>
    <row r="1303" spans="1:3" x14ac:dyDescent="0.3">
      <c r="A1303" s="3">
        <v>1279</v>
      </c>
      <c r="B1303" s="3">
        <v>1.0420568379488598E-2</v>
      </c>
      <c r="C1303" s="3">
        <v>6.1794316205113498E-3</v>
      </c>
    </row>
    <row r="1304" spans="1:3" x14ac:dyDescent="0.3">
      <c r="A1304" s="3">
        <v>1280</v>
      </c>
      <c r="B1304" s="3">
        <v>7.2167661226427982E-3</v>
      </c>
      <c r="C1304" s="3">
        <v>-7.9167661226427211E-3</v>
      </c>
    </row>
    <row r="1305" spans="1:3" x14ac:dyDescent="0.3">
      <c r="A1305" s="3">
        <v>1281</v>
      </c>
      <c r="B1305" s="3">
        <v>7.3518662178109762E-3</v>
      </c>
      <c r="C1305" s="3">
        <v>-2.4518662178110717E-3</v>
      </c>
    </row>
    <row r="1306" spans="1:3" x14ac:dyDescent="0.3">
      <c r="A1306" s="3">
        <v>1282</v>
      </c>
      <c r="B1306" s="3">
        <v>6.4061655516336191E-3</v>
      </c>
      <c r="C1306" s="3">
        <v>-6.4061655516336191E-3</v>
      </c>
    </row>
    <row r="1307" spans="1:3" x14ac:dyDescent="0.3">
      <c r="A1307" s="3">
        <v>1283</v>
      </c>
      <c r="B1307" s="3">
        <v>6.4061655516336191E-3</v>
      </c>
      <c r="C1307" s="3">
        <v>2.193834448366544E-3</v>
      </c>
    </row>
    <row r="1308" spans="1:3" x14ac:dyDescent="0.3">
      <c r="A1308" s="3">
        <v>1284</v>
      </c>
      <c r="B1308" s="3">
        <v>4.7463643824242896E-3</v>
      </c>
      <c r="C1308" s="3">
        <v>-7.9463643824243813E-3</v>
      </c>
    </row>
    <row r="1309" spans="1:3" x14ac:dyDescent="0.3">
      <c r="A1309" s="3">
        <v>1285</v>
      </c>
      <c r="B1309" s="3">
        <v>5.3639648174789167E-3</v>
      </c>
      <c r="C1309" s="3">
        <v>-8.7639648174789864E-3</v>
      </c>
    </row>
    <row r="1310" spans="1:3" x14ac:dyDescent="0.3">
      <c r="A1310" s="3">
        <v>1286</v>
      </c>
      <c r="B1310" s="3">
        <v>6.0201652797244598E-3</v>
      </c>
      <c r="C1310" s="3">
        <v>-3.3201652797243131E-3</v>
      </c>
    </row>
    <row r="1311" spans="1:3" x14ac:dyDescent="0.3">
      <c r="A1311" s="3">
        <v>1287</v>
      </c>
      <c r="B1311" s="3">
        <v>5.4990649126470947E-3</v>
      </c>
      <c r="C1311" s="3">
        <v>-1.2990649126471132E-3</v>
      </c>
    </row>
    <row r="1312" spans="1:3" x14ac:dyDescent="0.3">
      <c r="A1312" s="3">
        <v>1288</v>
      </c>
      <c r="B1312" s="3">
        <v>4.6884643416379157E-3</v>
      </c>
      <c r="C1312" s="3">
        <v>-2.488464341637936E-3</v>
      </c>
    </row>
    <row r="1313" spans="1:3" x14ac:dyDescent="0.3">
      <c r="A1313" s="3">
        <v>1289</v>
      </c>
      <c r="B1313" s="3">
        <v>4.2638640425378682E-3</v>
      </c>
      <c r="C1313" s="3">
        <v>-8.4638640425378497E-3</v>
      </c>
    </row>
    <row r="1314" spans="1:3" x14ac:dyDescent="0.3">
      <c r="A1314" s="3">
        <v>1290</v>
      </c>
      <c r="B1314" s="3">
        <v>5.074464613547075E-3</v>
      </c>
      <c r="C1314" s="3">
        <v>-1.007446461354719E-2</v>
      </c>
    </row>
    <row r="1315" spans="1:3" x14ac:dyDescent="0.3">
      <c r="A1315" s="3">
        <v>1291</v>
      </c>
      <c r="B1315" s="3">
        <v>6.0394652933199178E-3</v>
      </c>
      <c r="C1315" s="3">
        <v>-9.7394652933199544E-3</v>
      </c>
    </row>
    <row r="1316" spans="1:3" x14ac:dyDescent="0.3">
      <c r="A1316" s="3">
        <v>1292</v>
      </c>
      <c r="B1316" s="3">
        <v>6.7535657963518347E-3</v>
      </c>
      <c r="C1316" s="3">
        <v>-8.1535657963516806E-3</v>
      </c>
    </row>
    <row r="1317" spans="1:3" x14ac:dyDescent="0.3">
      <c r="A1317" s="3">
        <v>1293</v>
      </c>
      <c r="B1317" s="3">
        <v>7.0237659866881907E-3</v>
      </c>
      <c r="C1317" s="3">
        <v>-7.9237659866883137E-3</v>
      </c>
    </row>
    <row r="1318" spans="1:3" x14ac:dyDescent="0.3">
      <c r="A1318" s="3">
        <v>1294</v>
      </c>
      <c r="B1318" s="3">
        <v>7.1974661090473402E-3</v>
      </c>
      <c r="C1318" s="3">
        <v>-1.1097466109047355E-2</v>
      </c>
    </row>
    <row r="1319" spans="1:3" x14ac:dyDescent="0.3">
      <c r="A1319" s="3">
        <v>1295</v>
      </c>
      <c r="B1319" s="3">
        <v>7.9501666392701453E-3</v>
      </c>
      <c r="C1319" s="3">
        <v>-3.0501666392700189E-3</v>
      </c>
    </row>
    <row r="1320" spans="1:3" x14ac:dyDescent="0.3">
      <c r="A1320" s="3">
        <v>1296</v>
      </c>
      <c r="B1320" s="3">
        <v>7.0044659730927328E-3</v>
      </c>
      <c r="C1320" s="3">
        <v>-4.4044659730927971E-3</v>
      </c>
    </row>
    <row r="1321" spans="1:3" x14ac:dyDescent="0.3">
      <c r="A1321" s="3">
        <v>1297</v>
      </c>
      <c r="B1321" s="3">
        <v>6.5026656196108812E-3</v>
      </c>
      <c r="C1321" s="3">
        <v>-7.5026656196107711E-3</v>
      </c>
    </row>
    <row r="1322" spans="1:3" x14ac:dyDescent="0.3">
      <c r="A1322" s="3">
        <v>1298</v>
      </c>
      <c r="B1322" s="3">
        <v>6.6956657555654331E-3</v>
      </c>
      <c r="C1322" s="3">
        <v>-9.0956657555656129E-3</v>
      </c>
    </row>
    <row r="1323" spans="1:3" x14ac:dyDescent="0.3">
      <c r="A1323" s="3">
        <v>1299</v>
      </c>
      <c r="B1323" s="3">
        <v>7.1588660818564243E-3</v>
      </c>
      <c r="C1323" s="3">
        <v>-9.5886608185644095E-4</v>
      </c>
    </row>
    <row r="1324" spans="1:3" x14ac:dyDescent="0.3">
      <c r="A1324" s="3">
        <v>1300</v>
      </c>
      <c r="B1324" s="3">
        <v>5.9622652389381137E-3</v>
      </c>
      <c r="C1324" s="3">
        <v>1.3537734761061959E-2</v>
      </c>
    </row>
    <row r="1325" spans="1:3" x14ac:dyDescent="0.3">
      <c r="A1325" s="3">
        <v>1301</v>
      </c>
      <c r="B1325" s="3">
        <v>2.1987625878240047E-3</v>
      </c>
      <c r="C1325" s="3">
        <v>-1.1698762587824069E-2</v>
      </c>
    </row>
    <row r="1326" spans="1:3" x14ac:dyDescent="0.3">
      <c r="A1326" s="3">
        <v>1302</v>
      </c>
      <c r="B1326" s="3">
        <v>4.0322638793924281E-3</v>
      </c>
      <c r="C1326" s="3">
        <v>-9.1322638793923105E-3</v>
      </c>
    </row>
    <row r="1327" spans="1:3" x14ac:dyDescent="0.3">
      <c r="A1327" s="3">
        <v>1303</v>
      </c>
      <c r="B1327" s="3">
        <v>5.0165645727607011E-3</v>
      </c>
      <c r="C1327" s="3">
        <v>1.8343542723917028E-4</v>
      </c>
    </row>
    <row r="1328" spans="1:3" x14ac:dyDescent="0.3">
      <c r="A1328" s="3">
        <v>1304</v>
      </c>
      <c r="B1328" s="3">
        <v>4.0129638657969702E-3</v>
      </c>
      <c r="C1328" s="3">
        <v>-4.6129638657969041E-3</v>
      </c>
    </row>
    <row r="1329" spans="1:3" x14ac:dyDescent="0.3">
      <c r="A1329" s="3">
        <v>1305</v>
      </c>
      <c r="B1329" s="3">
        <v>4.1287639473696902E-3</v>
      </c>
      <c r="C1329" s="3">
        <v>2.0971236052630432E-2</v>
      </c>
    </row>
    <row r="1330" spans="1:3" x14ac:dyDescent="0.3">
      <c r="A1330" s="3">
        <v>1306</v>
      </c>
      <c r="B1330" s="3">
        <v>-7.1553946508998156E-4</v>
      </c>
      <c r="C1330" s="3">
        <v>1.4215539465089827E-2</v>
      </c>
    </row>
    <row r="1331" spans="1:3" x14ac:dyDescent="0.3">
      <c r="A1331" s="3">
        <v>1307</v>
      </c>
      <c r="B1331" s="3">
        <v>-3.3210413004766126E-3</v>
      </c>
      <c r="C1331" s="3">
        <v>4.6210413004766915E-3</v>
      </c>
    </row>
    <row r="1332" spans="1:3" x14ac:dyDescent="0.3">
      <c r="A1332" s="3">
        <v>1308</v>
      </c>
      <c r="B1332" s="3">
        <v>-3.5719414772175662E-3</v>
      </c>
      <c r="C1332" s="3">
        <v>-3.1280585227823621E-3</v>
      </c>
    </row>
    <row r="1333" spans="1:3" x14ac:dyDescent="0.3">
      <c r="A1333" s="3">
        <v>1309</v>
      </c>
      <c r="B1333" s="3">
        <v>-2.2788405663219935E-3</v>
      </c>
      <c r="C1333" s="3">
        <v>1.347884056632187E-2</v>
      </c>
    </row>
    <row r="1334" spans="1:3" x14ac:dyDescent="0.3">
      <c r="A1334" s="3">
        <v>1310</v>
      </c>
      <c r="B1334" s="3">
        <v>-4.4404420890131191E-3</v>
      </c>
      <c r="C1334" s="3">
        <v>1.6404420890132054E-3</v>
      </c>
    </row>
    <row r="1335" spans="1:3" x14ac:dyDescent="0.3">
      <c r="A1335" s="3">
        <v>1311</v>
      </c>
      <c r="B1335" s="3">
        <v>-3.9000417083403516E-3</v>
      </c>
      <c r="C1335" s="3">
        <v>4.4000417083402965E-3</v>
      </c>
    </row>
    <row r="1336" spans="1:3" x14ac:dyDescent="0.3">
      <c r="A1336" s="3">
        <v>1312</v>
      </c>
      <c r="B1336" s="3">
        <v>-3.9965417763176136E-3</v>
      </c>
      <c r="C1336" s="3">
        <v>1.8296541776317593E-2</v>
      </c>
    </row>
    <row r="1337" spans="1:3" x14ac:dyDescent="0.3">
      <c r="A1337" s="3">
        <v>1313</v>
      </c>
      <c r="B1337" s="3">
        <v>-6.7564437204679362E-3</v>
      </c>
      <c r="C1337" s="3">
        <v>-2.6435562795321388E-3</v>
      </c>
    </row>
    <row r="1338" spans="1:3" x14ac:dyDescent="0.3">
      <c r="A1338" s="3">
        <v>1314</v>
      </c>
      <c r="B1338" s="3">
        <v>-4.9422424424949707E-3</v>
      </c>
      <c r="C1338" s="3">
        <v>-5.7577575575049611E-3</v>
      </c>
    </row>
    <row r="1339" spans="1:3" x14ac:dyDescent="0.3">
      <c r="A1339" s="3">
        <v>1315</v>
      </c>
      <c r="B1339" s="3">
        <v>-2.8771409877811072E-3</v>
      </c>
      <c r="C1339" s="3">
        <v>1.0377140987781169E-2</v>
      </c>
    </row>
    <row r="1340" spans="1:3" x14ac:dyDescent="0.3">
      <c r="A1340" s="3">
        <v>1316</v>
      </c>
      <c r="B1340" s="3">
        <v>-4.3246420074403991E-3</v>
      </c>
      <c r="C1340" s="3">
        <v>1.3246420074402854E-3</v>
      </c>
    </row>
    <row r="1341" spans="1:3" x14ac:dyDescent="0.3">
      <c r="A1341" s="3">
        <v>1317</v>
      </c>
      <c r="B1341" s="3">
        <v>-3.7456415995766601E-3</v>
      </c>
      <c r="C1341" s="3">
        <v>1.0045641599576632E-2</v>
      </c>
    </row>
    <row r="1342" spans="1:3" x14ac:dyDescent="0.3">
      <c r="A1342" s="3">
        <v>1318</v>
      </c>
      <c r="B1342" s="3">
        <v>-4.9615424560904287E-3</v>
      </c>
      <c r="C1342" s="3">
        <v>1.3615424560906031E-3</v>
      </c>
    </row>
    <row r="1343" spans="1:3" x14ac:dyDescent="0.3">
      <c r="A1343" s="3">
        <v>1319</v>
      </c>
      <c r="B1343" s="3">
        <v>-4.2667419666540252E-3</v>
      </c>
      <c r="C1343" s="3">
        <v>-1.5332580333460022E-3</v>
      </c>
    </row>
    <row r="1344" spans="1:3" x14ac:dyDescent="0.3">
      <c r="A1344" s="3">
        <v>1320</v>
      </c>
      <c r="B1344" s="3">
        <v>-3.1473411781175187E-3</v>
      </c>
      <c r="C1344" s="3">
        <v>-9.5265882188247386E-4</v>
      </c>
    </row>
    <row r="1345" spans="1:3" x14ac:dyDescent="0.3">
      <c r="A1345" s="3">
        <v>1321</v>
      </c>
      <c r="B1345" s="3">
        <v>-2.3560406207037976E-3</v>
      </c>
      <c r="C1345" s="3">
        <v>2.4560406207037866E-3</v>
      </c>
    </row>
    <row r="1346" spans="1:3" x14ac:dyDescent="0.3">
      <c r="A1346" s="3">
        <v>1322</v>
      </c>
      <c r="B1346" s="3">
        <v>-2.3753406342992556E-3</v>
      </c>
      <c r="C1346" s="3">
        <v>5.0753406342991803E-3</v>
      </c>
    </row>
    <row r="1347" spans="1:3" x14ac:dyDescent="0.3">
      <c r="A1347" s="3">
        <v>1323</v>
      </c>
      <c r="B1347" s="3">
        <v>-2.8964410013765651E-3</v>
      </c>
      <c r="C1347" s="3">
        <v>8.3964410013766255E-3</v>
      </c>
    </row>
    <row r="1348" spans="1:3" x14ac:dyDescent="0.3">
      <c r="A1348" s="3">
        <v>1324</v>
      </c>
      <c r="B1348" s="3">
        <v>-3.9579417491266977E-3</v>
      </c>
      <c r="C1348" s="3">
        <v>-2.9420582508734305E-3</v>
      </c>
    </row>
    <row r="1349" spans="1:3" x14ac:dyDescent="0.3">
      <c r="A1349" s="3">
        <v>1325</v>
      </c>
      <c r="B1349" s="3">
        <v>-2.6262408110401536E-3</v>
      </c>
      <c r="C1349" s="3">
        <v>-4.6737591889597085E-3</v>
      </c>
    </row>
    <row r="1350" spans="1:3" x14ac:dyDescent="0.3">
      <c r="A1350" s="3">
        <v>1326</v>
      </c>
      <c r="B1350" s="3">
        <v>-1.2173398185718332E-3</v>
      </c>
      <c r="C1350" s="3">
        <v>2.1733981857172124E-4</v>
      </c>
    </row>
    <row r="1351" spans="1:3" x14ac:dyDescent="0.3">
      <c r="A1351" s="3">
        <v>1327</v>
      </c>
      <c r="B1351" s="3">
        <v>-1.0243396826172535E-3</v>
      </c>
      <c r="C1351" s="3">
        <v>-1.2175660317382625E-2</v>
      </c>
    </row>
    <row r="1352" spans="1:3" x14ac:dyDescent="0.3">
      <c r="A1352" s="3">
        <v>1328</v>
      </c>
      <c r="B1352" s="3">
        <v>1.5232621119830314E-3</v>
      </c>
      <c r="C1352" s="3">
        <v>8.3767378880169885E-3</v>
      </c>
    </row>
    <row r="1353" spans="1:3" x14ac:dyDescent="0.3">
      <c r="A1353" s="3">
        <v>1329</v>
      </c>
      <c r="B1353" s="3">
        <v>-3.8743923396719615E-4</v>
      </c>
      <c r="C1353" s="3">
        <v>-4.1256076603293779E-4</v>
      </c>
    </row>
    <row r="1354" spans="1:3" x14ac:dyDescent="0.3">
      <c r="A1354" s="3">
        <v>1330</v>
      </c>
      <c r="B1354" s="3">
        <v>-2.3303912520353243E-4</v>
      </c>
      <c r="C1354" s="3">
        <v>1.3330391252036333E-3</v>
      </c>
    </row>
    <row r="1355" spans="1:3" x14ac:dyDescent="0.3">
      <c r="A1355" s="3">
        <v>1331</v>
      </c>
      <c r="B1355" s="3">
        <v>-4.4533927475357005E-4</v>
      </c>
      <c r="C1355" s="3">
        <v>-1.3546607252464538E-3</v>
      </c>
    </row>
    <row r="1356" spans="1:3" x14ac:dyDescent="0.3">
      <c r="A1356" s="3">
        <v>1332</v>
      </c>
      <c r="B1356" s="3">
        <v>-9.7939030035354424E-5</v>
      </c>
      <c r="C1356" s="3">
        <v>6.8979390300352716E-3</v>
      </c>
    </row>
    <row r="1357" spans="1:3" x14ac:dyDescent="0.3">
      <c r="A1357" s="3">
        <v>1333</v>
      </c>
      <c r="B1357" s="3">
        <v>-1.4103399545263851E-3</v>
      </c>
      <c r="C1357" s="3">
        <v>5.9103399545265556E-3</v>
      </c>
    </row>
    <row r="1358" spans="1:3" x14ac:dyDescent="0.3">
      <c r="A1358" s="3">
        <v>1334</v>
      </c>
      <c r="B1358" s="3">
        <v>-2.2788405663219935E-3</v>
      </c>
      <c r="C1358" s="3">
        <v>6.97884056632192E-3</v>
      </c>
    </row>
    <row r="1359" spans="1:3" x14ac:dyDescent="0.3">
      <c r="A1359" s="3">
        <v>1335</v>
      </c>
      <c r="B1359" s="3">
        <v>-3.1859412053084346E-3</v>
      </c>
      <c r="C1359" s="3">
        <v>-1.7140587946916919E-3</v>
      </c>
    </row>
    <row r="1360" spans="1:3" x14ac:dyDescent="0.3">
      <c r="A1360" s="3">
        <v>1336</v>
      </c>
      <c r="B1360" s="3">
        <v>-2.2402405391310221E-3</v>
      </c>
      <c r="C1360" s="3">
        <v>1.034024053913124E-2</v>
      </c>
    </row>
    <row r="1361" spans="1:3" x14ac:dyDescent="0.3">
      <c r="A1361" s="3">
        <v>1337</v>
      </c>
      <c r="B1361" s="3">
        <v>-3.8035416403630617E-3</v>
      </c>
      <c r="C1361" s="3">
        <v>6.3035416403630085E-3</v>
      </c>
    </row>
    <row r="1362" spans="1:3" x14ac:dyDescent="0.3">
      <c r="A1362" s="3">
        <v>1338</v>
      </c>
      <c r="B1362" s="3">
        <v>-4.2860419802494831E-3</v>
      </c>
      <c r="C1362" s="3">
        <v>-1.5139580197505442E-3</v>
      </c>
    </row>
    <row r="1363" spans="1:3" x14ac:dyDescent="0.3">
      <c r="A1363" s="3">
        <v>1339</v>
      </c>
      <c r="B1363" s="3">
        <v>-3.1666411917129766E-3</v>
      </c>
      <c r="C1363" s="3">
        <v>-1.33358808287104E-4</v>
      </c>
    </row>
    <row r="1364" spans="1:3" x14ac:dyDescent="0.3">
      <c r="A1364" s="3">
        <v>1340</v>
      </c>
      <c r="B1364" s="3">
        <v>-2.5297407430628915E-3</v>
      </c>
      <c r="C1364" s="3">
        <v>9.5297407430630088E-3</v>
      </c>
    </row>
    <row r="1365" spans="1:3" x14ac:dyDescent="0.3">
      <c r="A1365" s="3">
        <v>1341</v>
      </c>
      <c r="B1365" s="3">
        <v>-3.8807416947448936E-3</v>
      </c>
      <c r="C1365" s="3">
        <v>1.4807416947449359E-3</v>
      </c>
    </row>
    <row r="1366" spans="1:3" x14ac:dyDescent="0.3">
      <c r="A1366" s="3">
        <v>1342</v>
      </c>
      <c r="B1366" s="3">
        <v>-3.4175413684539302E-3</v>
      </c>
      <c r="C1366" s="3">
        <v>1.3217541368453739E-2</v>
      </c>
    </row>
    <row r="1367" spans="1:3" x14ac:dyDescent="0.3">
      <c r="A1367" s="3">
        <v>1343</v>
      </c>
      <c r="B1367" s="3">
        <v>-5.308942700808672E-3</v>
      </c>
      <c r="C1367" s="3">
        <v>-1.2910572991912672E-3</v>
      </c>
    </row>
    <row r="1368" spans="1:3" x14ac:dyDescent="0.3">
      <c r="A1368" s="3">
        <v>1344</v>
      </c>
      <c r="B1368" s="3">
        <v>-4.0351418035085296E-3</v>
      </c>
      <c r="C1368" s="3">
        <v>8.4351418035084891E-3</v>
      </c>
    </row>
    <row r="1369" spans="1:3" x14ac:dyDescent="0.3">
      <c r="A1369" s="3">
        <v>1345</v>
      </c>
      <c r="B1369" s="3">
        <v>-4.8843424017086245E-3</v>
      </c>
      <c r="C1369" s="3">
        <v>7.4843424017087823E-3</v>
      </c>
    </row>
    <row r="1370" spans="1:3" x14ac:dyDescent="0.3">
      <c r="A1370" s="3">
        <v>1346</v>
      </c>
      <c r="B1370" s="3">
        <v>-5.3861427551905317E-3</v>
      </c>
      <c r="C1370" s="3">
        <v>1.8614275519043821E-4</v>
      </c>
    </row>
    <row r="1371" spans="1:3" x14ac:dyDescent="0.3">
      <c r="A1371" s="3">
        <v>1347</v>
      </c>
      <c r="B1371" s="3">
        <v>-4.3825420482267452E-3</v>
      </c>
      <c r="C1371" s="3">
        <v>7.4825420482268479E-3</v>
      </c>
    </row>
    <row r="1372" spans="1:3" x14ac:dyDescent="0.3">
      <c r="A1372" s="3">
        <v>1348</v>
      </c>
      <c r="B1372" s="3">
        <v>-4.9808424696859421E-3</v>
      </c>
      <c r="C1372" s="3">
        <v>5.3808424696858981E-3</v>
      </c>
    </row>
    <row r="1373" spans="1:3" x14ac:dyDescent="0.3">
      <c r="A1373" s="3">
        <v>1349</v>
      </c>
      <c r="B1373" s="3">
        <v>-5.0580425240677462E-3</v>
      </c>
      <c r="C1373" s="3">
        <v>1.1558042524067696E-2</v>
      </c>
    </row>
    <row r="1374" spans="1:3" x14ac:dyDescent="0.3">
      <c r="A1374" s="3">
        <v>1350</v>
      </c>
      <c r="B1374" s="3">
        <v>-6.3125434077724307E-3</v>
      </c>
      <c r="C1374" s="3">
        <v>1.5312543407772328E-2</v>
      </c>
    </row>
    <row r="1375" spans="1:3" x14ac:dyDescent="0.3">
      <c r="A1375" s="3">
        <v>1351</v>
      </c>
      <c r="B1375" s="3">
        <v>-8.0495446313635366E-3</v>
      </c>
      <c r="C1375" s="3">
        <v>3.4495446313635991E-3</v>
      </c>
    </row>
    <row r="1376" spans="1:3" x14ac:dyDescent="0.3">
      <c r="A1376" s="3">
        <v>1352</v>
      </c>
      <c r="B1376" s="3">
        <v>-7.1617440059725257E-3</v>
      </c>
      <c r="C1376" s="3">
        <v>1.0261744005972628E-2</v>
      </c>
    </row>
    <row r="1377" spans="1:3" x14ac:dyDescent="0.3">
      <c r="A1377" s="3">
        <v>1353</v>
      </c>
      <c r="B1377" s="3">
        <v>-7.7600444274316949E-3</v>
      </c>
      <c r="C1377" s="3">
        <v>-9.3995557256845719E-4</v>
      </c>
    </row>
    <row r="1378" spans="1:3" x14ac:dyDescent="0.3">
      <c r="A1378" s="3">
        <v>1354</v>
      </c>
      <c r="B1378" s="3">
        <v>-6.0809432446269351E-3</v>
      </c>
      <c r="C1378" s="3">
        <v>6.4809432446271131E-3</v>
      </c>
    </row>
    <row r="1379" spans="1:3" x14ac:dyDescent="0.3">
      <c r="A1379" s="3">
        <v>1355</v>
      </c>
      <c r="B1379" s="3">
        <v>-6.1581432990087948E-3</v>
      </c>
      <c r="C1379" s="3">
        <v>7.2581432990086736E-3</v>
      </c>
    </row>
    <row r="1380" spans="1:3" x14ac:dyDescent="0.3">
      <c r="A1380" s="3">
        <v>1356</v>
      </c>
      <c r="B1380" s="3">
        <v>-6.3704434485588046E-3</v>
      </c>
      <c r="C1380" s="3">
        <v>4.8704434485587478E-3</v>
      </c>
    </row>
    <row r="1381" spans="1:3" x14ac:dyDescent="0.3">
      <c r="A1381" s="3">
        <v>1357</v>
      </c>
      <c r="B1381" s="3">
        <v>-6.0809432446269351E-3</v>
      </c>
      <c r="C1381" s="3">
        <v>1.5780943244626977E-2</v>
      </c>
    </row>
    <row r="1382" spans="1:3" x14ac:dyDescent="0.3">
      <c r="A1382" s="3">
        <v>1358</v>
      </c>
      <c r="B1382" s="3">
        <v>-7.9530445633862468E-3</v>
      </c>
      <c r="C1382" s="3">
        <v>1.1153044563386338E-2</v>
      </c>
    </row>
    <row r="1383" spans="1:3" x14ac:dyDescent="0.3">
      <c r="A1383" s="3">
        <v>1359</v>
      </c>
      <c r="B1383" s="3">
        <v>-8.5706449984409017E-3</v>
      </c>
      <c r="C1383" s="3">
        <v>1.3570644998440795E-2</v>
      </c>
    </row>
    <row r="1384" spans="1:3" x14ac:dyDescent="0.3">
      <c r="A1384" s="3">
        <v>1360</v>
      </c>
      <c r="B1384" s="3">
        <v>-9.5356456782137167E-3</v>
      </c>
      <c r="C1384" s="3">
        <v>1.3235645678213753E-2</v>
      </c>
    </row>
    <row r="1385" spans="1:3" x14ac:dyDescent="0.3">
      <c r="A1385" s="3">
        <v>1361</v>
      </c>
      <c r="B1385" s="3">
        <v>-1.0249746181245606E-2</v>
      </c>
      <c r="C1385" s="3">
        <v>1.1849746181245652E-2</v>
      </c>
    </row>
    <row r="1386" spans="1:3" x14ac:dyDescent="0.3">
      <c r="A1386" s="3">
        <v>1362</v>
      </c>
      <c r="B1386" s="3">
        <v>-1.0558546398772933E-2</v>
      </c>
      <c r="C1386" s="3">
        <v>1.8058546398772996E-2</v>
      </c>
    </row>
    <row r="1387" spans="1:3" x14ac:dyDescent="0.3">
      <c r="A1387" s="3">
        <v>1363</v>
      </c>
      <c r="B1387" s="3">
        <v>-1.2006047418432197E-2</v>
      </c>
      <c r="C1387" s="3">
        <v>1.3606047418432021E-2</v>
      </c>
    </row>
    <row r="1388" spans="1:3" x14ac:dyDescent="0.3">
      <c r="A1388" s="3">
        <v>1364</v>
      </c>
      <c r="B1388" s="3">
        <v>-1.2314847635959469E-2</v>
      </c>
      <c r="C1388" s="3">
        <v>1.1914847635959513E-2</v>
      </c>
    </row>
    <row r="1389" spans="1:3" x14ac:dyDescent="0.3">
      <c r="A1389" s="3">
        <v>1365</v>
      </c>
      <c r="B1389" s="3">
        <v>-1.2237647581577665E-2</v>
      </c>
      <c r="C1389" s="3">
        <v>8.0376475815776838E-3</v>
      </c>
    </row>
    <row r="1390" spans="1:3" x14ac:dyDescent="0.3">
      <c r="A1390" s="3">
        <v>1366</v>
      </c>
      <c r="B1390" s="3">
        <v>-1.1427047010568486E-2</v>
      </c>
      <c r="C1390" s="3">
        <v>1.2827047010568554E-2</v>
      </c>
    </row>
    <row r="1391" spans="1:3" x14ac:dyDescent="0.3">
      <c r="A1391" s="3">
        <v>1367</v>
      </c>
      <c r="B1391" s="3">
        <v>-1.1697247200904898E-2</v>
      </c>
      <c r="C1391" s="3">
        <v>5.5972472009049035E-3</v>
      </c>
    </row>
    <row r="1392" spans="1:3" x14ac:dyDescent="0.3">
      <c r="A1392" s="3">
        <v>1368</v>
      </c>
      <c r="B1392" s="3">
        <v>-1.0519946371582017E-2</v>
      </c>
      <c r="C1392" s="3">
        <v>1.2019946371582074E-2</v>
      </c>
    </row>
    <row r="1393" spans="1:3" x14ac:dyDescent="0.3">
      <c r="A1393" s="3">
        <v>1369</v>
      </c>
      <c r="B1393" s="3">
        <v>-1.0809446575513887E-2</v>
      </c>
      <c r="C1393" s="3">
        <v>1.0409446575513709E-2</v>
      </c>
    </row>
    <row r="1394" spans="1:3" x14ac:dyDescent="0.3">
      <c r="A1394" s="3">
        <v>1370</v>
      </c>
      <c r="B1394" s="3">
        <v>-1.0732246521132027E-2</v>
      </c>
      <c r="C1394" s="3">
        <v>8.7322465211320255E-3</v>
      </c>
    </row>
    <row r="1395" spans="1:3" x14ac:dyDescent="0.3">
      <c r="A1395" s="3">
        <v>1371</v>
      </c>
      <c r="B1395" s="3">
        <v>-1.0346246249222896E-2</v>
      </c>
      <c r="C1395" s="3">
        <v>7.646246249222971E-3</v>
      </c>
    </row>
    <row r="1396" spans="1:3" x14ac:dyDescent="0.3">
      <c r="A1396" s="3">
        <v>1372</v>
      </c>
      <c r="B1396" s="3">
        <v>-9.8251458821455584E-3</v>
      </c>
      <c r="C1396" s="3">
        <v>9.1251458821456355E-3</v>
      </c>
    </row>
    <row r="1397" spans="1:3" x14ac:dyDescent="0.3">
      <c r="A1397" s="3">
        <v>1373</v>
      </c>
      <c r="B1397" s="3">
        <v>-9.6900457869773804E-3</v>
      </c>
      <c r="C1397" s="3">
        <v>2.9900457869772301E-3</v>
      </c>
    </row>
    <row r="1398" spans="1:3" x14ac:dyDescent="0.3">
      <c r="A1398" s="3">
        <v>1374</v>
      </c>
      <c r="B1398" s="3">
        <v>-8.3969448760817522E-3</v>
      </c>
      <c r="C1398" s="3">
        <v>1.2496944876081745E-2</v>
      </c>
    </row>
    <row r="1399" spans="1:3" x14ac:dyDescent="0.3">
      <c r="A1399" s="3">
        <v>1375</v>
      </c>
      <c r="B1399" s="3">
        <v>-9.1882454334954733E-3</v>
      </c>
      <c r="C1399" s="3">
        <v>4.6882454334955248E-3</v>
      </c>
    </row>
    <row r="1400" spans="1:3" x14ac:dyDescent="0.3">
      <c r="A1400" s="3">
        <v>1376</v>
      </c>
      <c r="B1400" s="3">
        <v>-8.3197448216999481E-3</v>
      </c>
      <c r="C1400" s="3">
        <v>1.0619744821699917E-2</v>
      </c>
    </row>
    <row r="1401" spans="1:3" x14ac:dyDescent="0.3">
      <c r="A1401" s="3">
        <v>1377</v>
      </c>
      <c r="B1401" s="3">
        <v>-8.7636451343954258E-3</v>
      </c>
      <c r="C1401" s="3">
        <v>1.6463645134395466E-2</v>
      </c>
    </row>
    <row r="1402" spans="1:3" x14ac:dyDescent="0.3">
      <c r="A1402" s="3">
        <v>1378</v>
      </c>
      <c r="B1402" s="3">
        <v>-1.0249746181245606E-2</v>
      </c>
      <c r="C1402" s="3">
        <v>1.5949746181245644E-2</v>
      </c>
    </row>
    <row r="1403" spans="1:3" x14ac:dyDescent="0.3">
      <c r="A1403" s="3">
        <v>1379</v>
      </c>
      <c r="B1403" s="3">
        <v>-1.1349846956186654E-2</v>
      </c>
      <c r="C1403" s="3">
        <v>1.3149846956186678E-2</v>
      </c>
    </row>
    <row r="1404" spans="1:3" x14ac:dyDescent="0.3">
      <c r="A1404" s="3">
        <v>1380</v>
      </c>
      <c r="B1404" s="3">
        <v>-1.1697247200904898E-2</v>
      </c>
      <c r="C1404" s="3">
        <v>9.397247200904929E-3</v>
      </c>
    </row>
    <row r="1405" spans="1:3" x14ac:dyDescent="0.3">
      <c r="A1405" s="3">
        <v>1381</v>
      </c>
      <c r="B1405" s="3">
        <v>-1.1253346888209392E-2</v>
      </c>
      <c r="C1405" s="3">
        <v>1.1153346888209403E-2</v>
      </c>
    </row>
    <row r="1406" spans="1:3" x14ac:dyDescent="0.3">
      <c r="A1406" s="3">
        <v>1382</v>
      </c>
      <c r="B1406" s="3">
        <v>-1.1234046874613934E-2</v>
      </c>
      <c r="C1406" s="3">
        <v>-4.5659531253861019E-3</v>
      </c>
    </row>
    <row r="1407" spans="1:3" x14ac:dyDescent="0.3">
      <c r="A1407" s="3">
        <v>1383</v>
      </c>
      <c r="B1407" s="3">
        <v>-8.1846447265317424E-3</v>
      </c>
      <c r="C1407" s="3">
        <v>3.8846447265317718E-3</v>
      </c>
    </row>
    <row r="1408" spans="1:3" x14ac:dyDescent="0.3">
      <c r="A1408" s="3">
        <v>1384</v>
      </c>
      <c r="B1408" s="3">
        <v>-7.3547441419271053E-3</v>
      </c>
      <c r="C1408" s="3">
        <v>-6.7452558580728961E-3</v>
      </c>
    </row>
    <row r="1409" spans="1:3" x14ac:dyDescent="0.3">
      <c r="A1409" s="3">
        <v>1385</v>
      </c>
      <c r="B1409" s="3">
        <v>-4.6334422249676988E-3</v>
      </c>
      <c r="C1409" s="3">
        <v>5.6334422249675886E-3</v>
      </c>
    </row>
    <row r="1410" spans="1:3" x14ac:dyDescent="0.3">
      <c r="A1410" s="3">
        <v>1386</v>
      </c>
      <c r="B1410" s="3">
        <v>-4.8264423609222507E-3</v>
      </c>
      <c r="C1410" s="3">
        <v>2.1126442360922232E-2</v>
      </c>
    </row>
    <row r="1411" spans="1:3" x14ac:dyDescent="0.3">
      <c r="A1411" s="3">
        <v>1387</v>
      </c>
      <c r="B1411" s="3">
        <v>-7.9723445769817047E-3</v>
      </c>
      <c r="C1411" s="3">
        <v>7.2723445769817818E-3</v>
      </c>
    </row>
    <row r="1412" spans="1:3" x14ac:dyDescent="0.3">
      <c r="A1412" s="3">
        <v>1388</v>
      </c>
      <c r="B1412" s="3">
        <v>-7.8372444818135267E-3</v>
      </c>
      <c r="C1412" s="3">
        <v>7.9372444818135157E-3</v>
      </c>
    </row>
    <row r="1413" spans="1:3" x14ac:dyDescent="0.3">
      <c r="A1413" s="3">
        <v>1389</v>
      </c>
      <c r="B1413" s="3">
        <v>-7.8565444954089847E-3</v>
      </c>
      <c r="C1413" s="3">
        <v>1.6656544495408904E-2</v>
      </c>
    </row>
    <row r="1414" spans="1:3" x14ac:dyDescent="0.3">
      <c r="A1414" s="3">
        <v>1390</v>
      </c>
      <c r="B1414" s="3">
        <v>-9.5549456918091746E-3</v>
      </c>
      <c r="C1414" s="3">
        <v>1.0154945691809331E-2</v>
      </c>
    </row>
    <row r="1415" spans="1:3" x14ac:dyDescent="0.3">
      <c r="A1415" s="3">
        <v>1391</v>
      </c>
      <c r="B1415" s="3">
        <v>-9.6707457733819224E-3</v>
      </c>
      <c r="C1415" s="3">
        <v>6.8707457733817867E-3</v>
      </c>
    </row>
    <row r="1416" spans="1:3" x14ac:dyDescent="0.3">
      <c r="A1416" s="3">
        <v>1392</v>
      </c>
      <c r="B1416" s="3">
        <v>-9.1303453927091272E-3</v>
      </c>
      <c r="C1416" s="3">
        <v>6.8303453927091584E-3</v>
      </c>
    </row>
    <row r="1417" spans="1:3" x14ac:dyDescent="0.3">
      <c r="A1417" s="3">
        <v>1393</v>
      </c>
      <c r="B1417" s="3">
        <v>-8.6864450800136217E-3</v>
      </c>
      <c r="C1417" s="3">
        <v>1.4686445080013627E-2</v>
      </c>
    </row>
    <row r="1418" spans="1:3" x14ac:dyDescent="0.3">
      <c r="A1418" s="3">
        <v>1394</v>
      </c>
      <c r="B1418" s="3">
        <v>-9.8444458957410164E-3</v>
      </c>
      <c r="C1418" s="3">
        <v>1.2944445895741119E-2</v>
      </c>
    </row>
    <row r="1419" spans="1:3" x14ac:dyDescent="0.3">
      <c r="A1419" s="3">
        <v>1395</v>
      </c>
      <c r="B1419" s="3">
        <v>-1.0442746317200213E-2</v>
      </c>
      <c r="C1419" s="3">
        <v>4.6427463172001859E-3</v>
      </c>
    </row>
    <row r="1420" spans="1:3" x14ac:dyDescent="0.3">
      <c r="A1420" s="3">
        <v>1396</v>
      </c>
      <c r="B1420" s="3">
        <v>-9.3233455286637068E-3</v>
      </c>
      <c r="C1420" s="3">
        <v>1.3723345528663666E-2</v>
      </c>
    </row>
    <row r="1421" spans="1:3" x14ac:dyDescent="0.3">
      <c r="A1421" s="3">
        <v>1397</v>
      </c>
      <c r="B1421" s="3">
        <v>-1.0172546126863802E-2</v>
      </c>
      <c r="C1421" s="3">
        <v>6.9725461268637101E-3</v>
      </c>
    </row>
    <row r="1422" spans="1:3" x14ac:dyDescent="0.3">
      <c r="A1422" s="3">
        <v>1398</v>
      </c>
      <c r="B1422" s="3">
        <v>-9.5549456918091746E-3</v>
      </c>
      <c r="C1422" s="3">
        <v>8.5549456918092848E-3</v>
      </c>
    </row>
    <row r="1423" spans="1:3" x14ac:dyDescent="0.3">
      <c r="A1423" s="3">
        <v>1399</v>
      </c>
      <c r="B1423" s="3">
        <v>-9.3619455558546227E-3</v>
      </c>
      <c r="C1423" s="3">
        <v>9.6619455558545897E-3</v>
      </c>
    </row>
    <row r="1424" spans="1:3" x14ac:dyDescent="0.3">
      <c r="A1424" s="3">
        <v>1400</v>
      </c>
      <c r="B1424" s="3">
        <v>-9.4198455966409689E-3</v>
      </c>
      <c r="C1424" s="3">
        <v>4.7198455966410424E-3</v>
      </c>
    </row>
    <row r="1425" spans="1:3" x14ac:dyDescent="0.3">
      <c r="A1425" s="3">
        <v>1401</v>
      </c>
      <c r="B1425" s="3">
        <v>-8.5127449576545278E-3</v>
      </c>
      <c r="C1425" s="3">
        <v>1.9512744957654427E-2</v>
      </c>
    </row>
    <row r="1426" spans="1:3" x14ac:dyDescent="0.3">
      <c r="A1426" s="3">
        <v>1402</v>
      </c>
      <c r="B1426" s="3">
        <v>-1.0635746453154765E-2</v>
      </c>
      <c r="C1426" s="3">
        <v>9.3574645315472327E-4</v>
      </c>
    </row>
    <row r="1427" spans="1:3" x14ac:dyDescent="0.3">
      <c r="A1427" s="3">
        <v>1403</v>
      </c>
      <c r="B1427" s="3">
        <v>-8.7636451343954258E-3</v>
      </c>
      <c r="C1427" s="3">
        <v>1.1163645134395384E-2</v>
      </c>
    </row>
    <row r="1428" spans="1:3" x14ac:dyDescent="0.3">
      <c r="A1428" s="3">
        <v>1404</v>
      </c>
      <c r="B1428" s="3">
        <v>-9.2268454606863892E-3</v>
      </c>
      <c r="C1428" s="3">
        <v>8.7268454606864443E-3</v>
      </c>
    </row>
    <row r="1429" spans="1:3" x14ac:dyDescent="0.3">
      <c r="A1429" s="3">
        <v>1405</v>
      </c>
      <c r="B1429" s="3">
        <v>-9.1303453927091272E-3</v>
      </c>
      <c r="C1429" s="3">
        <v>1.3630345392709076E-2</v>
      </c>
    </row>
    <row r="1430" spans="1:3" x14ac:dyDescent="0.3">
      <c r="A1430" s="3">
        <v>1406</v>
      </c>
      <c r="B1430" s="3">
        <v>-9.9988460045046523E-3</v>
      </c>
      <c r="C1430" s="3">
        <v>1.0198846004504852E-2</v>
      </c>
    </row>
    <row r="1431" spans="1:3" x14ac:dyDescent="0.3">
      <c r="A1431" s="3">
        <v>1407</v>
      </c>
      <c r="B1431" s="3">
        <v>-1.0037446031695624E-2</v>
      </c>
      <c r="C1431" s="3">
        <v>1.253744603169557E-2</v>
      </c>
    </row>
    <row r="1432" spans="1:3" x14ac:dyDescent="0.3">
      <c r="A1432" s="3">
        <v>1408</v>
      </c>
      <c r="B1432" s="3">
        <v>-1.0519946371582017E-2</v>
      </c>
      <c r="C1432" s="3">
        <v>3.8199463715818671E-3</v>
      </c>
    </row>
    <row r="1433" spans="1:3" x14ac:dyDescent="0.3">
      <c r="A1433" s="3">
        <v>1409</v>
      </c>
      <c r="B1433" s="3">
        <v>-9.2268454606863892E-3</v>
      </c>
      <c r="C1433" s="3">
        <v>1.0926845460686424E-2</v>
      </c>
    </row>
    <row r="1434" spans="1:3" x14ac:dyDescent="0.3">
      <c r="A1434" s="3">
        <v>1410</v>
      </c>
      <c r="B1434" s="3">
        <v>-9.5549456918091746E-3</v>
      </c>
      <c r="C1434" s="3">
        <v>8.4549456918092958E-3</v>
      </c>
    </row>
    <row r="1435" spans="1:3" x14ac:dyDescent="0.3">
      <c r="A1435" s="3">
        <v>1411</v>
      </c>
      <c r="B1435" s="3">
        <v>-9.3426455422591648E-3</v>
      </c>
      <c r="C1435" s="3">
        <v>1.6242645542259071E-2</v>
      </c>
    </row>
    <row r="1436" spans="1:3" x14ac:dyDescent="0.3">
      <c r="A1436" s="3">
        <v>1412</v>
      </c>
      <c r="B1436" s="3">
        <v>-1.0674346480345653E-2</v>
      </c>
      <c r="C1436" s="3">
        <v>1.5174346480345602E-2</v>
      </c>
    </row>
    <row r="1437" spans="1:3" x14ac:dyDescent="0.3">
      <c r="A1437" s="3">
        <v>1413</v>
      </c>
      <c r="B1437" s="3">
        <v>-1.1542847092141206E-2</v>
      </c>
      <c r="C1437" s="3">
        <v>6.0428470921413679E-3</v>
      </c>
    </row>
    <row r="1438" spans="1:3" x14ac:dyDescent="0.3">
      <c r="A1438" s="3">
        <v>1414</v>
      </c>
      <c r="B1438" s="3">
        <v>-1.0481346344391101E-2</v>
      </c>
      <c r="C1438" s="3">
        <v>9.0813463443910336E-3</v>
      </c>
    </row>
    <row r="1439" spans="1:3" x14ac:dyDescent="0.3">
      <c r="A1439" s="3">
        <v>1415</v>
      </c>
      <c r="B1439" s="3">
        <v>-1.0211146154054718E-2</v>
      </c>
      <c r="C1439" s="3">
        <v>1.4211146154054721E-2</v>
      </c>
    </row>
    <row r="1440" spans="1:3" x14ac:dyDescent="0.3">
      <c r="A1440" s="3">
        <v>1416</v>
      </c>
      <c r="B1440" s="3">
        <v>-1.0983146697872981E-2</v>
      </c>
      <c r="C1440" s="3">
        <v>1.0983146697872981E-2</v>
      </c>
    </row>
    <row r="1441" spans="1:3" x14ac:dyDescent="0.3">
      <c r="A1441" s="3">
        <v>1417</v>
      </c>
      <c r="B1441" s="3">
        <v>-1.0983146697872981E-2</v>
      </c>
      <c r="C1441" s="3">
        <v>1.3883146697872883E-2</v>
      </c>
    </row>
    <row r="1442" spans="1:3" x14ac:dyDescent="0.3">
      <c r="A1442" s="3">
        <v>1418</v>
      </c>
      <c r="B1442" s="3">
        <v>-1.1542847092141206E-2</v>
      </c>
      <c r="C1442" s="3">
        <v>2.1942847092141393E-2</v>
      </c>
    </row>
    <row r="1443" spans="1:3" x14ac:dyDescent="0.3">
      <c r="A1443" s="3">
        <v>1419</v>
      </c>
      <c r="B1443" s="3">
        <v>-1.3550048506068751E-2</v>
      </c>
      <c r="C1443" s="3">
        <v>8.15004850606868E-3</v>
      </c>
    </row>
    <row r="1444" spans="1:3" x14ac:dyDescent="0.3">
      <c r="A1444" s="3">
        <v>1420</v>
      </c>
      <c r="B1444" s="3">
        <v>-1.2507847771914077E-2</v>
      </c>
      <c r="C1444" s="3">
        <v>9.9078477719141411E-3</v>
      </c>
    </row>
    <row r="1445" spans="1:3" x14ac:dyDescent="0.3">
      <c r="A1445" s="3">
        <v>1421</v>
      </c>
      <c r="B1445" s="3">
        <v>-1.2006047418432197E-2</v>
      </c>
      <c r="C1445" s="3">
        <v>7.8060474184322159E-3</v>
      </c>
    </row>
    <row r="1446" spans="1:3" x14ac:dyDescent="0.3">
      <c r="A1446" s="3">
        <v>1422</v>
      </c>
      <c r="B1446" s="3">
        <v>-1.1195446847423018E-2</v>
      </c>
      <c r="C1446" s="3">
        <v>1.6995446847422824E-2</v>
      </c>
    </row>
    <row r="1447" spans="1:3" x14ac:dyDescent="0.3">
      <c r="A1447" s="3">
        <v>1423</v>
      </c>
      <c r="B1447" s="3">
        <v>-1.2314847635959469E-2</v>
      </c>
      <c r="C1447" s="3">
        <v>1.3514847635959559E-2</v>
      </c>
    </row>
    <row r="1448" spans="1:3" x14ac:dyDescent="0.3">
      <c r="A1448" s="3">
        <v>1424</v>
      </c>
      <c r="B1448" s="3">
        <v>-1.2546447799104965E-2</v>
      </c>
      <c r="C1448" s="3">
        <v>4.9464477991049138E-3</v>
      </c>
    </row>
    <row r="1449" spans="1:3" x14ac:dyDescent="0.3">
      <c r="A1449" s="3">
        <v>1425</v>
      </c>
      <c r="B1449" s="3">
        <v>-1.1079646765850243E-2</v>
      </c>
      <c r="C1449" s="3">
        <v>3.7796467658503807E-3</v>
      </c>
    </row>
    <row r="1450" spans="1:3" x14ac:dyDescent="0.3">
      <c r="A1450" s="3">
        <v>1426</v>
      </c>
      <c r="B1450" s="3">
        <v>-9.6707457733819224E-3</v>
      </c>
      <c r="C1450" s="3">
        <v>1.2870745773381792E-2</v>
      </c>
    </row>
    <row r="1451" spans="1:3" x14ac:dyDescent="0.3">
      <c r="A1451" s="3">
        <v>1427</v>
      </c>
      <c r="B1451" s="3">
        <v>-1.0288346208436522E-2</v>
      </c>
      <c r="C1451" s="3">
        <v>1.3188346208436647E-2</v>
      </c>
    </row>
    <row r="1452" spans="1:3" x14ac:dyDescent="0.3">
      <c r="A1452" s="3">
        <v>1428</v>
      </c>
      <c r="B1452" s="3">
        <v>-1.0848046602704803E-2</v>
      </c>
      <c r="C1452" s="3">
        <v>1.1548046602704726E-2</v>
      </c>
    </row>
    <row r="1453" spans="1:3" x14ac:dyDescent="0.3">
      <c r="A1453" s="3">
        <v>1429</v>
      </c>
      <c r="B1453" s="3">
        <v>-1.0983146697872981E-2</v>
      </c>
      <c r="C1453" s="3">
        <v>1.0483146697873036E-2</v>
      </c>
    </row>
    <row r="1454" spans="1:3" x14ac:dyDescent="0.3">
      <c r="A1454" s="3">
        <v>1430</v>
      </c>
      <c r="B1454" s="3">
        <v>-1.0886646629895719E-2</v>
      </c>
      <c r="C1454" s="3">
        <v>9.4866466298956509E-3</v>
      </c>
    </row>
    <row r="1455" spans="1:3" x14ac:dyDescent="0.3">
      <c r="A1455" s="3">
        <v>1431</v>
      </c>
      <c r="B1455" s="3">
        <v>-1.0616446439559307E-2</v>
      </c>
      <c r="C1455" s="3">
        <v>1.3316446439559232E-2</v>
      </c>
    </row>
    <row r="1456" spans="1:3" x14ac:dyDescent="0.3">
      <c r="A1456" s="3">
        <v>1432</v>
      </c>
      <c r="B1456" s="3">
        <v>-1.1137546806636617E-2</v>
      </c>
      <c r="C1456" s="3">
        <v>8.2375468066367141E-3</v>
      </c>
    </row>
    <row r="1457" spans="1:3" x14ac:dyDescent="0.3">
      <c r="A1457" s="3">
        <v>1433</v>
      </c>
      <c r="B1457" s="3">
        <v>-1.0577846412368391E-2</v>
      </c>
      <c r="C1457" s="3">
        <v>4.677846412368375E-3</v>
      </c>
    </row>
    <row r="1458" spans="1:3" x14ac:dyDescent="0.3">
      <c r="A1458" s="3">
        <v>1434</v>
      </c>
      <c r="B1458" s="3">
        <v>-9.4391456102364268E-3</v>
      </c>
      <c r="C1458" s="3">
        <v>6.4391456102365352E-3</v>
      </c>
    </row>
    <row r="1459" spans="1:3" x14ac:dyDescent="0.3">
      <c r="A1459" s="3">
        <v>1435</v>
      </c>
      <c r="B1459" s="3">
        <v>-8.8601452023727434E-3</v>
      </c>
      <c r="C1459" s="3">
        <v>2.8601452023727381E-3</v>
      </c>
    </row>
    <row r="1460" spans="1:3" x14ac:dyDescent="0.3">
      <c r="A1460" s="3">
        <v>1436</v>
      </c>
      <c r="B1460" s="3">
        <v>-7.7021443866453487E-3</v>
      </c>
      <c r="C1460" s="3">
        <v>1.3202144386645187E-2</v>
      </c>
    </row>
    <row r="1461" spans="1:3" x14ac:dyDescent="0.3">
      <c r="A1461" s="3">
        <v>1437</v>
      </c>
      <c r="B1461" s="3">
        <v>-8.7636451343954258E-3</v>
      </c>
      <c r="C1461" s="3">
        <v>3.9636451343955104E-3</v>
      </c>
    </row>
    <row r="1462" spans="1:3" x14ac:dyDescent="0.3">
      <c r="A1462" s="3">
        <v>1438</v>
      </c>
      <c r="B1462" s="3">
        <v>-7.8372444818135267E-3</v>
      </c>
      <c r="C1462" s="3">
        <v>1.1337244481813585E-2</v>
      </c>
    </row>
    <row r="1463" spans="1:3" x14ac:dyDescent="0.3">
      <c r="A1463" s="3">
        <v>1439</v>
      </c>
      <c r="B1463" s="3">
        <v>-8.5127449576545278E-3</v>
      </c>
      <c r="C1463" s="3">
        <v>1.2712744957654509E-2</v>
      </c>
    </row>
    <row r="1464" spans="1:3" x14ac:dyDescent="0.3">
      <c r="A1464" s="3">
        <v>1440</v>
      </c>
      <c r="B1464" s="3">
        <v>-9.3233455286637068E-3</v>
      </c>
      <c r="C1464" s="3">
        <v>1.3223345528663721E-2</v>
      </c>
    </row>
    <row r="1465" spans="1:3" x14ac:dyDescent="0.3">
      <c r="A1465" s="3">
        <v>1441</v>
      </c>
      <c r="B1465" s="3">
        <v>-1.0076046058886512E-2</v>
      </c>
      <c r="C1465" s="3">
        <v>7.1760460588863872E-3</v>
      </c>
    </row>
    <row r="1466" spans="1:3" x14ac:dyDescent="0.3">
      <c r="A1466" s="3">
        <v>1442</v>
      </c>
      <c r="B1466" s="3">
        <v>-9.5163456646182587E-3</v>
      </c>
      <c r="C1466" s="3">
        <v>7.9163456646182129E-3</v>
      </c>
    </row>
    <row r="1467" spans="1:3" x14ac:dyDescent="0.3">
      <c r="A1467" s="3">
        <v>1443</v>
      </c>
      <c r="B1467" s="3">
        <v>-9.2075454470909313E-3</v>
      </c>
      <c r="C1467" s="3">
        <v>4.9075454470909607E-3</v>
      </c>
    </row>
    <row r="1468" spans="1:3" x14ac:dyDescent="0.3">
      <c r="A1468" s="3">
        <v>1444</v>
      </c>
      <c r="B1468" s="3">
        <v>-8.3776448624862943E-3</v>
      </c>
      <c r="C1468" s="3">
        <v>9.4776448624863951E-3</v>
      </c>
    </row>
    <row r="1469" spans="1:3" x14ac:dyDescent="0.3">
      <c r="A1469" s="3">
        <v>1445</v>
      </c>
      <c r="B1469" s="3">
        <v>-8.5899450120363319E-3</v>
      </c>
      <c r="C1469" s="3">
        <v>9.4899450120362328E-3</v>
      </c>
    </row>
    <row r="1470" spans="1:3" x14ac:dyDescent="0.3">
      <c r="A1470" s="3">
        <v>1446</v>
      </c>
      <c r="B1470" s="3">
        <v>-8.7636451343954258E-3</v>
      </c>
      <c r="C1470" s="3">
        <v>9.4636451343955708E-3</v>
      </c>
    </row>
    <row r="1471" spans="1:3" x14ac:dyDescent="0.3">
      <c r="A1471" s="3">
        <v>1447</v>
      </c>
      <c r="B1471" s="3">
        <v>-8.8987452295636593E-3</v>
      </c>
      <c r="C1471" s="3">
        <v>1.0798745229563672E-2</v>
      </c>
    </row>
    <row r="1472" spans="1:3" x14ac:dyDescent="0.3">
      <c r="A1472" s="3">
        <v>1448</v>
      </c>
      <c r="B1472" s="3">
        <v>-9.2654454878773329E-3</v>
      </c>
      <c r="C1472" s="3">
        <v>9.8654454878772668E-3</v>
      </c>
    </row>
    <row r="1473" spans="1:3" x14ac:dyDescent="0.3">
      <c r="A1473" s="3">
        <v>1449</v>
      </c>
      <c r="B1473" s="3">
        <v>-9.3812455694500807E-3</v>
      </c>
      <c r="C1473" s="3">
        <v>4.3812455694499652E-3</v>
      </c>
    </row>
    <row r="1474" spans="1:3" x14ac:dyDescent="0.3">
      <c r="A1474" s="3">
        <v>1450</v>
      </c>
      <c r="B1474" s="3">
        <v>-8.4162448896772102E-3</v>
      </c>
      <c r="C1474" s="3">
        <v>4.9162448896773736E-3</v>
      </c>
    </row>
    <row r="1475" spans="1:3" x14ac:dyDescent="0.3">
      <c r="A1475" s="3">
        <v>1451</v>
      </c>
      <c r="B1475" s="3">
        <v>-7.7407444138362647E-3</v>
      </c>
      <c r="C1475" s="3">
        <v>4.640744413836162E-3</v>
      </c>
    </row>
    <row r="1476" spans="1:3" x14ac:dyDescent="0.3">
      <c r="A1476" s="3">
        <v>1452</v>
      </c>
      <c r="B1476" s="3">
        <v>-7.1424439923770677E-3</v>
      </c>
      <c r="C1476" s="3">
        <v>5.6424439923770109E-3</v>
      </c>
    </row>
    <row r="1477" spans="1:3" x14ac:dyDescent="0.3">
      <c r="A1477" s="3">
        <v>1453</v>
      </c>
      <c r="B1477" s="3">
        <v>-6.8529437884451982E-3</v>
      </c>
      <c r="C1477" s="3">
        <v>3.2529437884453727E-3</v>
      </c>
    </row>
    <row r="1478" spans="1:3" x14ac:dyDescent="0.3">
      <c r="A1478" s="3">
        <v>1454</v>
      </c>
      <c r="B1478" s="3">
        <v>-6.1581432990087948E-3</v>
      </c>
      <c r="C1478" s="3">
        <v>6.9581432990087067E-3</v>
      </c>
    </row>
    <row r="1479" spans="1:3" x14ac:dyDescent="0.3">
      <c r="A1479" s="3">
        <v>1455</v>
      </c>
      <c r="B1479" s="3">
        <v>-6.3125434077724307E-3</v>
      </c>
      <c r="C1479" s="3">
        <v>1.1812543407772491E-2</v>
      </c>
    </row>
    <row r="1480" spans="1:3" x14ac:dyDescent="0.3">
      <c r="A1480" s="3">
        <v>1456</v>
      </c>
      <c r="B1480" s="3">
        <v>-7.3740441555225633E-3</v>
      </c>
      <c r="C1480" s="3">
        <v>9.2740441555225761E-3</v>
      </c>
    </row>
    <row r="1481" spans="1:3" x14ac:dyDescent="0.3">
      <c r="A1481" s="3">
        <v>1457</v>
      </c>
      <c r="B1481" s="3">
        <v>-7.7407444138362647E-3</v>
      </c>
      <c r="C1481" s="3">
        <v>6.8407444138361417E-3</v>
      </c>
    </row>
    <row r="1482" spans="1:3" x14ac:dyDescent="0.3">
      <c r="A1482" s="3">
        <v>1458</v>
      </c>
      <c r="B1482" s="3">
        <v>-7.5670442914771152E-3</v>
      </c>
      <c r="C1482" s="3">
        <v>9.9670442914770729E-3</v>
      </c>
    </row>
    <row r="1483" spans="1:3" x14ac:dyDescent="0.3">
      <c r="A1483" s="3">
        <v>1459</v>
      </c>
      <c r="B1483" s="3">
        <v>-8.0302446177680786E-3</v>
      </c>
      <c r="C1483" s="3">
        <v>9.2302446177681685E-3</v>
      </c>
    </row>
    <row r="1484" spans="1:3" x14ac:dyDescent="0.3">
      <c r="A1484" s="3">
        <v>1460</v>
      </c>
      <c r="B1484" s="3">
        <v>-8.2618447809135742E-3</v>
      </c>
      <c r="C1484" s="3">
        <v>1.2861844780913512E-2</v>
      </c>
    </row>
    <row r="1485" spans="1:3" x14ac:dyDescent="0.3">
      <c r="A1485" s="3">
        <v>1461</v>
      </c>
      <c r="B1485" s="3">
        <v>-9.1496454063045574E-3</v>
      </c>
      <c r="C1485" s="3">
        <v>7.3496454063045336E-3</v>
      </c>
    </row>
    <row r="1486" spans="1:3" x14ac:dyDescent="0.3">
      <c r="A1486" s="3">
        <v>1462</v>
      </c>
      <c r="B1486" s="3">
        <v>-8.8022451615863417E-3</v>
      </c>
      <c r="C1486" s="3">
        <v>5.9022451615864391E-3</v>
      </c>
    </row>
    <row r="1487" spans="1:3" x14ac:dyDescent="0.3">
      <c r="A1487" s="3">
        <v>1463</v>
      </c>
      <c r="B1487" s="3">
        <v>-8.2425447673181163E-3</v>
      </c>
      <c r="C1487" s="3">
        <v>7.0425447673180264E-3</v>
      </c>
    </row>
    <row r="1488" spans="1:3" x14ac:dyDescent="0.3">
      <c r="A1488" s="3">
        <v>1464</v>
      </c>
      <c r="B1488" s="3">
        <v>-8.0109446041726207E-3</v>
      </c>
      <c r="C1488" s="3">
        <v>3.6109446041726612E-3</v>
      </c>
    </row>
    <row r="1489" spans="1:3" x14ac:dyDescent="0.3">
      <c r="A1489" s="3">
        <v>1465</v>
      </c>
      <c r="B1489" s="3">
        <v>-7.1617440059725257E-3</v>
      </c>
      <c r="C1489" s="3">
        <v>6.3617440059726138E-3</v>
      </c>
    </row>
    <row r="1490" spans="1:3" x14ac:dyDescent="0.3">
      <c r="A1490" s="3">
        <v>1466</v>
      </c>
      <c r="B1490" s="3">
        <v>-7.0073438972088897E-3</v>
      </c>
      <c r="C1490" s="3">
        <v>5.4073438972088439E-3</v>
      </c>
    </row>
    <row r="1491" spans="1:3" x14ac:dyDescent="0.3">
      <c r="A1491" s="3">
        <v>1467</v>
      </c>
      <c r="B1491" s="3">
        <v>-6.6985436796815623E-3</v>
      </c>
      <c r="C1491" s="3">
        <v>7.5985436796814632E-3</v>
      </c>
    </row>
    <row r="1492" spans="1:3" x14ac:dyDescent="0.3">
      <c r="A1492" s="3">
        <v>1468</v>
      </c>
      <c r="B1492" s="3">
        <v>-6.8722438020406562E-3</v>
      </c>
      <c r="C1492" s="3">
        <v>1.1772243802040783E-2</v>
      </c>
    </row>
    <row r="1493" spans="1:3" x14ac:dyDescent="0.3">
      <c r="A1493" s="3">
        <v>1469</v>
      </c>
      <c r="B1493" s="3">
        <v>-7.8179444682180688E-3</v>
      </c>
      <c r="C1493" s="3">
        <v>1.0417944468218004E-2</v>
      </c>
    </row>
    <row r="1494" spans="1:3" x14ac:dyDescent="0.3">
      <c r="A1494" s="3">
        <v>1470</v>
      </c>
      <c r="B1494" s="3">
        <v>-8.3197448216999481E-3</v>
      </c>
      <c r="C1494" s="3">
        <v>8.3197448216999481E-3</v>
      </c>
    </row>
    <row r="1495" spans="1:3" x14ac:dyDescent="0.3">
      <c r="A1495" s="3">
        <v>1471</v>
      </c>
      <c r="B1495" s="3">
        <v>-8.3197448216999481E-3</v>
      </c>
      <c r="C1495" s="3">
        <v>8.3197448216999481E-3</v>
      </c>
    </row>
    <row r="1496" spans="1:3" x14ac:dyDescent="0.3">
      <c r="A1496" s="3">
        <v>1472</v>
      </c>
      <c r="B1496" s="3">
        <v>-8.3197448216999481E-3</v>
      </c>
      <c r="C1496" s="3">
        <v>9.619744821700027E-3</v>
      </c>
    </row>
    <row r="1497" spans="1:3" x14ac:dyDescent="0.3">
      <c r="A1497" s="3">
        <v>1473</v>
      </c>
      <c r="B1497" s="3">
        <v>-8.5706449984409017E-3</v>
      </c>
      <c r="C1497" s="3">
        <v>1.0170644998440947E-2</v>
      </c>
    </row>
    <row r="1498" spans="1:3" x14ac:dyDescent="0.3">
      <c r="A1498" s="3">
        <v>1474</v>
      </c>
      <c r="B1498" s="3">
        <v>-8.8794452159682014E-3</v>
      </c>
      <c r="C1498" s="3">
        <v>1.3279445215968161E-2</v>
      </c>
    </row>
    <row r="1499" spans="1:3" x14ac:dyDescent="0.3">
      <c r="A1499" s="3">
        <v>1475</v>
      </c>
      <c r="B1499" s="3">
        <v>-9.7286458141682963E-3</v>
      </c>
      <c r="C1499" s="3">
        <v>7.2286458141681276E-3</v>
      </c>
    </row>
    <row r="1500" spans="1:3" x14ac:dyDescent="0.3">
      <c r="A1500" s="3">
        <v>1476</v>
      </c>
      <c r="B1500" s="3">
        <v>-9.2461454742818472E-3</v>
      </c>
      <c r="C1500" s="3">
        <v>8.9461454742818802E-3</v>
      </c>
    </row>
    <row r="1501" spans="1:3" x14ac:dyDescent="0.3">
      <c r="A1501" s="3">
        <v>1477</v>
      </c>
      <c r="B1501" s="3">
        <v>-9.1882454334954733E-3</v>
      </c>
      <c r="C1501" s="3">
        <v>8.6882454334955284E-3</v>
      </c>
    </row>
    <row r="1502" spans="1:3" x14ac:dyDescent="0.3">
      <c r="A1502" s="3">
        <v>1478</v>
      </c>
      <c r="B1502" s="3">
        <v>-9.0917453655182112E-3</v>
      </c>
      <c r="C1502" s="3">
        <v>8.0917453655183214E-3</v>
      </c>
    </row>
    <row r="1503" spans="1:3" x14ac:dyDescent="0.3">
      <c r="A1503" s="3">
        <v>1479</v>
      </c>
      <c r="B1503" s="3">
        <v>-8.8987452295636593E-3</v>
      </c>
      <c r="C1503" s="3">
        <v>1.5598745229563588E-2</v>
      </c>
    </row>
    <row r="1504" spans="1:3" x14ac:dyDescent="0.3">
      <c r="A1504" s="3">
        <v>1480</v>
      </c>
      <c r="B1504" s="3">
        <v>-1.019184614045926E-2</v>
      </c>
      <c r="C1504" s="3">
        <v>1.4691846140459208E-2</v>
      </c>
    </row>
    <row r="1505" spans="1:3" x14ac:dyDescent="0.3">
      <c r="A1505" s="3">
        <v>1481</v>
      </c>
      <c r="B1505" s="3">
        <v>-1.1060346752254785E-2</v>
      </c>
      <c r="C1505" s="3">
        <v>1.0660346752254829E-2</v>
      </c>
    </row>
    <row r="1506" spans="1:3" x14ac:dyDescent="0.3">
      <c r="A1506" s="3">
        <v>1482</v>
      </c>
      <c r="B1506" s="3">
        <v>-1.0983146697872981E-2</v>
      </c>
      <c r="C1506" s="3">
        <v>1.2883146697872994E-2</v>
      </c>
    </row>
    <row r="1507" spans="1:3" x14ac:dyDescent="0.3">
      <c r="A1507" s="3">
        <v>1483</v>
      </c>
      <c r="B1507" s="3">
        <v>-1.1349846956186654E-2</v>
      </c>
      <c r="C1507" s="3">
        <v>1.074984695618672E-2</v>
      </c>
    </row>
    <row r="1508" spans="1:3" x14ac:dyDescent="0.3">
      <c r="A1508" s="3">
        <v>1484</v>
      </c>
      <c r="B1508" s="3">
        <v>-1.1234046874613934E-2</v>
      </c>
      <c r="C1508" s="3">
        <v>1.0534046874613789E-2</v>
      </c>
    </row>
    <row r="1509" spans="1:3" x14ac:dyDescent="0.3">
      <c r="A1509" s="3">
        <v>1485</v>
      </c>
      <c r="B1509" s="3">
        <v>-1.1098946779445701E-2</v>
      </c>
      <c r="C1509" s="3">
        <v>9.0989467794456991E-3</v>
      </c>
    </row>
    <row r="1510" spans="1:3" x14ac:dyDescent="0.3">
      <c r="A1510" s="3">
        <v>1486</v>
      </c>
      <c r="B1510" s="3">
        <v>-1.0712946507536569E-2</v>
      </c>
      <c r="C1510" s="3">
        <v>9.3129465075367235E-3</v>
      </c>
    </row>
    <row r="1511" spans="1:3" x14ac:dyDescent="0.3">
      <c r="A1511" s="3">
        <v>1487</v>
      </c>
      <c r="B1511" s="3">
        <v>-1.0442746317200213E-2</v>
      </c>
      <c r="C1511" s="3">
        <v>1.5442746317200107E-2</v>
      </c>
    </row>
    <row r="1512" spans="1:3" x14ac:dyDescent="0.3">
      <c r="A1512" s="3">
        <v>1488</v>
      </c>
      <c r="B1512" s="3">
        <v>-1.1407746996973028E-2</v>
      </c>
      <c r="C1512" s="3">
        <v>1.5107746996973065E-2</v>
      </c>
    </row>
    <row r="1513" spans="1:3" x14ac:dyDescent="0.3">
      <c r="A1513" s="3">
        <v>1489</v>
      </c>
      <c r="B1513" s="3">
        <v>-1.2121847500004945E-2</v>
      </c>
      <c r="C1513" s="3">
        <v>1.1121847500004833E-2</v>
      </c>
    </row>
    <row r="1514" spans="1:3" x14ac:dyDescent="0.3">
      <c r="A1514" s="3">
        <v>1490</v>
      </c>
      <c r="B1514" s="3">
        <v>-1.1928847364050338E-2</v>
      </c>
      <c r="C1514" s="3">
        <v>1.1428847364050393E-2</v>
      </c>
    </row>
    <row r="1515" spans="1:3" x14ac:dyDescent="0.3">
      <c r="A1515" s="3">
        <v>1491</v>
      </c>
      <c r="B1515" s="3">
        <v>-1.1832347296073076E-2</v>
      </c>
      <c r="C1515" s="3">
        <v>1.0532347296072997E-2</v>
      </c>
    </row>
    <row r="1516" spans="1:3" x14ac:dyDescent="0.3">
      <c r="A1516" s="3">
        <v>1492</v>
      </c>
      <c r="B1516" s="3">
        <v>-1.1581447119332122E-2</v>
      </c>
      <c r="C1516" s="3">
        <v>1.1881447119332311E-2</v>
      </c>
    </row>
    <row r="1517" spans="1:3" x14ac:dyDescent="0.3">
      <c r="A1517" s="3">
        <v>1493</v>
      </c>
      <c r="B1517" s="3">
        <v>-1.1639347160118524E-2</v>
      </c>
      <c r="C1517" s="3">
        <v>9.4393471601185441E-3</v>
      </c>
    </row>
    <row r="1518" spans="1:3" x14ac:dyDescent="0.3">
      <c r="A1518" s="3">
        <v>1494</v>
      </c>
      <c r="B1518" s="3">
        <v>-1.1214746861018476E-2</v>
      </c>
      <c r="C1518" s="3">
        <v>1.0714746861018309E-2</v>
      </c>
    </row>
    <row r="1519" spans="1:3" x14ac:dyDescent="0.3">
      <c r="A1519" s="3">
        <v>1495</v>
      </c>
      <c r="B1519" s="3">
        <v>-1.1118246793041159E-2</v>
      </c>
      <c r="C1519" s="3">
        <v>1.1818246793041304E-2</v>
      </c>
    </row>
    <row r="1520" spans="1:3" x14ac:dyDescent="0.3">
      <c r="A1520" s="3">
        <v>1496</v>
      </c>
      <c r="B1520" s="3">
        <v>-1.1253346888209392E-2</v>
      </c>
      <c r="C1520" s="3">
        <v>8.5533468882092456E-3</v>
      </c>
    </row>
    <row r="1521" spans="1:3" x14ac:dyDescent="0.3">
      <c r="A1521" s="3">
        <v>1497</v>
      </c>
      <c r="B1521" s="3">
        <v>-1.0732246521132027E-2</v>
      </c>
      <c r="C1521" s="3">
        <v>1.0832246521132016E-2</v>
      </c>
    </row>
    <row r="1522" spans="1:3" x14ac:dyDescent="0.3">
      <c r="A1522" s="3">
        <v>1498</v>
      </c>
      <c r="B1522" s="3">
        <v>-1.0751546534727485E-2</v>
      </c>
      <c r="C1522" s="3">
        <v>7.2515465347276487E-3</v>
      </c>
    </row>
    <row r="1523" spans="1:3" x14ac:dyDescent="0.3">
      <c r="A1523" s="3">
        <v>1499</v>
      </c>
      <c r="B1523" s="3">
        <v>-1.0076046058886512E-2</v>
      </c>
      <c r="C1523" s="3">
        <v>8.7760460588864331E-3</v>
      </c>
    </row>
    <row r="1524" spans="1:3" x14ac:dyDescent="0.3">
      <c r="A1524" s="3">
        <v>1500</v>
      </c>
      <c r="B1524" s="3">
        <v>-9.8251458821455584E-3</v>
      </c>
      <c r="C1524" s="3">
        <v>8.3251458821455016E-3</v>
      </c>
    </row>
    <row r="1525" spans="1:3" x14ac:dyDescent="0.3">
      <c r="A1525" s="3">
        <v>1501</v>
      </c>
      <c r="B1525" s="3">
        <v>-9.5356456782137167E-3</v>
      </c>
      <c r="C1525" s="3">
        <v>6.635645678213814E-3</v>
      </c>
    </row>
    <row r="1526" spans="1:3" x14ac:dyDescent="0.3">
      <c r="A1526" s="3">
        <v>1502</v>
      </c>
      <c r="B1526" s="3">
        <v>-8.9759452839454912E-3</v>
      </c>
      <c r="C1526" s="3">
        <v>1.2875945283945506E-2</v>
      </c>
    </row>
    <row r="1527" spans="1:3" x14ac:dyDescent="0.3">
      <c r="A1527" s="3">
        <v>1503</v>
      </c>
      <c r="B1527" s="3">
        <v>-9.7286458141682963E-3</v>
      </c>
      <c r="C1527" s="3">
        <v>7.4286458141683276E-3</v>
      </c>
    </row>
    <row r="1528" spans="1:3" x14ac:dyDescent="0.3">
      <c r="A1528" s="3">
        <v>1504</v>
      </c>
      <c r="B1528" s="3">
        <v>-9.2847455014727909E-3</v>
      </c>
      <c r="C1528" s="3">
        <v>8.8847455014726129E-3</v>
      </c>
    </row>
    <row r="1529" spans="1:3" x14ac:dyDescent="0.3">
      <c r="A1529" s="3">
        <v>1505</v>
      </c>
      <c r="B1529" s="3">
        <v>-9.2075454470909313E-3</v>
      </c>
      <c r="C1529" s="3">
        <v>5.8075454470910837E-3</v>
      </c>
    </row>
    <row r="1530" spans="1:3" x14ac:dyDescent="0.3">
      <c r="A1530" s="3">
        <v>1506</v>
      </c>
      <c r="B1530" s="3">
        <v>-8.5513449848454437E-3</v>
      </c>
      <c r="C1530" s="3">
        <v>6.151344984845486E-3</v>
      </c>
    </row>
    <row r="1531" spans="1:3" x14ac:dyDescent="0.3">
      <c r="A1531" s="3">
        <v>1507</v>
      </c>
      <c r="B1531" s="3">
        <v>-8.0881446585544803E-3</v>
      </c>
      <c r="C1531" s="3">
        <v>1.3988144658554275E-2</v>
      </c>
    </row>
    <row r="1532" spans="1:3" x14ac:dyDescent="0.3">
      <c r="A1532" s="3">
        <v>1508</v>
      </c>
      <c r="B1532" s="3">
        <v>-9.2268454606863892E-3</v>
      </c>
      <c r="C1532" s="3">
        <v>1.7126845460686407E-2</v>
      </c>
    </row>
    <row r="1533" spans="1:3" x14ac:dyDescent="0.3">
      <c r="A1533" s="3">
        <v>1509</v>
      </c>
      <c r="B1533" s="3">
        <v>-1.0751546534727485E-2</v>
      </c>
      <c r="C1533" s="3">
        <v>6.8515465347274707E-3</v>
      </c>
    </row>
    <row r="1534" spans="1:3" x14ac:dyDescent="0.3">
      <c r="A1534" s="3">
        <v>1510</v>
      </c>
      <c r="B1534" s="3">
        <v>-9.9988460045046523E-3</v>
      </c>
      <c r="C1534" s="3">
        <v>1.699884600450477E-2</v>
      </c>
    </row>
    <row r="1535" spans="1:3" x14ac:dyDescent="0.3">
      <c r="A1535" s="3">
        <v>1511</v>
      </c>
      <c r="B1535" s="3">
        <v>-1.1349846956186654E-2</v>
      </c>
      <c r="C1535" s="3">
        <v>1.9249846956186673E-2</v>
      </c>
    </row>
    <row r="1536" spans="1:3" x14ac:dyDescent="0.3">
      <c r="A1536" s="3">
        <v>1512</v>
      </c>
      <c r="B1536" s="3">
        <v>-1.287454803022775E-2</v>
      </c>
      <c r="C1536" s="3">
        <v>1.727454803022771E-2</v>
      </c>
    </row>
    <row r="1537" spans="1:3" ht="16.5" thickBot="1" x14ac:dyDescent="0.35">
      <c r="A1537" s="4">
        <v>1513</v>
      </c>
      <c r="B1537" s="4">
        <v>-1.3723748628427845E-2</v>
      </c>
      <c r="C1537" s="4">
        <v>3.0123748628427816E-2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7168-D106-4802-9A58-8A98F195B0A5}">
  <dimension ref="A1:I1539"/>
  <sheetViews>
    <sheetView workbookViewId="0">
      <selection activeCell="B8" sqref="B8"/>
    </sheetView>
  </sheetViews>
  <sheetFormatPr defaultRowHeight="15.9" x14ac:dyDescent="0.3"/>
  <sheetData>
    <row r="1" spans="1:9" x14ac:dyDescent="0.3">
      <c r="A1" t="s">
        <v>10</v>
      </c>
    </row>
    <row r="2" spans="1:9" ht="16.5" thickBot="1" x14ac:dyDescent="0.35"/>
    <row r="3" spans="1:9" x14ac:dyDescent="0.3">
      <c r="A3" s="6" t="s">
        <v>11</v>
      </c>
      <c r="B3" s="6"/>
    </row>
    <row r="4" spans="1:9" x14ac:dyDescent="0.3">
      <c r="A4" s="3" t="s">
        <v>12</v>
      </c>
      <c r="B4" s="3">
        <v>0.89778454387682705</v>
      </c>
    </row>
    <row r="5" spans="1:9" x14ac:dyDescent="0.3">
      <c r="A5" s="3" t="s">
        <v>13</v>
      </c>
      <c r="B5" s="3">
        <v>0.80601708722412246</v>
      </c>
    </row>
    <row r="6" spans="1:9" x14ac:dyDescent="0.3">
      <c r="A6" s="3" t="s">
        <v>14</v>
      </c>
      <c r="B6" s="3">
        <v>0.80563143531005521</v>
      </c>
    </row>
    <row r="7" spans="1:9" x14ac:dyDescent="0.3">
      <c r="A7" s="3" t="s">
        <v>15</v>
      </c>
      <c r="B7" s="3">
        <v>2.5791510752001062E-2</v>
      </c>
    </row>
    <row r="8" spans="1:9" ht="16.5" thickBot="1" x14ac:dyDescent="0.35">
      <c r="A8" s="4" t="s">
        <v>16</v>
      </c>
      <c r="B8" s="4">
        <v>1513</v>
      </c>
    </row>
    <row r="10" spans="1:9" ht="16.5" thickBot="1" x14ac:dyDescent="0.35">
      <c r="A10" t="s">
        <v>17</v>
      </c>
    </row>
    <row r="11" spans="1:9" x14ac:dyDescent="0.3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">
      <c r="A12" s="3" t="s">
        <v>18</v>
      </c>
      <c r="B12" s="3">
        <v>3</v>
      </c>
      <c r="C12" s="3">
        <v>4.1708404435937219</v>
      </c>
      <c r="D12" s="3">
        <v>1.3902801478645739</v>
      </c>
      <c r="E12" s="3">
        <v>2090.0118936875247</v>
      </c>
      <c r="F12" s="3">
        <v>0</v>
      </c>
    </row>
    <row r="13" spans="1:9" x14ac:dyDescent="0.3">
      <c r="A13" s="3" t="s">
        <v>19</v>
      </c>
      <c r="B13" s="3">
        <v>1509</v>
      </c>
      <c r="C13" s="3">
        <v>1.0037898585477147</v>
      </c>
      <c r="D13" s="3">
        <v>6.6520202687058631E-4</v>
      </c>
      <c r="E13" s="3"/>
      <c r="F13" s="3"/>
    </row>
    <row r="14" spans="1:9" ht="16.5" thickBot="1" x14ac:dyDescent="0.35">
      <c r="A14" s="4" t="s">
        <v>20</v>
      </c>
      <c r="B14" s="4">
        <v>1512</v>
      </c>
      <c r="C14" s="4">
        <v>5.1746303021414368</v>
      </c>
      <c r="D14" s="4"/>
      <c r="E14" s="4"/>
      <c r="F14" s="4"/>
    </row>
    <row r="15" spans="1:9" ht="16.5" thickBot="1" x14ac:dyDescent="0.35"/>
    <row r="16" spans="1:9" x14ac:dyDescent="0.3">
      <c r="A16" s="5"/>
      <c r="B16" s="5" t="s">
        <v>27</v>
      </c>
      <c r="C16" s="5" t="s">
        <v>15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33</v>
      </c>
    </row>
    <row r="17" spans="1:9" x14ac:dyDescent="0.3">
      <c r="A17" s="3" t="s">
        <v>21</v>
      </c>
      <c r="B17" s="3">
        <v>0.21546494090726706</v>
      </c>
      <c r="C17" s="3">
        <v>1.1355121570087882E-2</v>
      </c>
      <c r="D17" s="3">
        <v>18.975132901690234</v>
      </c>
      <c r="E17" s="3">
        <v>3.5563721281880497E-72</v>
      </c>
      <c r="F17" s="3">
        <v>0.19319144632800722</v>
      </c>
      <c r="G17" s="3">
        <v>0.2377384354865269</v>
      </c>
      <c r="H17" s="3">
        <v>0.19319144632800722</v>
      </c>
      <c r="I17" s="3">
        <v>0.2377384354865269</v>
      </c>
    </row>
    <row r="18" spans="1:9" x14ac:dyDescent="0.3">
      <c r="A18" s="3" t="s">
        <v>6</v>
      </c>
      <c r="B18" s="3">
        <v>0.80421138205365805</v>
      </c>
      <c r="C18" s="3">
        <v>2.5267438110631889E-2</v>
      </c>
      <c r="D18" s="3">
        <v>31.827974744905642</v>
      </c>
      <c r="E18" s="3">
        <v>1.6290449216632791E-170</v>
      </c>
      <c r="F18" s="3">
        <v>0.75464835956066434</v>
      </c>
      <c r="G18" s="3">
        <v>0.85377440454665177</v>
      </c>
      <c r="H18" s="3">
        <v>0.75464835956066434</v>
      </c>
      <c r="I18" s="3">
        <v>0.85377440454665177</v>
      </c>
    </row>
    <row r="19" spans="1:9" x14ac:dyDescent="0.3">
      <c r="A19" s="3" t="s">
        <v>7</v>
      </c>
      <c r="B19" s="3">
        <v>-6.5744047911257646E-4</v>
      </c>
      <c r="C19" s="3">
        <v>3.2666541427368058E-2</v>
      </c>
      <c r="D19" s="3">
        <v>-2.0125806111869933E-2</v>
      </c>
      <c r="E19" s="3">
        <v>0.98394567471280947</v>
      </c>
      <c r="F19" s="3">
        <v>-6.4734080162329871E-2</v>
      </c>
      <c r="G19" s="3">
        <v>6.3419199204104715E-2</v>
      </c>
      <c r="H19" s="3">
        <v>-6.4734080162329871E-2</v>
      </c>
      <c r="I19" s="3">
        <v>6.3419199204104715E-2</v>
      </c>
    </row>
    <row r="20" spans="1:9" ht="16.5" thickBot="1" x14ac:dyDescent="0.35">
      <c r="A20" s="4" t="s">
        <v>8</v>
      </c>
      <c r="B20" s="4">
        <v>3.4493932927654697E-3</v>
      </c>
      <c r="C20" s="4">
        <v>2.3141905692232824E-2</v>
      </c>
      <c r="D20" s="4">
        <v>0.14905398624639621</v>
      </c>
      <c r="E20" s="4">
        <v>0.88153095051607688</v>
      </c>
      <c r="F20" s="4">
        <v>-4.1944318065421364E-2</v>
      </c>
      <c r="G20" s="4">
        <v>4.8843104650952297E-2</v>
      </c>
      <c r="H20" s="4">
        <v>-4.1944318065421364E-2</v>
      </c>
      <c r="I20" s="4">
        <v>4.8843104650952297E-2</v>
      </c>
    </row>
    <row r="24" spans="1:9" x14ac:dyDescent="0.3">
      <c r="A24" t="s">
        <v>34</v>
      </c>
    </row>
    <row r="25" spans="1:9" ht="16.5" thickBot="1" x14ac:dyDescent="0.35"/>
    <row r="26" spans="1:9" x14ac:dyDescent="0.3">
      <c r="A26" s="5" t="s">
        <v>35</v>
      </c>
      <c r="B26" s="5" t="s">
        <v>43</v>
      </c>
      <c r="C26" s="5" t="s">
        <v>37</v>
      </c>
    </row>
    <row r="27" spans="1:9" x14ac:dyDescent="0.3">
      <c r="A27" s="3">
        <v>1</v>
      </c>
      <c r="B27" s="3">
        <v>0.21546494090726706</v>
      </c>
      <c r="C27" s="3">
        <v>0.87723505909273292</v>
      </c>
    </row>
    <row r="28" spans="1:9" x14ac:dyDescent="0.3">
      <c r="A28" s="3">
        <v>2</v>
      </c>
      <c r="B28" s="3">
        <v>1.0942267180772991</v>
      </c>
      <c r="C28" s="3">
        <v>-7.2671807729918214E-4</v>
      </c>
    </row>
    <row r="29" spans="1:9" x14ac:dyDescent="0.3">
      <c r="A29" s="3">
        <v>3</v>
      </c>
      <c r="B29" s="3">
        <v>1.0941517019714158</v>
      </c>
      <c r="C29" s="3">
        <v>-2.8517019714158209E-3</v>
      </c>
    </row>
    <row r="30" spans="1:9" x14ac:dyDescent="0.3">
      <c r="A30" s="3">
        <v>4</v>
      </c>
      <c r="B30" s="3">
        <v>1.0961510630295193</v>
      </c>
      <c r="C30" s="3">
        <v>1.7489369704808411E-3</v>
      </c>
    </row>
    <row r="31" spans="1:9" x14ac:dyDescent="0.3">
      <c r="A31" s="3">
        <v>5</v>
      </c>
      <c r="B31" s="3">
        <v>1.1014630640347616</v>
      </c>
      <c r="C31" s="3">
        <v>-1.0763064034761571E-2</v>
      </c>
    </row>
    <row r="32" spans="1:9" x14ac:dyDescent="0.3">
      <c r="A32" s="3">
        <v>6</v>
      </c>
      <c r="B32" s="3">
        <v>1.0956608143115691</v>
      </c>
      <c r="C32" s="3">
        <v>-1.2160814311569235E-2</v>
      </c>
    </row>
    <row r="33" spans="1:3" x14ac:dyDescent="0.3">
      <c r="A33" s="3">
        <v>7</v>
      </c>
      <c r="B33" s="3">
        <v>1.0898979919279645</v>
      </c>
      <c r="C33" s="3">
        <v>-2.2979919279646488E-3</v>
      </c>
    </row>
    <row r="34" spans="1:3" x14ac:dyDescent="0.3">
      <c r="A34" s="3">
        <v>8</v>
      </c>
      <c r="B34" s="3">
        <v>1.0931751565341263</v>
      </c>
      <c r="C34" s="3">
        <v>-6.9751565341262811E-3</v>
      </c>
    </row>
    <row r="35" spans="1:3" x14ac:dyDescent="0.3">
      <c r="A35" s="3">
        <v>9</v>
      </c>
      <c r="B35" s="3">
        <v>1.092021729461579</v>
      </c>
      <c r="C35" s="3">
        <v>-6.4217294615791509E-3</v>
      </c>
    </row>
    <row r="36" spans="1:3" x14ac:dyDescent="0.3">
      <c r="A36" s="3">
        <v>10</v>
      </c>
      <c r="B36" s="3">
        <v>1.0915542655615178</v>
      </c>
      <c r="C36" s="3">
        <v>-9.3542655615177495E-3</v>
      </c>
    </row>
    <row r="37" spans="1:3" x14ac:dyDescent="0.3">
      <c r="A37" s="3">
        <v>11</v>
      </c>
      <c r="B37" s="3">
        <v>1.0888155121762131</v>
      </c>
      <c r="C37" s="3">
        <v>-1.1215512176213194E-2</v>
      </c>
    </row>
    <row r="38" spans="1:3" x14ac:dyDescent="0.3">
      <c r="A38" s="3">
        <v>12</v>
      </c>
      <c r="B38" s="3">
        <v>1.0851163054804194</v>
      </c>
      <c r="C38" s="3">
        <v>-3.1163054804193013E-3</v>
      </c>
    </row>
    <row r="39" spans="1:3" x14ac:dyDescent="0.3">
      <c r="A39" s="3">
        <v>13</v>
      </c>
      <c r="B39" s="3">
        <v>1.0886461318504643</v>
      </c>
      <c r="C39" s="3">
        <v>-5.8461318504643423E-3</v>
      </c>
    </row>
    <row r="40" spans="1:3" x14ac:dyDescent="0.3">
      <c r="A40" s="3">
        <v>14</v>
      </c>
      <c r="B40" s="3">
        <v>1.0892707410088522</v>
      </c>
      <c r="C40" s="3">
        <v>-7.4707410088521442E-3</v>
      </c>
    </row>
    <row r="41" spans="1:3" x14ac:dyDescent="0.3">
      <c r="A41" s="3">
        <v>15</v>
      </c>
      <c r="B41" s="3">
        <v>1.0884811810049035</v>
      </c>
      <c r="C41" s="3">
        <v>-1.1811810049036087E-3</v>
      </c>
    </row>
    <row r="42" spans="1:3" x14ac:dyDescent="0.3">
      <c r="A42" s="3">
        <v>16</v>
      </c>
      <c r="B42" s="3">
        <v>1.0929077605613118</v>
      </c>
      <c r="C42" s="3">
        <v>2.5922394386881376E-3</v>
      </c>
    </row>
    <row r="43" spans="1:3" x14ac:dyDescent="0.3">
      <c r="A43" s="3">
        <v>17</v>
      </c>
      <c r="B43" s="3">
        <v>1.0994952285782238</v>
      </c>
      <c r="C43" s="3">
        <v>-1.1952285782237393E-3</v>
      </c>
    </row>
    <row r="44" spans="1:3" x14ac:dyDescent="0.3">
      <c r="A44" s="3">
        <v>18</v>
      </c>
      <c r="B44" s="3">
        <v>1.1017606010991559</v>
      </c>
      <c r="C44" s="3">
        <v>-1.1160601099155842E-2</v>
      </c>
    </row>
    <row r="45" spans="1:3" x14ac:dyDescent="0.3">
      <c r="A45" s="3">
        <v>19</v>
      </c>
      <c r="B45" s="3">
        <v>1.0955946176490017</v>
      </c>
      <c r="C45" s="3">
        <v>-1.1794617649001582E-2</v>
      </c>
    </row>
    <row r="46" spans="1:3" x14ac:dyDescent="0.3">
      <c r="A46" s="3">
        <v>20</v>
      </c>
      <c r="B46" s="3">
        <v>1.0901407008439459</v>
      </c>
      <c r="C46" s="3">
        <v>-1.0740700843945961E-2</v>
      </c>
    </row>
    <row r="47" spans="1:3" x14ac:dyDescent="0.3">
      <c r="A47" s="3">
        <v>21</v>
      </c>
      <c r="B47" s="3">
        <v>1.0865800810298132</v>
      </c>
      <c r="C47" s="3">
        <v>-3.3800810298132422E-3</v>
      </c>
    </row>
    <row r="48" spans="1:3" x14ac:dyDescent="0.3">
      <c r="A48" s="3">
        <v>22</v>
      </c>
      <c r="B48" s="3">
        <v>1.0896155211453344</v>
      </c>
      <c r="C48" s="3">
        <v>-5.6155211453343679E-3</v>
      </c>
    </row>
    <row r="49" spans="1:3" x14ac:dyDescent="0.3">
      <c r="A49" s="3">
        <v>23</v>
      </c>
      <c r="B49" s="3">
        <v>1.0902412146466687</v>
      </c>
      <c r="C49" s="3">
        <v>-9.6412146466686721E-3</v>
      </c>
    </row>
    <row r="50" spans="1:3" x14ac:dyDescent="0.3">
      <c r="A50" s="3">
        <v>24</v>
      </c>
      <c r="B50" s="3">
        <v>1.0875194776898154</v>
      </c>
      <c r="C50" s="3">
        <v>-2.9194776898153751E-3</v>
      </c>
    </row>
    <row r="51" spans="1:3" x14ac:dyDescent="0.3">
      <c r="A51" s="3">
        <v>25</v>
      </c>
      <c r="B51" s="3">
        <v>1.0907413180302932</v>
      </c>
      <c r="C51" s="3">
        <v>-9.1413180302932773E-3</v>
      </c>
    </row>
    <row r="52" spans="1:3" x14ac:dyDescent="0.3">
      <c r="A52" s="3">
        <v>26</v>
      </c>
      <c r="B52" s="3">
        <v>1.0883143261850203</v>
      </c>
      <c r="C52" s="3">
        <v>-7.9143261850203039E-3</v>
      </c>
    </row>
    <row r="53" spans="1:3" x14ac:dyDescent="0.3">
      <c r="A53" s="3">
        <v>27</v>
      </c>
      <c r="B53" s="3">
        <v>1.0873650424211647</v>
      </c>
      <c r="C53" s="3">
        <v>-5.8650424211648122E-3</v>
      </c>
    </row>
    <row r="54" spans="1:3" x14ac:dyDescent="0.3">
      <c r="A54" s="3">
        <v>28</v>
      </c>
      <c r="B54" s="3">
        <v>1.0882401156901202</v>
      </c>
      <c r="C54" s="3">
        <v>2.9598843098797012E-3</v>
      </c>
    </row>
    <row r="55" spans="1:3" x14ac:dyDescent="0.3">
      <c r="A55" s="3">
        <v>29</v>
      </c>
      <c r="B55" s="3">
        <v>1.0960361036395621</v>
      </c>
      <c r="C55" s="3">
        <v>-3.9361036395619831E-3</v>
      </c>
    </row>
    <row r="56" spans="1:3" x14ac:dyDescent="0.3">
      <c r="A56" s="3">
        <v>30</v>
      </c>
      <c r="B56" s="3">
        <v>1.0967573110433853</v>
      </c>
      <c r="C56" s="3">
        <v>9.4268895661464569E-4</v>
      </c>
    </row>
    <row r="57" spans="1:3" x14ac:dyDescent="0.3">
      <c r="A57" s="3">
        <v>31</v>
      </c>
      <c r="B57" s="3">
        <v>1.1012937622013943</v>
      </c>
      <c r="C57" s="3">
        <v>-6.3937622013943152E-3</v>
      </c>
    </row>
    <row r="58" spans="1:3" x14ac:dyDescent="0.3">
      <c r="A58" s="3">
        <v>32</v>
      </c>
      <c r="B58" s="3">
        <v>1.0990413931189245</v>
      </c>
      <c r="C58" s="3">
        <v>-9.041393118924379E-3</v>
      </c>
    </row>
    <row r="59" spans="1:3" x14ac:dyDescent="0.3">
      <c r="A59" s="3">
        <v>33</v>
      </c>
      <c r="B59" s="3">
        <v>1.0951219147826428</v>
      </c>
      <c r="C59" s="3">
        <v>-5.2219147826426671E-3</v>
      </c>
    </row>
    <row r="60" spans="1:3" x14ac:dyDescent="0.3">
      <c r="A60" s="3">
        <v>34</v>
      </c>
      <c r="B60" s="3">
        <v>1.0950350568015654</v>
      </c>
      <c r="C60" s="3">
        <v>2.9649431984346553E-3</v>
      </c>
    </row>
    <row r="61" spans="1:3" x14ac:dyDescent="0.3">
      <c r="A61" s="3">
        <v>35</v>
      </c>
      <c r="B61" s="3">
        <v>1.1015323327131135</v>
      </c>
      <c r="C61" s="3">
        <v>-1.2323327131134043E-3</v>
      </c>
    </row>
    <row r="62" spans="1:3" x14ac:dyDescent="0.3">
      <c r="A62" s="3">
        <v>36</v>
      </c>
      <c r="B62" s="3">
        <v>1.1033763486846266</v>
      </c>
      <c r="C62" s="3">
        <v>4.223651315373278E-3</v>
      </c>
    </row>
    <row r="63" spans="1:3" x14ac:dyDescent="0.3">
      <c r="A63" s="3">
        <v>37</v>
      </c>
      <c r="B63" s="3">
        <v>1.1092735197461874</v>
      </c>
      <c r="C63" s="3">
        <v>5.2648025381252239E-4</v>
      </c>
    </row>
    <row r="64" spans="1:3" x14ac:dyDescent="0.3">
      <c r="A64" s="3">
        <v>38</v>
      </c>
      <c r="B64" s="3">
        <v>1.1110459190757815</v>
      </c>
      <c r="C64" s="3">
        <v>2.3540809242184046E-3</v>
      </c>
    </row>
    <row r="65" spans="1:3" x14ac:dyDescent="0.3">
      <c r="A65" s="3">
        <v>39</v>
      </c>
      <c r="B65" s="3">
        <v>1.1139648142531577</v>
      </c>
      <c r="C65" s="3">
        <v>2.9351857468422615E-3</v>
      </c>
    </row>
    <row r="66" spans="1:3" x14ac:dyDescent="0.3">
      <c r="A66" s="3">
        <v>40</v>
      </c>
      <c r="B66" s="3">
        <v>1.1167847759698648</v>
      </c>
      <c r="C66" s="3">
        <v>6.4152240301351693E-3</v>
      </c>
    </row>
    <row r="67" spans="1:3" x14ac:dyDescent="0.3">
      <c r="A67" s="3">
        <v>41</v>
      </c>
      <c r="B67" s="3">
        <v>1.1218614244509799</v>
      </c>
      <c r="C67" s="3">
        <v>1.1738575549020025E-2</v>
      </c>
    </row>
    <row r="68" spans="1:3" x14ac:dyDescent="0.3">
      <c r="A68" s="3">
        <v>42</v>
      </c>
      <c r="B68" s="3">
        <v>1.1302331538258443</v>
      </c>
      <c r="C68" s="3">
        <v>-1.8331538258442581E-3</v>
      </c>
    </row>
    <row r="69" spans="1:3" x14ac:dyDescent="0.3">
      <c r="A69" s="3">
        <v>43</v>
      </c>
      <c r="B69" s="3">
        <v>1.1260661484359271</v>
      </c>
      <c r="C69" s="3">
        <v>3.1338515640728648E-3</v>
      </c>
    </row>
    <row r="70" spans="1:3" x14ac:dyDescent="0.3">
      <c r="A70" s="3">
        <v>44</v>
      </c>
      <c r="B70" s="3">
        <v>1.126748809922306</v>
      </c>
      <c r="C70" s="3">
        <v>7.2511900776939253E-3</v>
      </c>
    </row>
    <row r="71" spans="1:3" x14ac:dyDescent="0.3">
      <c r="A71" s="3">
        <v>45</v>
      </c>
      <c r="B71" s="3">
        <v>1.1305905617586578</v>
      </c>
      <c r="C71" s="3">
        <v>6.3094382413422245E-3</v>
      </c>
    </row>
    <row r="72" spans="1:3" x14ac:dyDescent="0.3">
      <c r="A72" s="3">
        <v>46</v>
      </c>
      <c r="B72" s="3">
        <v>1.132922378566948</v>
      </c>
      <c r="C72" s="3">
        <v>-3.2223785669480698E-3</v>
      </c>
    </row>
    <row r="73" spans="1:3" x14ac:dyDescent="0.3">
      <c r="A73" s="3">
        <v>47</v>
      </c>
      <c r="B73" s="3">
        <v>1.1271467071265775</v>
      </c>
      <c r="C73" s="3">
        <v>-1.7467071265775402E-3</v>
      </c>
    </row>
    <row r="74" spans="1:3" x14ac:dyDescent="0.3">
      <c r="A74" s="3">
        <v>48</v>
      </c>
      <c r="B74" s="3">
        <v>1.1237033349957455</v>
      </c>
      <c r="C74" s="3">
        <v>8.496665004254611E-3</v>
      </c>
    </row>
    <row r="75" spans="1:3" x14ac:dyDescent="0.3">
      <c r="A75" s="3">
        <v>49</v>
      </c>
      <c r="B75" s="3">
        <v>1.1291499637560625</v>
      </c>
      <c r="C75" s="3">
        <v>-2.8499637560623903E-3</v>
      </c>
    </row>
    <row r="76" spans="1:3" x14ac:dyDescent="0.3">
      <c r="A76" s="3">
        <v>50</v>
      </c>
      <c r="B76" s="3">
        <v>1.1243858136155291</v>
      </c>
      <c r="C76" s="3">
        <v>-8.5813615529062304E-5</v>
      </c>
    </row>
    <row r="77" spans="1:3" x14ac:dyDescent="0.3">
      <c r="A77" s="3">
        <v>51</v>
      </c>
      <c r="B77" s="3">
        <v>1.1228047256246394</v>
      </c>
      <c r="C77" s="3">
        <v>-2.6047256246393147E-3</v>
      </c>
    </row>
    <row r="78" spans="1:3" x14ac:dyDescent="0.3">
      <c r="A78" s="3">
        <v>52</v>
      </c>
      <c r="B78" s="3">
        <v>1.1194884224187502</v>
      </c>
      <c r="C78" s="3">
        <v>-1.9884224187503019E-3</v>
      </c>
    </row>
    <row r="79" spans="1:3" x14ac:dyDescent="0.3">
      <c r="A79" s="3">
        <v>53</v>
      </c>
      <c r="B79" s="3">
        <v>1.1173128484065842</v>
      </c>
      <c r="C79" s="3">
        <v>8.4871515934157316E-3</v>
      </c>
    </row>
    <row r="80" spans="1:3" x14ac:dyDescent="0.3">
      <c r="A80" s="3">
        <v>54</v>
      </c>
      <c r="B80" s="3">
        <v>1.1239754354544227</v>
      </c>
      <c r="C80" s="3">
        <v>6.6245645455773605E-3</v>
      </c>
    </row>
    <row r="81" spans="1:3" x14ac:dyDescent="0.3">
      <c r="A81" s="3">
        <v>55</v>
      </c>
      <c r="B81" s="3">
        <v>1.1278208799704132</v>
      </c>
      <c r="C81" s="3">
        <v>-2.8208799704132481E-3</v>
      </c>
    </row>
    <row r="82" spans="1:3" x14ac:dyDescent="0.3">
      <c r="A82" s="3">
        <v>56</v>
      </c>
      <c r="B82" s="3">
        <v>1.1233427704809431</v>
      </c>
      <c r="C82" s="3">
        <v>-1.6427704809431898E-3</v>
      </c>
    </row>
    <row r="83" spans="1:3" x14ac:dyDescent="0.3">
      <c r="A83" s="3">
        <v>57</v>
      </c>
      <c r="B83" s="3">
        <v>1.1207091116746544</v>
      </c>
      <c r="C83" s="3">
        <v>9.9088832534555138E-4</v>
      </c>
    </row>
    <row r="84" spans="1:3" x14ac:dyDescent="0.3">
      <c r="A84" s="3">
        <v>58</v>
      </c>
      <c r="B84" s="3">
        <v>1.1206919646257958</v>
      </c>
      <c r="C84" s="3">
        <v>3.3080353742043211E-3</v>
      </c>
    </row>
    <row r="85" spans="1:3" x14ac:dyDescent="0.3">
      <c r="A85" s="3">
        <v>59</v>
      </c>
      <c r="B85" s="3">
        <v>1.1225302678066533</v>
      </c>
      <c r="C85" s="3">
        <v>5.6973219334666148E-4</v>
      </c>
    </row>
    <row r="86" spans="1:3" x14ac:dyDescent="0.3">
      <c r="A86" s="3">
        <v>60</v>
      </c>
      <c r="B86" s="3">
        <v>1.1218049654497029</v>
      </c>
      <c r="C86" s="3">
        <v>3.1950345502971267E-3</v>
      </c>
    </row>
    <row r="87" spans="1:3" x14ac:dyDescent="0.3">
      <c r="A87" s="3">
        <v>61</v>
      </c>
      <c r="B87" s="3">
        <v>1.1233414923766094</v>
      </c>
      <c r="C87" s="3">
        <v>4.5850762339050277E-4</v>
      </c>
    </row>
    <row r="88" spans="1:3" x14ac:dyDescent="0.3">
      <c r="A88" s="3">
        <v>62</v>
      </c>
      <c r="B88" s="3">
        <v>1.1223720851272712</v>
      </c>
      <c r="C88" s="3">
        <v>2.4279148727288646E-3</v>
      </c>
    </row>
    <row r="89" spans="1:3" x14ac:dyDescent="0.3">
      <c r="A89" s="3">
        <v>63</v>
      </c>
      <c r="B89" s="3">
        <v>1.1231836392851562</v>
      </c>
      <c r="C89" s="3">
        <v>7.6163607148438395E-3</v>
      </c>
    </row>
    <row r="90" spans="1:3" x14ac:dyDescent="0.3">
      <c r="A90" s="3">
        <v>64</v>
      </c>
      <c r="B90" s="3">
        <v>1.1280041108650476</v>
      </c>
      <c r="C90" s="3">
        <v>-1.0041108650475916E-3</v>
      </c>
    </row>
    <row r="91" spans="1:3" x14ac:dyDescent="0.3">
      <c r="A91" s="3">
        <v>65</v>
      </c>
      <c r="B91" s="3">
        <v>1.1249476123636615</v>
      </c>
      <c r="C91" s="3">
        <v>7.9523876363385426E-3</v>
      </c>
    </row>
    <row r="92" spans="1:3" x14ac:dyDescent="0.3">
      <c r="A92" s="3">
        <v>66</v>
      </c>
      <c r="B92" s="3">
        <v>1.1297156541513556</v>
      </c>
      <c r="C92" s="3">
        <v>-1.6156541513554501E-3</v>
      </c>
    </row>
    <row r="93" spans="1:3" x14ac:dyDescent="0.3">
      <c r="A93" s="3">
        <v>67</v>
      </c>
      <c r="B93" s="3">
        <v>1.1258384529241587</v>
      </c>
      <c r="C93" s="3">
        <v>3.9615470758411764E-3</v>
      </c>
    </row>
    <row r="94" spans="1:3" x14ac:dyDescent="0.3">
      <c r="A94" s="3">
        <v>68</v>
      </c>
      <c r="B94" s="3">
        <v>1.127229119408377</v>
      </c>
      <c r="C94" s="3">
        <v>6.7708805916228965E-3</v>
      </c>
    </row>
    <row r="95" spans="1:3" x14ac:dyDescent="0.3">
      <c r="A95" s="3">
        <v>69</v>
      </c>
      <c r="B95" s="3">
        <v>1.1305891324763826</v>
      </c>
      <c r="C95" s="3">
        <v>9.0108675236173497E-3</v>
      </c>
    </row>
    <row r="96" spans="1:3" x14ac:dyDescent="0.3">
      <c r="A96" s="3">
        <v>70</v>
      </c>
      <c r="B96" s="3">
        <v>1.1350958189344684</v>
      </c>
      <c r="C96" s="3">
        <v>5.9041810655315885E-3</v>
      </c>
    </row>
    <row r="97" spans="1:3" x14ac:dyDescent="0.3">
      <c r="A97" s="3">
        <v>71</v>
      </c>
      <c r="B97" s="3">
        <v>1.1362325206544903</v>
      </c>
      <c r="C97" s="3">
        <v>2.0674793455097706E-3</v>
      </c>
    </row>
    <row r="98" spans="1:3" x14ac:dyDescent="0.3">
      <c r="A98" s="3">
        <v>72</v>
      </c>
      <c r="B98" s="3">
        <v>1.1340795461087143</v>
      </c>
      <c r="C98" s="3">
        <v>8.5204538912857508E-3</v>
      </c>
    </row>
    <row r="99" spans="1:3" x14ac:dyDescent="0.3">
      <c r="A99" s="3">
        <v>73</v>
      </c>
      <c r="B99" s="3">
        <v>1.1375442592914484</v>
      </c>
      <c r="C99" s="3">
        <v>6.8557407085516608E-3</v>
      </c>
    </row>
    <row r="100" spans="1:3" x14ac:dyDescent="0.3">
      <c r="A100" s="3">
        <v>74</v>
      </c>
      <c r="B100" s="3">
        <v>1.1389796994231944</v>
      </c>
      <c r="C100" s="3">
        <v>1.3620300576805633E-2</v>
      </c>
    </row>
    <row r="101" spans="1:3" x14ac:dyDescent="0.3">
      <c r="A101" s="3">
        <v>75</v>
      </c>
      <c r="B101" s="3">
        <v>1.1455878817543308</v>
      </c>
      <c r="C101" s="3">
        <v>1.1212118245669256E-2</v>
      </c>
    </row>
    <row r="102" spans="1:3" x14ac:dyDescent="0.3">
      <c r="A102" s="3">
        <v>76</v>
      </c>
      <c r="B102" s="3">
        <v>1.1489663874549543</v>
      </c>
      <c r="C102" s="3">
        <v>1.0433612545045712E-2</v>
      </c>
    </row>
    <row r="103" spans="1:3" x14ac:dyDescent="0.3">
      <c r="A103" s="3">
        <v>77</v>
      </c>
      <c r="B103" s="3">
        <v>1.1510828608232822</v>
      </c>
      <c r="C103" s="3">
        <v>1.4317139176717841E-2</v>
      </c>
    </row>
    <row r="104" spans="1:3" x14ac:dyDescent="0.3">
      <c r="A104" s="3">
        <v>78</v>
      </c>
      <c r="B104" s="3">
        <v>1.1559209072221881</v>
      </c>
      <c r="C104" s="3">
        <v>1.9179092777811935E-2</v>
      </c>
    </row>
    <row r="105" spans="1:3" x14ac:dyDescent="0.3">
      <c r="A105" s="3">
        <v>79</v>
      </c>
      <c r="B105" s="3">
        <v>1.1637267814077952</v>
      </c>
      <c r="C105" s="3">
        <v>7.6732185922048224E-3</v>
      </c>
    </row>
    <row r="106" spans="1:3" x14ac:dyDescent="0.3">
      <c r="A106" s="3">
        <v>80</v>
      </c>
      <c r="B106" s="3">
        <v>1.1607655184813057</v>
      </c>
      <c r="C106" s="3">
        <v>1.8234481518694334E-2</v>
      </c>
    </row>
    <row r="107" spans="1:3" x14ac:dyDescent="0.3">
      <c r="A107" s="3">
        <v>81</v>
      </c>
      <c r="B107" s="3">
        <v>1.166913416629626</v>
      </c>
      <c r="C107" s="3">
        <v>1.7686583370374098E-2</v>
      </c>
    </row>
    <row r="108" spans="1:3" x14ac:dyDescent="0.3">
      <c r="A108" s="3">
        <v>82</v>
      </c>
      <c r="B108" s="3">
        <v>1.1713992410663021</v>
      </c>
      <c r="C108" s="3">
        <v>6.0007589336978917E-3</v>
      </c>
    </row>
    <row r="109" spans="1:3" x14ac:dyDescent="0.3">
      <c r="A109" s="3">
        <v>83</v>
      </c>
      <c r="B109" s="3">
        <v>1.1656314528378575</v>
      </c>
      <c r="C109" s="3">
        <v>1.0468547162142405E-2</v>
      </c>
    </row>
    <row r="110" spans="1:3" x14ac:dyDescent="0.3">
      <c r="A110" s="3">
        <v>84</v>
      </c>
      <c r="B110" s="3">
        <v>1.1646100282150771</v>
      </c>
      <c r="C110" s="3">
        <v>1.5389971784922851E-2</v>
      </c>
    </row>
    <row r="111" spans="1:3" x14ac:dyDescent="0.3">
      <c r="A111" s="3">
        <v>85</v>
      </c>
      <c r="B111" s="3">
        <v>1.1677224716460013</v>
      </c>
      <c r="C111" s="3">
        <v>1.837752835399864E-2</v>
      </c>
    </row>
    <row r="112" spans="1:3" x14ac:dyDescent="0.3">
      <c r="A112" s="3">
        <v>86</v>
      </c>
      <c r="B112" s="3">
        <v>1.1726211128473794</v>
      </c>
      <c r="C112" s="3">
        <v>1.4878887152620646E-2</v>
      </c>
    </row>
    <row r="113" spans="1:3" x14ac:dyDescent="0.3">
      <c r="A113" s="3">
        <v>87</v>
      </c>
      <c r="B113" s="3">
        <v>1.1737564510291736</v>
      </c>
      <c r="C113" s="3">
        <v>4.8435489708265056E-3</v>
      </c>
    </row>
    <row r="114" spans="1:3" x14ac:dyDescent="0.3">
      <c r="A114" s="3">
        <v>88</v>
      </c>
      <c r="B114" s="3">
        <v>1.1666190906113114</v>
      </c>
      <c r="C114" s="3">
        <v>6.9809093886885609E-3</v>
      </c>
    </row>
    <row r="115" spans="1:3" x14ac:dyDescent="0.3">
      <c r="A115" s="3">
        <v>89</v>
      </c>
      <c r="B115" s="3">
        <v>1.162608714071917</v>
      </c>
      <c r="C115" s="3">
        <v>1.1291285928082928E-2</v>
      </c>
    </row>
    <row r="116" spans="1:3" x14ac:dyDescent="0.3">
      <c r="A116" s="3">
        <v>90</v>
      </c>
      <c r="B116" s="3">
        <v>1.162822565088623</v>
      </c>
      <c r="C116" s="3">
        <v>1.5377434911376886E-2</v>
      </c>
    </row>
    <row r="117" spans="1:3" x14ac:dyDescent="0.3">
      <c r="A117" s="3">
        <v>91</v>
      </c>
      <c r="B117" s="3">
        <v>1.1662632298328461</v>
      </c>
      <c r="C117" s="3">
        <v>1.493677016715389E-2</v>
      </c>
    </row>
    <row r="118" spans="1:3" x14ac:dyDescent="0.3">
      <c r="A118" s="3">
        <v>92</v>
      </c>
      <c r="B118" s="3">
        <v>1.1686740718029349</v>
      </c>
      <c r="C118" s="3">
        <v>1.5425928197065009E-2</v>
      </c>
    </row>
    <row r="119" spans="1:3" x14ac:dyDescent="0.3">
      <c r="A119" s="3">
        <v>93</v>
      </c>
      <c r="B119" s="3">
        <v>1.171019144880612</v>
      </c>
      <c r="C119" s="3">
        <v>1.5880855119388082E-2</v>
      </c>
    </row>
    <row r="120" spans="1:3" x14ac:dyDescent="0.3">
      <c r="A120" s="3">
        <v>94</v>
      </c>
      <c r="B120" s="3">
        <v>1.1732793783528512</v>
      </c>
      <c r="C120" s="3">
        <v>1.9620621647148839E-2</v>
      </c>
    </row>
    <row r="121" spans="1:3" x14ac:dyDescent="0.3">
      <c r="A121" s="3">
        <v>95</v>
      </c>
      <c r="B121" s="3">
        <v>1.1781128090523807</v>
      </c>
      <c r="C121" s="3">
        <v>5.4871909476192915E-3</v>
      </c>
    </row>
    <row r="122" spans="1:3" x14ac:dyDescent="0.3">
      <c r="A122" s="3">
        <v>96</v>
      </c>
      <c r="B122" s="3">
        <v>1.1706393568576265</v>
      </c>
      <c r="C122" s="3">
        <v>1.5260643142373409E-2</v>
      </c>
    </row>
    <row r="123" spans="1:3" x14ac:dyDescent="0.3">
      <c r="A123" s="3">
        <v>97</v>
      </c>
      <c r="B123" s="3">
        <v>1.1725158535925624</v>
      </c>
      <c r="C123" s="3">
        <v>6.9841464074376081E-3</v>
      </c>
    </row>
    <row r="124" spans="1:3" x14ac:dyDescent="0.3">
      <c r="A124" s="3">
        <v>98</v>
      </c>
      <c r="B124" s="3">
        <v>1.1673353092766945</v>
      </c>
      <c r="C124" s="3">
        <v>1.1364690723305593E-2</v>
      </c>
    </row>
    <row r="125" spans="1:3" x14ac:dyDescent="0.3">
      <c r="A125" s="3">
        <v>99</v>
      </c>
      <c r="B125" s="3">
        <v>1.1667040813946912</v>
      </c>
      <c r="C125" s="3">
        <v>1.6595918605308846E-2</v>
      </c>
    </row>
    <row r="126" spans="1:3" x14ac:dyDescent="0.3">
      <c r="A126" s="3">
        <v>100</v>
      </c>
      <c r="B126" s="3">
        <v>1.1703819035874474</v>
      </c>
      <c r="C126" s="3">
        <v>1.2518096412552637E-2</v>
      </c>
    </row>
    <row r="127" spans="1:3" x14ac:dyDescent="0.3">
      <c r="A127" s="3">
        <v>101</v>
      </c>
      <c r="B127" s="3">
        <v>1.1700544352937878</v>
      </c>
      <c r="C127" s="3">
        <v>1.2045564706212097E-2</v>
      </c>
    </row>
    <row r="128" spans="1:3" x14ac:dyDescent="0.3">
      <c r="A128" s="3">
        <v>102</v>
      </c>
      <c r="B128" s="3">
        <v>1.1694271963734835</v>
      </c>
      <c r="C128" s="3">
        <v>2.0872803626516445E-2</v>
      </c>
    </row>
    <row r="129" spans="1:3" x14ac:dyDescent="0.3">
      <c r="A129" s="3">
        <v>103</v>
      </c>
      <c r="B129" s="3">
        <v>1.1760208759013893</v>
      </c>
      <c r="C129" s="3">
        <v>1.7579124098610732E-2</v>
      </c>
    </row>
    <row r="130" spans="1:3" x14ac:dyDescent="0.3">
      <c r="A130" s="3">
        <v>104</v>
      </c>
      <c r="B130" s="3">
        <v>1.1786666229356038</v>
      </c>
      <c r="C130" s="3">
        <v>1.23333770643963E-2</v>
      </c>
    </row>
    <row r="131" spans="1:3" x14ac:dyDescent="0.3">
      <c r="A131" s="3">
        <v>105</v>
      </c>
      <c r="B131" s="3">
        <v>1.1766017888136837</v>
      </c>
      <c r="C131" s="3">
        <v>8.698211186316307E-3</v>
      </c>
    </row>
    <row r="132" spans="1:3" x14ac:dyDescent="0.3">
      <c r="A132" s="3">
        <v>106</v>
      </c>
      <c r="B132" s="3">
        <v>1.1720308762790899</v>
      </c>
      <c r="C132" s="3">
        <v>1.2869123720910203E-2</v>
      </c>
    </row>
    <row r="133" spans="1:3" x14ac:dyDescent="0.3">
      <c r="A133" s="3">
        <v>107</v>
      </c>
      <c r="B133" s="3">
        <v>1.1717039707144381</v>
      </c>
      <c r="C133" s="3">
        <v>1.209602928556186E-2</v>
      </c>
    </row>
    <row r="134" spans="1:3" x14ac:dyDescent="0.3">
      <c r="A134" s="3">
        <v>108</v>
      </c>
      <c r="B134" s="3">
        <v>1.170799939628602</v>
      </c>
      <c r="C134" s="3">
        <v>1.0900060371398013E-2</v>
      </c>
    </row>
    <row r="135" spans="1:3" x14ac:dyDescent="0.3">
      <c r="A135" s="3">
        <v>109</v>
      </c>
      <c r="B135" s="3">
        <v>1.169110439153499</v>
      </c>
      <c r="C135" s="3">
        <v>8.7895608465009545E-3</v>
      </c>
    </row>
    <row r="136" spans="1:3" x14ac:dyDescent="0.3">
      <c r="A136" s="3">
        <v>110</v>
      </c>
      <c r="B136" s="3">
        <v>1.1660520221940793</v>
      </c>
      <c r="C136" s="3">
        <v>1.4147977805920586E-2</v>
      </c>
    </row>
    <row r="137" spans="1:3" x14ac:dyDescent="0.3">
      <c r="A137" s="3">
        <v>111</v>
      </c>
      <c r="B137" s="3">
        <v>1.1678969629207085</v>
      </c>
      <c r="C137" s="3">
        <v>1.3403037079291469E-2</v>
      </c>
    </row>
    <row r="138" spans="1:3" x14ac:dyDescent="0.3">
      <c r="A138" s="3">
        <v>112</v>
      </c>
      <c r="B138" s="3">
        <v>1.1687669756333532</v>
      </c>
      <c r="C138" s="3">
        <v>1.5733024366646919E-2</v>
      </c>
    </row>
    <row r="139" spans="1:3" x14ac:dyDescent="0.3">
      <c r="A139" s="3">
        <v>113</v>
      </c>
      <c r="B139" s="3">
        <v>1.1713476624759713</v>
      </c>
      <c r="C139" s="3">
        <v>1.5452337524028747E-2</v>
      </c>
    </row>
    <row r="140" spans="1:3" x14ac:dyDescent="0.3">
      <c r="A140" s="3">
        <v>114</v>
      </c>
      <c r="B140" s="3">
        <v>1.1731990391777836</v>
      </c>
      <c r="C140" s="3">
        <v>1.1300960822216544E-2</v>
      </c>
    </row>
    <row r="141" spans="1:3" x14ac:dyDescent="0.3">
      <c r="A141" s="3">
        <v>115</v>
      </c>
      <c r="B141" s="3">
        <v>1.1713588789444949</v>
      </c>
      <c r="C141" s="3">
        <v>1.0041121055505142E-2</v>
      </c>
    </row>
    <row r="142" spans="1:3" x14ac:dyDescent="0.3">
      <c r="A142" s="3">
        <v>116</v>
      </c>
      <c r="B142" s="3">
        <v>1.1688752693778037</v>
      </c>
      <c r="C142" s="3">
        <v>1.5824730622196359E-2</v>
      </c>
    </row>
    <row r="143" spans="1:3" x14ac:dyDescent="0.3">
      <c r="A143" s="3">
        <v>117</v>
      </c>
      <c r="B143" s="3">
        <v>1.171523271399493</v>
      </c>
      <c r="C143" s="3">
        <v>1.2176728600507003E-2</v>
      </c>
    </row>
    <row r="144" spans="1:3" x14ac:dyDescent="0.3">
      <c r="A144" s="3">
        <v>118</v>
      </c>
      <c r="B144" s="3">
        <v>1.1707061973446506</v>
      </c>
      <c r="C144" s="3">
        <v>6.1938026553494119E-3</v>
      </c>
    </row>
    <row r="145" spans="1:3" x14ac:dyDescent="0.3">
      <c r="A145" s="3">
        <v>119</v>
      </c>
      <c r="B145" s="3">
        <v>1.165249600385031</v>
      </c>
      <c r="C145" s="3">
        <v>5.3503996149690813E-3</v>
      </c>
    </row>
    <row r="146" spans="1:3" x14ac:dyDescent="0.3">
      <c r="A146" s="3">
        <v>120</v>
      </c>
      <c r="B146" s="3">
        <v>1.1601840898800582</v>
      </c>
      <c r="C146" s="3">
        <v>5.7159101199417695E-3</v>
      </c>
    </row>
    <row r="147" spans="1:3" x14ac:dyDescent="0.3">
      <c r="A147" s="3">
        <v>121</v>
      </c>
      <c r="B147" s="3">
        <v>1.1563849823850334</v>
      </c>
      <c r="C147" s="3">
        <v>1.0815017614966616E-2</v>
      </c>
    </row>
    <row r="148" spans="1:3" x14ac:dyDescent="0.3">
      <c r="A148" s="3">
        <v>122</v>
      </c>
      <c r="B148" s="3">
        <v>1.1574118159742108</v>
      </c>
      <c r="C148" s="3">
        <v>5.5881840257892001E-3</v>
      </c>
    </row>
    <row r="149" spans="1:3" x14ac:dyDescent="0.3">
      <c r="A149" s="3">
        <v>123</v>
      </c>
      <c r="B149" s="3">
        <v>1.1540170613484864</v>
      </c>
      <c r="C149" s="3">
        <v>1.2382938651513742E-2</v>
      </c>
    </row>
    <row r="150" spans="1:3" x14ac:dyDescent="0.3">
      <c r="A150" s="3">
        <v>124</v>
      </c>
      <c r="B150" s="3">
        <v>1.1567586255087619</v>
      </c>
      <c r="C150" s="3">
        <v>1.744137449123806E-2</v>
      </c>
    </row>
    <row r="151" spans="1:3" x14ac:dyDescent="0.3">
      <c r="A151" s="3">
        <v>125</v>
      </c>
      <c r="B151" s="3">
        <v>1.1630147515393214</v>
      </c>
      <c r="C151" s="3">
        <v>8.7852484606785186E-3</v>
      </c>
    </row>
    <row r="152" spans="1:3" x14ac:dyDescent="0.3">
      <c r="A152" s="3">
        <v>126</v>
      </c>
      <c r="B152" s="3">
        <v>1.1610912441238512</v>
      </c>
      <c r="C152" s="3">
        <v>1.3608755876148848E-2</v>
      </c>
    </row>
    <row r="153" spans="1:3" x14ac:dyDescent="0.3">
      <c r="A153" s="3">
        <v>127</v>
      </c>
      <c r="B153" s="3">
        <v>1.1634519402566403</v>
      </c>
      <c r="C153" s="3">
        <v>7.8480597433596699E-3</v>
      </c>
    </row>
    <row r="154" spans="1:3" x14ac:dyDescent="0.3">
      <c r="A154" s="3">
        <v>128</v>
      </c>
      <c r="B154" s="3">
        <v>1.1607074364363656</v>
      </c>
      <c r="C154" s="3">
        <v>1.7392563563634278E-2</v>
      </c>
    </row>
    <row r="155" spans="1:3" x14ac:dyDescent="0.3">
      <c r="A155" s="3">
        <v>129</v>
      </c>
      <c r="B155" s="3">
        <v>1.1661883123725085</v>
      </c>
      <c r="C155" s="3">
        <v>7.2116876274914699E-3</v>
      </c>
    </row>
    <row r="156" spans="1:3" x14ac:dyDescent="0.3">
      <c r="A156" s="3">
        <v>130</v>
      </c>
      <c r="B156" s="3">
        <v>1.1623923203444029</v>
      </c>
      <c r="C156" s="3">
        <v>1.360767965559706E-2</v>
      </c>
    </row>
    <row r="157" spans="1:3" x14ac:dyDescent="0.3">
      <c r="A157" s="3">
        <v>131</v>
      </c>
      <c r="B157" s="3">
        <v>1.1645098157823852</v>
      </c>
      <c r="C157" s="3">
        <v>1.129018421761474E-2</v>
      </c>
    </row>
    <row r="158" spans="1:3" x14ac:dyDescent="0.3">
      <c r="A158" s="3">
        <v>132</v>
      </c>
      <c r="B158" s="3">
        <v>1.1643310520122527</v>
      </c>
      <c r="C158" s="3">
        <v>1.8068947987747164E-2</v>
      </c>
    </row>
    <row r="159" spans="1:3" x14ac:dyDescent="0.3">
      <c r="A159" s="3">
        <v>133</v>
      </c>
      <c r="B159" s="3">
        <v>1.1696479470444641</v>
      </c>
      <c r="C159" s="3">
        <v>1.1652052955535952E-2</v>
      </c>
    </row>
    <row r="160" spans="1:3" x14ac:dyDescent="0.3">
      <c r="A160" s="3">
        <v>134</v>
      </c>
      <c r="B160" s="3">
        <v>1.1687582855383842</v>
      </c>
      <c r="C160" s="3">
        <v>5.6417144616158765E-3</v>
      </c>
    </row>
    <row r="161" spans="1:3" x14ac:dyDescent="0.3">
      <c r="A161" s="3">
        <v>135</v>
      </c>
      <c r="B161" s="3">
        <v>1.1632327161824734</v>
      </c>
      <c r="C161" s="3">
        <v>1.1367283817526719E-2</v>
      </c>
    </row>
    <row r="162" spans="1:3" x14ac:dyDescent="0.3">
      <c r="A162" s="3">
        <v>136</v>
      </c>
      <c r="B162" s="3">
        <v>1.163394300465568</v>
      </c>
      <c r="C162" s="3">
        <v>7.205699534432064E-3</v>
      </c>
    </row>
    <row r="163" spans="1:3" x14ac:dyDescent="0.3">
      <c r="A163" s="3">
        <v>137</v>
      </c>
      <c r="B163" s="3">
        <v>1.1601535226355375</v>
      </c>
      <c r="C163" s="3">
        <v>1.1646477364462449E-2</v>
      </c>
    </row>
    <row r="164" spans="1:3" x14ac:dyDescent="0.3">
      <c r="A164" s="3">
        <v>138</v>
      </c>
      <c r="B164" s="3">
        <v>1.1611218959345766</v>
      </c>
      <c r="C164" s="3">
        <v>1.5478104065423492E-2</v>
      </c>
    </row>
    <row r="165" spans="1:3" x14ac:dyDescent="0.3">
      <c r="A165" s="3">
        <v>139</v>
      </c>
      <c r="B165" s="3">
        <v>1.1649675240666884</v>
      </c>
      <c r="C165" s="3">
        <v>1.7132475933311575E-2</v>
      </c>
    </row>
    <row r="166" spans="1:3" x14ac:dyDescent="0.3">
      <c r="A166" s="3">
        <v>140</v>
      </c>
      <c r="B166" s="3">
        <v>1.1693916702256348</v>
      </c>
      <c r="C166" s="3">
        <v>1.6708329774365094E-2</v>
      </c>
    </row>
    <row r="167" spans="1:3" x14ac:dyDescent="0.3">
      <c r="A167" s="3">
        <v>141</v>
      </c>
      <c r="B167" s="3">
        <v>1.1726214569190196</v>
      </c>
      <c r="C167" s="3">
        <v>8.978543080980339E-3</v>
      </c>
    </row>
    <row r="168" spans="1:3" x14ac:dyDescent="0.3">
      <c r="A168" s="3">
        <v>142</v>
      </c>
      <c r="B168" s="3">
        <v>1.169018847600972</v>
      </c>
      <c r="C168" s="3">
        <v>1.6881152399027988E-2</v>
      </c>
    </row>
    <row r="169" spans="1:3" x14ac:dyDescent="0.3">
      <c r="A169" s="3">
        <v>143</v>
      </c>
      <c r="B169" s="3">
        <v>1.1724937125991299</v>
      </c>
      <c r="C169" s="3">
        <v>8.3062874008701382E-3</v>
      </c>
    </row>
    <row r="170" spans="1:3" x14ac:dyDescent="0.3">
      <c r="A170" s="3">
        <v>144</v>
      </c>
      <c r="B170" s="3">
        <v>1.1683738852867787</v>
      </c>
      <c r="C170" s="3">
        <v>1.1126114713221336E-2</v>
      </c>
    </row>
    <row r="171" spans="1:3" x14ac:dyDescent="0.3">
      <c r="A171" s="3">
        <v>145</v>
      </c>
      <c r="B171" s="3">
        <v>1.1673465958277112</v>
      </c>
      <c r="C171" s="3">
        <v>7.0534041722889462E-3</v>
      </c>
    </row>
    <row r="172" spans="1:3" x14ac:dyDescent="0.3">
      <c r="A172" s="3">
        <v>146</v>
      </c>
      <c r="B172" s="3">
        <v>1.1632283805460675</v>
      </c>
      <c r="C172" s="3">
        <v>4.171619453932518E-3</v>
      </c>
    </row>
    <row r="173" spans="1:3" x14ac:dyDescent="0.3">
      <c r="A173" s="3">
        <v>147</v>
      </c>
      <c r="B173" s="3">
        <v>1.1575977696068545</v>
      </c>
      <c r="C173" s="3">
        <v>7.1022303931456143E-3</v>
      </c>
    </row>
    <row r="174" spans="1:3" x14ac:dyDescent="0.3">
      <c r="A174" s="3">
        <v>148</v>
      </c>
      <c r="B174" s="3">
        <v>1.1554134090528703</v>
      </c>
      <c r="C174" s="3">
        <v>8.5865909471296575E-3</v>
      </c>
    </row>
    <row r="175" spans="1:3" x14ac:dyDescent="0.3">
      <c r="A175" s="3">
        <v>149</v>
      </c>
      <c r="B175" s="3">
        <v>1.154828090421677</v>
      </c>
      <c r="C175" s="3">
        <v>1.6271909578323029E-2</v>
      </c>
    </row>
    <row r="176" spans="1:3" x14ac:dyDescent="0.3">
      <c r="A176" s="3">
        <v>150</v>
      </c>
      <c r="B176" s="3">
        <v>1.1605291380807028</v>
      </c>
      <c r="C176" s="3">
        <v>1.1670861919297115E-2</v>
      </c>
    </row>
    <row r="177" spans="1:3" x14ac:dyDescent="0.3">
      <c r="A177" s="3">
        <v>151</v>
      </c>
      <c r="B177" s="3">
        <v>1.161406688198255</v>
      </c>
      <c r="C177" s="3">
        <v>2.069331180174494E-2</v>
      </c>
    </row>
    <row r="178" spans="1:3" x14ac:dyDescent="0.3">
      <c r="A178" s="3">
        <v>152</v>
      </c>
      <c r="B178" s="3">
        <v>1.1693921483884382</v>
      </c>
      <c r="C178" s="3">
        <v>1.7807851611561842E-2</v>
      </c>
    </row>
    <row r="179" spans="1:3" x14ac:dyDescent="0.3">
      <c r="A179" s="3">
        <v>153</v>
      </c>
      <c r="B179" s="3">
        <v>1.1734909121087904</v>
      </c>
      <c r="C179" s="3">
        <v>7.8090878912095985E-3</v>
      </c>
    </row>
    <row r="180" spans="1:3" x14ac:dyDescent="0.3">
      <c r="A180" s="3">
        <v>154</v>
      </c>
      <c r="B180" s="3">
        <v>1.168776861001829</v>
      </c>
      <c r="C180" s="3">
        <v>1.2623138998171024E-2</v>
      </c>
    </row>
    <row r="181" spans="1:3" x14ac:dyDescent="0.3">
      <c r="A181" s="3">
        <v>155</v>
      </c>
      <c r="B181" s="3">
        <v>1.1688787529446543</v>
      </c>
      <c r="C181" s="3">
        <v>8.8212470553457045E-3</v>
      </c>
    </row>
    <row r="182" spans="1:3" x14ac:dyDescent="0.3">
      <c r="A182" s="3">
        <v>156</v>
      </c>
      <c r="B182" s="3">
        <v>1.1658827536665803</v>
      </c>
      <c r="C182" s="3">
        <v>1.4517246333419553E-2</v>
      </c>
    </row>
    <row r="183" spans="1:3" x14ac:dyDescent="0.3">
      <c r="A183" s="3">
        <v>157</v>
      </c>
      <c r="B183" s="3">
        <v>1.1680569018672273</v>
      </c>
      <c r="C183" s="3">
        <v>1.5143098132772703E-2</v>
      </c>
    </row>
    <row r="184" spans="1:3" x14ac:dyDescent="0.3">
      <c r="A184" s="3">
        <v>158</v>
      </c>
      <c r="B184" s="3">
        <v>1.1702941558925006</v>
      </c>
      <c r="C184" s="3">
        <v>1.5005844107499389E-2</v>
      </c>
    </row>
    <row r="185" spans="1:3" x14ac:dyDescent="0.3">
      <c r="A185" s="3">
        <v>159</v>
      </c>
      <c r="B185" s="3">
        <v>1.1719904723233625</v>
      </c>
      <c r="C185" s="3">
        <v>1.4109527676637423E-2</v>
      </c>
    </row>
    <row r="186" spans="1:3" x14ac:dyDescent="0.3">
      <c r="A186" s="3">
        <v>160</v>
      </c>
      <c r="B186" s="3">
        <v>1.172642119105219</v>
      </c>
      <c r="C186" s="3">
        <v>1.2557880894781048E-2</v>
      </c>
    </row>
    <row r="187" spans="1:3" x14ac:dyDescent="0.3">
      <c r="A187" s="3">
        <v>161</v>
      </c>
      <c r="B187" s="3">
        <v>1.171925046634902</v>
      </c>
      <c r="C187" s="3">
        <v>1.5374953365097976E-2</v>
      </c>
    </row>
    <row r="188" spans="1:3" x14ac:dyDescent="0.3">
      <c r="A188" s="3">
        <v>162</v>
      </c>
      <c r="B188" s="3">
        <v>1.1736172417482802</v>
      </c>
      <c r="C188" s="3">
        <v>1.1682758251719827E-2</v>
      </c>
    </row>
    <row r="189" spans="1:3" x14ac:dyDescent="0.3">
      <c r="A189" s="3">
        <v>163</v>
      </c>
      <c r="B189" s="3">
        <v>1.1720043339052033</v>
      </c>
      <c r="C189" s="3">
        <v>1.1995666094796631E-2</v>
      </c>
    </row>
    <row r="190" spans="1:3" x14ac:dyDescent="0.3">
      <c r="A190" s="3">
        <v>164</v>
      </c>
      <c r="B190" s="3">
        <v>1.1709674177154064</v>
      </c>
      <c r="C190" s="3">
        <v>1.7832582284593723E-2</v>
      </c>
    </row>
    <row r="191" spans="1:3" x14ac:dyDescent="0.3">
      <c r="A191" s="3">
        <v>165</v>
      </c>
      <c r="B191" s="3">
        <v>1.1748215882353015</v>
      </c>
      <c r="C191" s="3">
        <v>1.6478411764698553E-2</v>
      </c>
    </row>
    <row r="192" spans="1:3" x14ac:dyDescent="0.3">
      <c r="A192" s="3">
        <v>166</v>
      </c>
      <c r="B192" s="3">
        <v>1.1768244767648552</v>
      </c>
      <c r="C192" s="3">
        <v>1.4475523235144783E-2</v>
      </c>
    </row>
    <row r="193" spans="1:3" x14ac:dyDescent="0.3">
      <c r="A193" s="3">
        <v>167</v>
      </c>
      <c r="B193" s="3">
        <v>1.1768393902514627</v>
      </c>
      <c r="C193" s="3">
        <v>1.9360609748537261E-2</v>
      </c>
    </row>
    <row r="194" spans="1:3" x14ac:dyDescent="0.3">
      <c r="A194" s="3">
        <v>168</v>
      </c>
      <c r="B194" s="3">
        <v>1.1807886495067574</v>
      </c>
      <c r="C194" s="3">
        <v>1.2011350493242645E-2</v>
      </c>
    </row>
    <row r="195" spans="1:3" x14ac:dyDescent="0.3">
      <c r="A195" s="3">
        <v>169</v>
      </c>
      <c r="B195" s="3">
        <v>1.1780511093494275</v>
      </c>
      <c r="C195" s="3">
        <v>2.8948890650572601E-2</v>
      </c>
    </row>
    <row r="196" spans="1:3" x14ac:dyDescent="0.3">
      <c r="A196" s="3">
        <v>170</v>
      </c>
      <c r="B196" s="3">
        <v>1.1894900482993529</v>
      </c>
      <c r="C196" s="3">
        <v>2.2009951700647123E-2</v>
      </c>
    </row>
    <row r="197" spans="1:3" x14ac:dyDescent="0.3">
      <c r="A197" s="3">
        <v>171</v>
      </c>
      <c r="B197" s="3">
        <v>1.1930879359265956</v>
      </c>
      <c r="C197" s="3">
        <v>2.0912064073404402E-2</v>
      </c>
    </row>
    <row r="198" spans="1:3" x14ac:dyDescent="0.3">
      <c r="A198" s="3">
        <v>172</v>
      </c>
      <c r="B198" s="3">
        <v>1.1951444872843309</v>
      </c>
      <c r="C198" s="3">
        <v>1.6855512715669096E-2</v>
      </c>
    </row>
    <row r="199" spans="1:3" x14ac:dyDescent="0.3">
      <c r="A199" s="3">
        <v>173</v>
      </c>
      <c r="B199" s="3">
        <v>1.1935499431888432</v>
      </c>
      <c r="C199" s="3">
        <v>1.7250056811156878E-2</v>
      </c>
    </row>
    <row r="200" spans="1:3" x14ac:dyDescent="0.3">
      <c r="A200" s="3">
        <v>174</v>
      </c>
      <c r="B200" s="3">
        <v>1.1925948278945691</v>
      </c>
      <c r="C200" s="3">
        <v>1.75051721054309E-2</v>
      </c>
    </row>
    <row r="201" spans="1:3" x14ac:dyDescent="0.3">
      <c r="A201" s="3">
        <v>175</v>
      </c>
      <c r="B201" s="3">
        <v>1.1920257700691208</v>
      </c>
      <c r="C201" s="3">
        <v>1.6074229930879147E-2</v>
      </c>
    </row>
    <row r="202" spans="1:3" x14ac:dyDescent="0.3">
      <c r="A202" s="3">
        <v>176</v>
      </c>
      <c r="B202" s="3">
        <v>1.1904136682413975</v>
      </c>
      <c r="C202" s="3">
        <v>2.3186331758602519E-2</v>
      </c>
    </row>
    <row r="203" spans="1:3" x14ac:dyDescent="0.3">
      <c r="A203" s="3">
        <v>177</v>
      </c>
      <c r="B203" s="3">
        <v>1.1948357311483462</v>
      </c>
      <c r="C203" s="3">
        <v>1.6264268851653885E-2</v>
      </c>
    </row>
    <row r="204" spans="1:3" x14ac:dyDescent="0.3">
      <c r="A204" s="3">
        <v>178</v>
      </c>
      <c r="B204" s="3">
        <v>1.1928146879839914</v>
      </c>
      <c r="C204" s="3">
        <v>2.1485312016008562E-2</v>
      </c>
    </row>
    <row r="205" spans="1:3" x14ac:dyDescent="0.3">
      <c r="A205" s="3">
        <v>179</v>
      </c>
      <c r="B205" s="3">
        <v>1.1954087796708708</v>
      </c>
      <c r="C205" s="3">
        <v>1.9691220329129289E-2</v>
      </c>
    </row>
    <row r="206" spans="1:3" x14ac:dyDescent="0.3">
      <c r="A206" s="3">
        <v>180</v>
      </c>
      <c r="B206" s="3">
        <v>1.1960414214837489</v>
      </c>
      <c r="C206" s="3">
        <v>2.3658578516251083E-2</v>
      </c>
    </row>
    <row r="207" spans="1:3" x14ac:dyDescent="0.3">
      <c r="A207" s="3">
        <v>181</v>
      </c>
      <c r="B207" s="3">
        <v>1.199751305947349</v>
      </c>
      <c r="C207" s="3">
        <v>2.684869405265089E-2</v>
      </c>
    </row>
    <row r="208" spans="1:3" x14ac:dyDescent="0.3">
      <c r="A208" s="3">
        <v>182</v>
      </c>
      <c r="B208" s="3">
        <v>1.2053000997719496</v>
      </c>
      <c r="C208" s="3">
        <v>2.0199900228050405E-2</v>
      </c>
    </row>
    <row r="209" spans="1:3" x14ac:dyDescent="0.3">
      <c r="A209" s="3">
        <v>183</v>
      </c>
      <c r="B209" s="3">
        <v>1.2044267981215315</v>
      </c>
      <c r="C209" s="3">
        <v>1.9773201878468427E-2</v>
      </c>
    </row>
    <row r="210" spans="1:3" x14ac:dyDescent="0.3">
      <c r="A210" s="3">
        <v>184</v>
      </c>
      <c r="B210" s="3">
        <v>1.2034058473231088</v>
      </c>
      <c r="C210" s="3">
        <v>1.2694152676891113E-2</v>
      </c>
    </row>
    <row r="211" spans="1:3" x14ac:dyDescent="0.3">
      <c r="A211" s="3">
        <v>185</v>
      </c>
      <c r="B211" s="3">
        <v>1.196888795468475</v>
      </c>
      <c r="C211" s="3">
        <v>2.1611204531524875E-2</v>
      </c>
    </row>
    <row r="212" spans="1:3" x14ac:dyDescent="0.3">
      <c r="A212" s="3">
        <v>186</v>
      </c>
      <c r="B212" s="3">
        <v>1.1988197438420041</v>
      </c>
      <c r="C212" s="3">
        <v>1.9780256157995835E-2</v>
      </c>
    </row>
    <row r="213" spans="1:3" x14ac:dyDescent="0.3">
      <c r="A213" s="3">
        <v>187</v>
      </c>
      <c r="B213" s="3">
        <v>1.198870647037388</v>
      </c>
      <c r="C213" s="3">
        <v>2.1529352962611936E-2</v>
      </c>
    </row>
    <row r="214" spans="1:3" x14ac:dyDescent="0.3">
      <c r="A214" s="3">
        <v>188</v>
      </c>
      <c r="B214" s="3">
        <v>1.2003264403249396</v>
      </c>
      <c r="C214" s="3">
        <v>2.1073559675060416E-2</v>
      </c>
    </row>
    <row r="215" spans="1:3" x14ac:dyDescent="0.3">
      <c r="A215" s="3">
        <v>189</v>
      </c>
      <c r="B215" s="3">
        <v>1.20112981325346</v>
      </c>
      <c r="C215" s="3">
        <v>2.3570186746539878E-2</v>
      </c>
    </row>
    <row r="216" spans="1:3" x14ac:dyDescent="0.3">
      <c r="A216" s="3">
        <v>190</v>
      </c>
      <c r="B216" s="3">
        <v>1.203789262281685</v>
      </c>
      <c r="C216" s="3">
        <v>2.5710737718315002E-2</v>
      </c>
    </row>
    <row r="217" spans="1:3" x14ac:dyDescent="0.3">
      <c r="A217" s="3">
        <v>191</v>
      </c>
      <c r="B217" s="3">
        <v>1.2076507567552544</v>
      </c>
      <c r="C217" s="3">
        <v>1.3649243244745701E-2</v>
      </c>
    </row>
    <row r="218" spans="1:3" x14ac:dyDescent="0.3">
      <c r="A218" s="3">
        <v>192</v>
      </c>
      <c r="B218" s="3">
        <v>1.2010644507059807</v>
      </c>
      <c r="C218" s="3">
        <v>2.3735549294019442E-2</v>
      </c>
    </row>
    <row r="219" spans="1:3" x14ac:dyDescent="0.3">
      <c r="A219" s="3">
        <v>193</v>
      </c>
      <c r="B219" s="3">
        <v>1.2039011386429026</v>
      </c>
      <c r="C219" s="3">
        <v>2.5498861357097447E-2</v>
      </c>
    </row>
    <row r="220" spans="1:3" x14ac:dyDescent="0.3">
      <c r="A220" s="3">
        <v>194</v>
      </c>
      <c r="B220" s="3">
        <v>1.2075699249336718</v>
      </c>
      <c r="C220" s="3">
        <v>2.4930075066328161E-2</v>
      </c>
    </row>
    <row r="221" spans="1:3" x14ac:dyDescent="0.3">
      <c r="A221" s="3">
        <v>195</v>
      </c>
      <c r="B221" s="3">
        <v>1.2100720288683589</v>
      </c>
      <c r="C221" s="3">
        <v>1.692797113164124E-2</v>
      </c>
    </row>
    <row r="222" spans="1:3" x14ac:dyDescent="0.3">
      <c r="A222" s="3">
        <v>196</v>
      </c>
      <c r="B222" s="3">
        <v>1.205662695410725</v>
      </c>
      <c r="C222" s="3">
        <v>1.6137304589274981E-2</v>
      </c>
    </row>
    <row r="223" spans="1:3" x14ac:dyDescent="0.3">
      <c r="A223" s="3">
        <v>197</v>
      </c>
      <c r="B223" s="3">
        <v>1.2014951052658887</v>
      </c>
      <c r="C223" s="3">
        <v>1.3404894734111439E-2</v>
      </c>
    </row>
    <row r="224" spans="1:3" x14ac:dyDescent="0.3">
      <c r="A224" s="3">
        <v>198</v>
      </c>
      <c r="B224" s="3">
        <v>1.1959304937570996</v>
      </c>
      <c r="C224" s="3">
        <v>2.4769506242900308E-2</v>
      </c>
    </row>
    <row r="225" spans="1:3" x14ac:dyDescent="0.3">
      <c r="A225" s="3">
        <v>199</v>
      </c>
      <c r="B225" s="3">
        <v>1.2005815192671945</v>
      </c>
      <c r="C225" s="3">
        <v>1.5118480732805528E-2</v>
      </c>
    </row>
    <row r="226" spans="1:3" x14ac:dyDescent="0.3">
      <c r="A226" s="3">
        <v>200</v>
      </c>
      <c r="B226" s="3">
        <v>1.1965328483884272</v>
      </c>
      <c r="C226" s="3">
        <v>1.9067151611572797E-2</v>
      </c>
    </row>
    <row r="227" spans="1:3" x14ac:dyDescent="0.3">
      <c r="A227" s="3">
        <v>201</v>
      </c>
      <c r="B227" s="3">
        <v>1.1964757209337153</v>
      </c>
      <c r="C227" s="3">
        <v>1.1324279066284637E-2</v>
      </c>
    </row>
    <row r="228" spans="1:3" x14ac:dyDescent="0.3">
      <c r="A228" s="3">
        <v>202</v>
      </c>
      <c r="B228" s="3">
        <v>1.1901856909312809</v>
      </c>
      <c r="C228" s="3">
        <v>1.7414309068719103E-2</v>
      </c>
    </row>
    <row r="229" spans="1:3" x14ac:dyDescent="0.3">
      <c r="A229" s="3">
        <v>203</v>
      </c>
      <c r="B229" s="3">
        <v>1.190029631751278</v>
      </c>
      <c r="C229" s="3">
        <v>2.2770368248722139E-2</v>
      </c>
    </row>
    <row r="230" spans="1:3" x14ac:dyDescent="0.3">
      <c r="A230" s="3">
        <v>204</v>
      </c>
      <c r="B230" s="3">
        <v>1.1941847571583692</v>
      </c>
      <c r="C230" s="3">
        <v>1.6215242841630673E-2</v>
      </c>
    </row>
    <row r="231" spans="1:3" x14ac:dyDescent="0.3">
      <c r="A231" s="3">
        <v>205</v>
      </c>
      <c r="B231" s="3">
        <v>1.1922505412722906</v>
      </c>
      <c r="C231" s="3">
        <v>2.3949458727709372E-2</v>
      </c>
    </row>
    <row r="232" spans="1:3" x14ac:dyDescent="0.3">
      <c r="A232" s="3">
        <v>206</v>
      </c>
      <c r="B232" s="3">
        <v>1.1969344819904739</v>
      </c>
      <c r="C232" s="3">
        <v>1.9765518009525973E-2</v>
      </c>
    </row>
    <row r="233" spans="1:3" x14ac:dyDescent="0.3">
      <c r="A233" s="3">
        <v>207</v>
      </c>
      <c r="B233" s="3">
        <v>1.1973244959828193</v>
      </c>
      <c r="C233" s="3">
        <v>1.6375504017180686E-2</v>
      </c>
    </row>
    <row r="234" spans="1:3" x14ac:dyDescent="0.3">
      <c r="A234" s="3">
        <v>208</v>
      </c>
      <c r="B234" s="3">
        <v>1.1949315395975169</v>
      </c>
      <c r="C234" s="3">
        <v>2.1068460402483113E-2</v>
      </c>
    </row>
    <row r="235" spans="1:3" x14ac:dyDescent="0.3">
      <c r="A235" s="3">
        <v>209</v>
      </c>
      <c r="B235" s="3">
        <v>1.1967849227943239</v>
      </c>
      <c r="C235" s="3">
        <v>1.4015077205676185E-2</v>
      </c>
    </row>
    <row r="236" spans="1:3" x14ac:dyDescent="0.3">
      <c r="A236" s="3">
        <v>210</v>
      </c>
      <c r="B236" s="3">
        <v>1.1925911633146646</v>
      </c>
      <c r="C236" s="3">
        <v>1.9508836685335318E-2</v>
      </c>
    </row>
    <row r="237" spans="1:3" x14ac:dyDescent="0.3">
      <c r="A237" s="3">
        <v>211</v>
      </c>
      <c r="B237" s="3">
        <v>1.1936479904063992</v>
      </c>
      <c r="C237" s="3">
        <v>1.9952009593600772E-2</v>
      </c>
    </row>
    <row r="238" spans="1:3" x14ac:dyDescent="0.3">
      <c r="A238" s="3">
        <v>212</v>
      </c>
      <c r="B238" s="3">
        <v>1.1948355159617345</v>
      </c>
      <c r="C238" s="3">
        <v>1.1064484038265432E-2</v>
      </c>
    </row>
    <row r="239" spans="1:3" x14ac:dyDescent="0.3">
      <c r="A239" s="3">
        <v>213</v>
      </c>
      <c r="B239" s="3">
        <v>1.1886465863704834</v>
      </c>
      <c r="C239" s="3">
        <v>1.5553413629516566E-2</v>
      </c>
    </row>
    <row r="240" spans="1:3" x14ac:dyDescent="0.3">
      <c r="A240" s="3">
        <v>214</v>
      </c>
      <c r="B240" s="3">
        <v>1.1872896634026204</v>
      </c>
      <c r="C240" s="3">
        <v>1.6110336597379593E-2</v>
      </c>
    </row>
    <row r="241" spans="1:3" x14ac:dyDescent="0.3">
      <c r="A241" s="3">
        <v>215</v>
      </c>
      <c r="B241" s="3">
        <v>1.1866208516174377</v>
      </c>
      <c r="C241" s="3">
        <v>9.5791483825622414E-3</v>
      </c>
    </row>
    <row r="242" spans="1:3" x14ac:dyDescent="0.3">
      <c r="A242" s="3">
        <v>216</v>
      </c>
      <c r="B242" s="3">
        <v>1.1808251916504369</v>
      </c>
      <c r="C242" s="3">
        <v>2.337480834956307E-2</v>
      </c>
    </row>
    <row r="243" spans="1:3" x14ac:dyDescent="0.3">
      <c r="A243" s="3">
        <v>217</v>
      </c>
      <c r="B243" s="3">
        <v>1.1872608567636813</v>
      </c>
      <c r="C243" s="3">
        <v>1.7539143236318777E-2</v>
      </c>
    </row>
    <row r="244" spans="1:3" x14ac:dyDescent="0.3">
      <c r="A244" s="3">
        <v>218</v>
      </c>
      <c r="B244" s="3">
        <v>1.1877132884373729</v>
      </c>
      <c r="C244" s="3">
        <v>2.3986711562627105E-2</v>
      </c>
    </row>
    <row r="245" spans="1:3" x14ac:dyDescent="0.3">
      <c r="A245" s="3">
        <v>219</v>
      </c>
      <c r="B245" s="3">
        <v>1.1932895476555978</v>
      </c>
      <c r="C245" s="3">
        <v>1.8310452344402206E-2</v>
      </c>
    </row>
    <row r="246" spans="1:3" x14ac:dyDescent="0.3">
      <c r="A246" s="3">
        <v>220</v>
      </c>
      <c r="B246" s="3">
        <v>1.1932066598140623</v>
      </c>
      <c r="C246" s="3">
        <v>1.9593340185937835E-2</v>
      </c>
    </row>
    <row r="247" spans="1:3" x14ac:dyDescent="0.3">
      <c r="A247" s="3">
        <v>221</v>
      </c>
      <c r="B247" s="3">
        <v>1.1941955800302946</v>
      </c>
      <c r="C247" s="3">
        <v>1.7604419969705409E-2</v>
      </c>
    </row>
    <row r="248" spans="1:3" x14ac:dyDescent="0.3">
      <c r="A248" s="3">
        <v>222</v>
      </c>
      <c r="B248" s="3">
        <v>1.1933902347803369</v>
      </c>
      <c r="C248" s="3">
        <v>1.9309765219662989E-2</v>
      </c>
    </row>
    <row r="249" spans="1:3" x14ac:dyDescent="0.3">
      <c r="A249" s="3">
        <v>223</v>
      </c>
      <c r="B249" s="3">
        <v>1.1941188217366154</v>
      </c>
      <c r="C249" s="3">
        <v>1.6281178263384488E-2</v>
      </c>
    </row>
    <row r="250" spans="1:3" x14ac:dyDescent="0.3">
      <c r="A250" s="3">
        <v>224</v>
      </c>
      <c r="B250" s="3">
        <v>1.1922650944681681</v>
      </c>
      <c r="C250" s="3">
        <v>1.1334905531831918E-2</v>
      </c>
    </row>
    <row r="251" spans="1:3" x14ac:dyDescent="0.3">
      <c r="A251" s="3">
        <v>225</v>
      </c>
      <c r="B251" s="3">
        <v>1.1868010736372685</v>
      </c>
      <c r="C251" s="3">
        <v>2.1998926362731597E-2</v>
      </c>
    </row>
    <row r="252" spans="1:3" x14ac:dyDescent="0.3">
      <c r="A252" s="3">
        <v>226</v>
      </c>
      <c r="B252" s="3">
        <v>1.1909795098146323</v>
      </c>
      <c r="C252" s="3">
        <v>2.0720490185367701E-2</v>
      </c>
    </row>
    <row r="253" spans="1:3" x14ac:dyDescent="0.3">
      <c r="A253" s="3">
        <v>227</v>
      </c>
      <c r="B253" s="3">
        <v>1.1932848482577056</v>
      </c>
      <c r="C253" s="3">
        <v>2.2115151742294392E-2</v>
      </c>
    </row>
    <row r="254" spans="1:3" x14ac:dyDescent="0.3">
      <c r="A254" s="3">
        <v>228</v>
      </c>
      <c r="B254" s="3">
        <v>1.196276460639037</v>
      </c>
      <c r="C254" s="3">
        <v>1.862353936096306E-2</v>
      </c>
    </row>
    <row r="255" spans="1:3" x14ac:dyDescent="0.3">
      <c r="A255" s="3">
        <v>229</v>
      </c>
      <c r="B255" s="3">
        <v>1.1958819256587865</v>
      </c>
      <c r="C255" s="3">
        <v>2.0518074341213444E-2</v>
      </c>
    </row>
    <row r="256" spans="1:3" x14ac:dyDescent="0.3">
      <c r="A256" s="3">
        <v>230</v>
      </c>
      <c r="B256" s="3">
        <v>1.19710133420729</v>
      </c>
      <c r="C256" s="3">
        <v>2.049866579270998E-2</v>
      </c>
    </row>
    <row r="257" spans="1:3" x14ac:dyDescent="0.3">
      <c r="A257" s="3">
        <v>231</v>
      </c>
      <c r="B257" s="3">
        <v>1.1980636770083894</v>
      </c>
      <c r="C257" s="3">
        <v>9.3363229916105794E-3</v>
      </c>
    </row>
    <row r="258" spans="1:3" x14ac:dyDescent="0.3">
      <c r="A258" s="3">
        <v>232</v>
      </c>
      <c r="B258" s="3">
        <v>1.1898651060728063</v>
      </c>
      <c r="C258" s="3">
        <v>1.4834893927193837E-2</v>
      </c>
    </row>
    <row r="259" spans="1:3" x14ac:dyDescent="0.3">
      <c r="A259" s="3">
        <v>233</v>
      </c>
      <c r="B259" s="3">
        <v>1.1877045805060995</v>
      </c>
      <c r="C259" s="3">
        <v>2.119541949390058E-2</v>
      </c>
    </row>
    <row r="260" spans="1:3" x14ac:dyDescent="0.3">
      <c r="A260" s="3">
        <v>234</v>
      </c>
      <c r="B260" s="3">
        <v>1.1910488595884325</v>
      </c>
      <c r="C260" s="3">
        <v>1.5151140411567399E-2</v>
      </c>
    </row>
    <row r="261" spans="1:3" x14ac:dyDescent="0.3">
      <c r="A261" s="3">
        <v>235</v>
      </c>
      <c r="B261" s="3">
        <v>1.1888654142449846</v>
      </c>
      <c r="C261" s="3">
        <v>7.7345857550155106E-3</v>
      </c>
    </row>
    <row r="262" spans="1:3" x14ac:dyDescent="0.3">
      <c r="A262" s="3">
        <v>236</v>
      </c>
      <c r="B262" s="3">
        <v>1.181161247518393</v>
      </c>
      <c r="C262" s="3">
        <v>1.0538752481606961E-2</v>
      </c>
    </row>
    <row r="263" spans="1:3" x14ac:dyDescent="0.3">
      <c r="A263" s="3">
        <v>237</v>
      </c>
      <c r="B263" s="3">
        <v>1.1772176098130389</v>
      </c>
      <c r="C263" s="3">
        <v>7.0823901869609962E-3</v>
      </c>
    </row>
    <row r="264" spans="1:3" x14ac:dyDescent="0.3">
      <c r="A264" s="3">
        <v>238</v>
      </c>
      <c r="B264" s="3">
        <v>1.1712365528685786</v>
      </c>
      <c r="C264" s="3">
        <v>1.8563447131421329E-2</v>
      </c>
    </row>
    <row r="265" spans="1:3" x14ac:dyDescent="0.3">
      <c r="A265" s="3">
        <v>239</v>
      </c>
      <c r="B265" s="3">
        <v>1.1756476785022847</v>
      </c>
      <c r="C265" s="3">
        <v>1.6852321497715206E-2</v>
      </c>
    </row>
    <row r="266" spans="1:3" x14ac:dyDescent="0.3">
      <c r="A266" s="3">
        <v>240</v>
      </c>
      <c r="B266" s="3">
        <v>1.1777899078008283</v>
      </c>
      <c r="C266" s="3">
        <v>2.0610092199171648E-2</v>
      </c>
    </row>
    <row r="267" spans="1:3" x14ac:dyDescent="0.3">
      <c r="A267" s="3">
        <v>241</v>
      </c>
      <c r="B267" s="3">
        <v>1.1825519515287612</v>
      </c>
      <c r="C267" s="3">
        <v>1.2648048471238793E-2</v>
      </c>
    </row>
    <row r="268" spans="1:3" x14ac:dyDescent="0.3">
      <c r="A268" s="3">
        <v>242</v>
      </c>
      <c r="B268" s="3">
        <v>1.1799839095692535</v>
      </c>
      <c r="C268" s="3">
        <v>1.2816090430746607E-2</v>
      </c>
    </row>
    <row r="269" spans="1:3" x14ac:dyDescent="0.3">
      <c r="A269" s="3">
        <v>243</v>
      </c>
      <c r="B269" s="3">
        <v>1.1780762574822854</v>
      </c>
      <c r="C269" s="3">
        <v>1.1923742517714553E-2</v>
      </c>
    </row>
    <row r="270" spans="1:3" x14ac:dyDescent="0.3">
      <c r="A270" s="3">
        <v>244</v>
      </c>
      <c r="B270" s="3">
        <v>1.1758150054111478</v>
      </c>
      <c r="C270" s="3">
        <v>2.1984994588852169E-2</v>
      </c>
    </row>
    <row r="271" spans="1:3" x14ac:dyDescent="0.3">
      <c r="A271" s="3">
        <v>245</v>
      </c>
      <c r="B271" s="3">
        <v>1.1820814164806053</v>
      </c>
      <c r="C271" s="3">
        <v>9.4185835193947298E-3</v>
      </c>
    </row>
    <row r="272" spans="1:3" x14ac:dyDescent="0.3">
      <c r="A272" s="3">
        <v>246</v>
      </c>
      <c r="B272" s="3">
        <v>1.1770000984367104</v>
      </c>
      <c r="C272" s="3">
        <v>1.3299901563289529E-2</v>
      </c>
    </row>
    <row r="273" spans="1:3" x14ac:dyDescent="0.3">
      <c r="A273" s="3">
        <v>247</v>
      </c>
      <c r="B273" s="3">
        <v>1.176066091920948</v>
      </c>
      <c r="C273" s="3">
        <v>1.7033908079052029E-2</v>
      </c>
    </row>
    <row r="274" spans="1:3" x14ac:dyDescent="0.3">
      <c r="A274" s="3">
        <v>248</v>
      </c>
      <c r="B274" s="3">
        <v>1.178296941541529</v>
      </c>
      <c r="C274" s="3">
        <v>6.6030584584710894E-3</v>
      </c>
    </row>
    <row r="275" spans="1:3" x14ac:dyDescent="0.3">
      <c r="A275" s="3">
        <v>249</v>
      </c>
      <c r="B275" s="3">
        <v>1.1716964281033959</v>
      </c>
      <c r="C275" s="3">
        <v>9.5035718966041127E-3</v>
      </c>
    </row>
    <row r="276" spans="1:3" x14ac:dyDescent="0.3">
      <c r="A276" s="3">
        <v>250</v>
      </c>
      <c r="B276" s="3">
        <v>1.1687358953029459</v>
      </c>
      <c r="C276" s="3">
        <v>7.6641046970540305E-3</v>
      </c>
    </row>
    <row r="277" spans="1:3" x14ac:dyDescent="0.3">
      <c r="A277" s="3">
        <v>251</v>
      </c>
      <c r="B277" s="3">
        <v>1.1648498281738602</v>
      </c>
      <c r="C277" s="3">
        <v>1.4750171826139802E-2</v>
      </c>
    </row>
    <row r="278" spans="1:3" x14ac:dyDescent="0.3">
      <c r="A278" s="3">
        <v>252</v>
      </c>
      <c r="B278" s="3">
        <v>1.1674136975555487</v>
      </c>
      <c r="C278" s="3">
        <v>8.7863024444512217E-3</v>
      </c>
    </row>
    <row r="279" spans="1:3" x14ac:dyDescent="0.3">
      <c r="A279" s="3">
        <v>253</v>
      </c>
      <c r="B279" s="3">
        <v>1.1646607179592277</v>
      </c>
      <c r="C279" s="3">
        <v>6.7392820407723431E-3</v>
      </c>
    </row>
    <row r="280" spans="1:3" x14ac:dyDescent="0.3">
      <c r="A280" s="3">
        <v>254</v>
      </c>
      <c r="B280" s="3">
        <v>1.1608137766815361</v>
      </c>
      <c r="C280" s="3">
        <v>1.1986223318463995E-2</v>
      </c>
    </row>
    <row r="281" spans="1:3" x14ac:dyDescent="0.3">
      <c r="A281" s="3">
        <v>255</v>
      </c>
      <c r="B281" s="3">
        <v>1.1619311003935153</v>
      </c>
      <c r="C281" s="3">
        <v>1.5568899606484665E-2</v>
      </c>
    </row>
    <row r="282" spans="1:3" x14ac:dyDescent="0.3">
      <c r="A282" s="3">
        <v>256</v>
      </c>
      <c r="B282" s="3">
        <v>1.1656934163846917</v>
      </c>
      <c r="C282" s="3">
        <v>1.0506583615308207E-2</v>
      </c>
    </row>
    <row r="283" spans="1:3" x14ac:dyDescent="0.3">
      <c r="A283" s="3">
        <v>257</v>
      </c>
      <c r="B283" s="3">
        <v>1.1646496807683797</v>
      </c>
      <c r="C283" s="3">
        <v>1.6450319231620325E-2</v>
      </c>
    </row>
    <row r="284" spans="1:3" x14ac:dyDescent="0.3">
      <c r="A284" s="3">
        <v>258</v>
      </c>
      <c r="B284" s="3">
        <v>1.1686073833615416</v>
      </c>
      <c r="C284" s="3">
        <v>1.8892616638458426E-2</v>
      </c>
    </row>
    <row r="285" spans="1:3" x14ac:dyDescent="0.3">
      <c r="A285" s="3">
        <v>259</v>
      </c>
      <c r="B285" s="3">
        <v>1.1737466305370567</v>
      </c>
      <c r="C285" s="3">
        <v>1.325336946294331E-2</v>
      </c>
    </row>
    <row r="286" spans="1:3" x14ac:dyDescent="0.3">
      <c r="A286" s="3">
        <v>260</v>
      </c>
      <c r="B286" s="3">
        <v>1.1733572192540984</v>
      </c>
      <c r="C286" s="3">
        <v>1.7842780745901621E-2</v>
      </c>
    </row>
    <row r="287" spans="1:3" x14ac:dyDescent="0.3">
      <c r="A287" s="3">
        <v>261</v>
      </c>
      <c r="B287" s="3">
        <v>1.1767573118960368</v>
      </c>
      <c r="C287" s="3">
        <v>1.2842688103963162E-2</v>
      </c>
    </row>
    <row r="288" spans="1:3" x14ac:dyDescent="0.3">
      <c r="A288" s="3">
        <v>262</v>
      </c>
      <c r="B288" s="3">
        <v>1.1754660877380925</v>
      </c>
      <c r="C288" s="3">
        <v>1.5433912261907601E-2</v>
      </c>
    </row>
    <row r="289" spans="1:3" x14ac:dyDescent="0.3">
      <c r="A289" s="3">
        <v>263</v>
      </c>
      <c r="B289" s="3">
        <v>1.1765271018913583</v>
      </c>
      <c r="C289" s="3">
        <v>1.8072898108641766E-2</v>
      </c>
    </row>
    <row r="290" spans="1:3" x14ac:dyDescent="0.3">
      <c r="A290" s="3">
        <v>264</v>
      </c>
      <c r="B290" s="3">
        <v>1.1794963103030658</v>
      </c>
      <c r="C290" s="3">
        <v>1.8303689696934189E-2</v>
      </c>
    </row>
    <row r="291" spans="1:3" x14ac:dyDescent="0.3">
      <c r="A291" s="3">
        <v>265</v>
      </c>
      <c r="B291" s="3">
        <v>1.1820718384071451</v>
      </c>
      <c r="C291" s="3">
        <v>1.442816159285476E-2</v>
      </c>
    </row>
    <row r="292" spans="1:3" x14ac:dyDescent="0.3">
      <c r="A292" s="3">
        <v>266</v>
      </c>
      <c r="B292" s="3">
        <v>1.1810370225561253</v>
      </c>
      <c r="C292" s="3">
        <v>1.7262977443874616E-2</v>
      </c>
    </row>
    <row r="293" spans="1:3" x14ac:dyDescent="0.3">
      <c r="A293" s="3">
        <v>267</v>
      </c>
      <c r="B293" s="3">
        <v>1.1824964957749817</v>
      </c>
      <c r="C293" s="3">
        <v>2.080350422501831E-2</v>
      </c>
    </row>
    <row r="294" spans="1:3" x14ac:dyDescent="0.3">
      <c r="A294" s="3">
        <v>268</v>
      </c>
      <c r="B294" s="3">
        <v>1.1865118850811072</v>
      </c>
      <c r="C294" s="3">
        <v>1.6788114918892871E-2</v>
      </c>
    </row>
    <row r="295" spans="1:3" x14ac:dyDescent="0.3">
      <c r="A295" s="3">
        <v>269</v>
      </c>
      <c r="B295" s="3">
        <v>1.1865148067866385</v>
      </c>
      <c r="C295" s="3">
        <v>1.6785193213361582E-2</v>
      </c>
    </row>
    <row r="296" spans="1:3" x14ac:dyDescent="0.3">
      <c r="A296" s="3">
        <v>270</v>
      </c>
      <c r="B296" s="3">
        <v>1.1865320537531023</v>
      </c>
      <c r="C296" s="3">
        <v>1.4967946246897679E-2</v>
      </c>
    </row>
    <row r="297" spans="1:3" x14ac:dyDescent="0.3">
      <c r="A297" s="3">
        <v>271</v>
      </c>
      <c r="B297" s="3">
        <v>1.1850844732654058</v>
      </c>
      <c r="C297" s="3">
        <v>2.4815526734594195E-2</v>
      </c>
    </row>
    <row r="298" spans="1:3" x14ac:dyDescent="0.3">
      <c r="A298" s="3">
        <v>272</v>
      </c>
      <c r="B298" s="3">
        <v>1.1918410322675188</v>
      </c>
      <c r="C298" s="3">
        <v>1.6458967732481122E-2</v>
      </c>
    </row>
    <row r="299" spans="1:3" x14ac:dyDescent="0.3">
      <c r="A299" s="3">
        <v>273</v>
      </c>
      <c r="B299" s="3">
        <v>1.1905425626482815</v>
      </c>
      <c r="C299" s="3">
        <v>1.8457437351718564E-2</v>
      </c>
    </row>
    <row r="300" spans="1:3" x14ac:dyDescent="0.3">
      <c r="A300" s="3">
        <v>274</v>
      </c>
      <c r="B300" s="3">
        <v>1.1911355374241448</v>
      </c>
      <c r="C300" s="3">
        <v>2.1164462575855136E-2</v>
      </c>
    </row>
    <row r="301" spans="1:3" x14ac:dyDescent="0.3">
      <c r="A301" s="3">
        <v>275</v>
      </c>
      <c r="B301" s="3">
        <v>1.1937834557473179</v>
      </c>
      <c r="C301" s="3">
        <v>1.8016544252682065E-2</v>
      </c>
    </row>
    <row r="302" spans="1:3" x14ac:dyDescent="0.3">
      <c r="A302" s="3">
        <v>276</v>
      </c>
      <c r="B302" s="3">
        <v>1.1933815950780151</v>
      </c>
      <c r="C302" s="3">
        <v>8.4184049219848678E-3</v>
      </c>
    </row>
    <row r="303" spans="1:3" x14ac:dyDescent="0.3">
      <c r="A303" s="3">
        <v>277</v>
      </c>
      <c r="B303" s="3">
        <v>1.1853511929755842</v>
      </c>
      <c r="C303" s="3">
        <v>2.0748807024415727E-2</v>
      </c>
    </row>
    <row r="304" spans="1:3" x14ac:dyDescent="0.3">
      <c r="A304" s="3">
        <v>278</v>
      </c>
      <c r="B304" s="3">
        <v>1.1888141516265596</v>
      </c>
      <c r="C304" s="3">
        <v>1.2485848373440467E-2</v>
      </c>
    </row>
    <row r="305" spans="1:3" x14ac:dyDescent="0.3">
      <c r="A305" s="3">
        <v>279</v>
      </c>
      <c r="B305" s="3">
        <v>1.1849166160657143</v>
      </c>
      <c r="C305" s="3">
        <v>1.55833839342856E-2</v>
      </c>
    </row>
    <row r="306" spans="1:3" x14ac:dyDescent="0.3">
      <c r="A306" s="3">
        <v>280</v>
      </c>
      <c r="B306" s="3">
        <v>1.1842912350655301</v>
      </c>
      <c r="C306" s="3">
        <v>2.2108764934469782E-2</v>
      </c>
    </row>
    <row r="307" spans="1:3" x14ac:dyDescent="0.3">
      <c r="A307" s="3">
        <v>281</v>
      </c>
      <c r="B307" s="3">
        <v>1.1890200510842246</v>
      </c>
      <c r="C307" s="3">
        <v>2.7279948915775343E-2</v>
      </c>
    </row>
    <row r="308" spans="1:3" x14ac:dyDescent="0.3">
      <c r="A308" s="3">
        <v>282</v>
      </c>
      <c r="B308" s="3">
        <v>1.1969751053530946</v>
      </c>
      <c r="C308" s="3">
        <v>1.5924894646905496E-2</v>
      </c>
    </row>
    <row r="309" spans="1:3" x14ac:dyDescent="0.3">
      <c r="A309" s="3">
        <v>283</v>
      </c>
      <c r="B309" s="3">
        <v>1.1942546294137963</v>
      </c>
      <c r="C309" s="3">
        <v>2.0345370586203559E-2</v>
      </c>
    </row>
    <row r="310" spans="1:3" x14ac:dyDescent="0.3">
      <c r="A310" s="3">
        <v>284</v>
      </c>
      <c r="B310" s="3">
        <v>1.1956581730545148</v>
      </c>
      <c r="C310" s="3">
        <v>1.1241826945485256E-2</v>
      </c>
    </row>
    <row r="311" spans="1:3" x14ac:dyDescent="0.3">
      <c r="A311" s="3">
        <v>285</v>
      </c>
      <c r="B311" s="3">
        <v>1.1894528998266922</v>
      </c>
      <c r="C311" s="3">
        <v>1.8347100173307762E-2</v>
      </c>
    </row>
    <row r="312" spans="1:3" x14ac:dyDescent="0.3">
      <c r="A312" s="3">
        <v>286</v>
      </c>
      <c r="B312" s="3">
        <v>1.1901876163308274</v>
      </c>
      <c r="C312" s="3">
        <v>2.3812383669172599E-2</v>
      </c>
    </row>
    <row r="313" spans="1:3" x14ac:dyDescent="0.3">
      <c r="A313" s="3">
        <v>287</v>
      </c>
      <c r="B313" s="3">
        <v>1.1951465748747743</v>
      </c>
      <c r="C313" s="3">
        <v>1.9953425125225799E-2</v>
      </c>
    </row>
    <row r="314" spans="1:3" x14ac:dyDescent="0.3">
      <c r="A314" s="3">
        <v>288</v>
      </c>
      <c r="B314" s="3">
        <v>1.1960302357180264</v>
      </c>
      <c r="C314" s="3">
        <v>2.5969764281973617E-2</v>
      </c>
    </row>
    <row r="315" spans="1:3" x14ac:dyDescent="0.3">
      <c r="A315" s="3">
        <v>289</v>
      </c>
      <c r="B315" s="3">
        <v>1.2015999573080847</v>
      </c>
      <c r="C315" s="3">
        <v>1.5600042691915394E-2</v>
      </c>
    </row>
    <row r="316" spans="1:3" x14ac:dyDescent="0.3">
      <c r="A316" s="3">
        <v>290</v>
      </c>
      <c r="B316" s="3">
        <v>1.1977390006675435</v>
      </c>
      <c r="C316" s="3">
        <v>2.4860999332456446E-2</v>
      </c>
    </row>
    <row r="317" spans="1:3" x14ac:dyDescent="0.3">
      <c r="A317" s="3">
        <v>291</v>
      </c>
      <c r="B317" s="3">
        <v>1.2021086986586527</v>
      </c>
      <c r="C317" s="3">
        <v>1.5791301341347319E-2</v>
      </c>
    </row>
    <row r="318" spans="1:3" x14ac:dyDescent="0.3">
      <c r="A318" s="3">
        <v>292</v>
      </c>
      <c r="B318" s="3">
        <v>1.1983087978966083</v>
      </c>
      <c r="C318" s="3">
        <v>2.3191202103391761E-2</v>
      </c>
    </row>
    <row r="319" spans="1:3" x14ac:dyDescent="0.3">
      <c r="A319" s="3">
        <v>293</v>
      </c>
      <c r="B319" s="3">
        <v>1.2012256755660342</v>
      </c>
      <c r="C319" s="3">
        <v>2.3774324433965877E-2</v>
      </c>
    </row>
    <row r="320" spans="1:3" x14ac:dyDescent="0.3">
      <c r="A320" s="3">
        <v>294</v>
      </c>
      <c r="B320" s="3">
        <v>1.2040218364690212</v>
      </c>
      <c r="C320" s="3">
        <v>1.4978163530978916E-2</v>
      </c>
    </row>
    <row r="321" spans="1:3" x14ac:dyDescent="0.3">
      <c r="A321" s="3">
        <v>295</v>
      </c>
      <c r="B321" s="3">
        <v>1.1992066849508765</v>
      </c>
      <c r="C321" s="3">
        <v>1.9993315049123606E-2</v>
      </c>
    </row>
    <row r="322" spans="1:3" x14ac:dyDescent="0.3">
      <c r="A322" s="3">
        <v>296</v>
      </c>
      <c r="B322" s="3">
        <v>1.1993835447466863</v>
      </c>
      <c r="C322" s="3">
        <v>1.9516455253313802E-2</v>
      </c>
    </row>
    <row r="323" spans="1:3" x14ac:dyDescent="0.3">
      <c r="A323" s="3">
        <v>297</v>
      </c>
      <c r="B323" s="3">
        <v>1.1991214534842181</v>
      </c>
      <c r="C323" s="3">
        <v>2.3378546515781862E-2</v>
      </c>
    </row>
    <row r="324" spans="1:3" x14ac:dyDescent="0.3">
      <c r="A324" s="3">
        <v>298</v>
      </c>
      <c r="B324" s="3">
        <v>1.2020175015704133</v>
      </c>
      <c r="C324" s="3">
        <v>1.9082498429586758E-2</v>
      </c>
    </row>
    <row r="325" spans="1:3" x14ac:dyDescent="0.3">
      <c r="A325" s="3">
        <v>299</v>
      </c>
      <c r="B325" s="3">
        <v>1.2008882040318258</v>
      </c>
      <c r="C325" s="3">
        <v>2.0011795968174262E-2</v>
      </c>
    </row>
    <row r="326" spans="1:3" x14ac:dyDescent="0.3">
      <c r="A326" s="3">
        <v>300</v>
      </c>
      <c r="B326" s="3">
        <v>1.2007406999879395</v>
      </c>
      <c r="C326" s="3">
        <v>1.1659300012060392E-2</v>
      </c>
    </row>
    <row r="327" spans="1:3" x14ac:dyDescent="0.3">
      <c r="A327" s="3">
        <v>301</v>
      </c>
      <c r="B327" s="3">
        <v>1.1939002055779693</v>
      </c>
      <c r="C327" s="3">
        <v>2.2599794422030639E-2</v>
      </c>
    </row>
    <row r="328" spans="1:3" x14ac:dyDescent="0.3">
      <c r="A328" s="3">
        <v>302</v>
      </c>
      <c r="B328" s="3">
        <v>1.1972023706098034</v>
      </c>
      <c r="C328" s="3">
        <v>2.1697629390196704E-2</v>
      </c>
    </row>
    <row r="329" spans="1:3" x14ac:dyDescent="0.3">
      <c r="A329" s="3">
        <v>303</v>
      </c>
      <c r="B329" s="3">
        <v>1.1991004625777792</v>
      </c>
      <c r="C329" s="3">
        <v>1.7999537422220824E-2</v>
      </c>
    </row>
    <row r="330" spans="1:3" x14ac:dyDescent="0.3">
      <c r="A330" s="3">
        <v>304</v>
      </c>
      <c r="B330" s="3">
        <v>1.1976654467454333</v>
      </c>
      <c r="C330" s="3">
        <v>2.0134553254566701E-2</v>
      </c>
    </row>
    <row r="331" spans="1:3" x14ac:dyDescent="0.3">
      <c r="A331" s="3">
        <v>305</v>
      </c>
      <c r="B331" s="3">
        <v>1.1982378566496359</v>
      </c>
      <c r="C331" s="3">
        <v>1.8662143350364202E-2</v>
      </c>
    </row>
    <row r="332" spans="1:3" x14ac:dyDescent="0.3">
      <c r="A332" s="3">
        <v>306</v>
      </c>
      <c r="B332" s="3">
        <v>1.1975073972895249</v>
      </c>
      <c r="C332" s="3">
        <v>1.3092602710474965E-2</v>
      </c>
    </row>
    <row r="333" spans="1:3" x14ac:dyDescent="0.3">
      <c r="A333" s="3">
        <v>307</v>
      </c>
      <c r="B333" s="3">
        <v>1.1924438718543231</v>
      </c>
      <c r="C333" s="3">
        <v>1.9356128145676887E-2</v>
      </c>
    </row>
    <row r="334" spans="1:3" x14ac:dyDescent="0.3">
      <c r="A334" s="3">
        <v>308</v>
      </c>
      <c r="B334" s="3">
        <v>1.1934099629338426</v>
      </c>
      <c r="C334" s="3">
        <v>1.8990037066157317E-2</v>
      </c>
    </row>
    <row r="335" spans="1:3" x14ac:dyDescent="0.3">
      <c r="A335" s="3">
        <v>309</v>
      </c>
      <c r="B335" s="3">
        <v>1.1938699696567554</v>
      </c>
      <c r="C335" s="3">
        <v>5.5300303432446185E-3</v>
      </c>
    </row>
    <row r="336" spans="1:3" x14ac:dyDescent="0.3">
      <c r="A336" s="3">
        <v>310</v>
      </c>
      <c r="B336" s="3">
        <v>1.1834189664977217</v>
      </c>
      <c r="C336" s="3">
        <v>7.1810335022783889E-3</v>
      </c>
    </row>
    <row r="337" spans="1:3" x14ac:dyDescent="0.3">
      <c r="A337" s="3">
        <v>311</v>
      </c>
      <c r="B337" s="3">
        <v>1.1763525226978535</v>
      </c>
      <c r="C337" s="3">
        <v>9.6474773021464344E-3</v>
      </c>
    </row>
    <row r="338" spans="1:3" x14ac:dyDescent="0.3">
      <c r="A338" s="3">
        <v>312</v>
      </c>
      <c r="B338" s="3">
        <v>1.172614093703817</v>
      </c>
      <c r="C338" s="3">
        <v>1.888590629618303E-2</v>
      </c>
    </row>
    <row r="339" spans="1:3" x14ac:dyDescent="0.3">
      <c r="A339" s="3">
        <v>313</v>
      </c>
      <c r="B339" s="3">
        <v>1.1770099258703397</v>
      </c>
      <c r="C339" s="3">
        <v>1.6790074129660271E-2</v>
      </c>
    </row>
    <row r="340" spans="1:3" x14ac:dyDescent="0.3">
      <c r="A340" s="3">
        <v>314</v>
      </c>
      <c r="B340" s="3">
        <v>1.1788401289172812</v>
      </c>
      <c r="C340" s="3">
        <v>1.3659871082718711E-2</v>
      </c>
    </row>
    <row r="341" spans="1:3" x14ac:dyDescent="0.3">
      <c r="A341" s="3">
        <v>315</v>
      </c>
      <c r="B341" s="3">
        <v>1.1778121136706197</v>
      </c>
      <c r="C341" s="3">
        <v>1.5187886329380396E-2</v>
      </c>
    </row>
    <row r="342" spans="1:3" x14ac:dyDescent="0.3">
      <c r="A342" s="3">
        <v>316</v>
      </c>
      <c r="B342" s="3">
        <v>1.1782230076388427</v>
      </c>
      <c r="C342" s="3">
        <v>1.5076992361157338E-2</v>
      </c>
    </row>
    <row r="343" spans="1:3" x14ac:dyDescent="0.3">
      <c r="A343" s="3">
        <v>317</v>
      </c>
      <c r="B343" s="3">
        <v>1.1784594581219388</v>
      </c>
      <c r="C343" s="3">
        <v>1.3940541878061152E-2</v>
      </c>
    </row>
    <row r="344" spans="1:3" x14ac:dyDescent="0.3">
      <c r="A344" s="3">
        <v>318</v>
      </c>
      <c r="B344" s="3">
        <v>1.177737195342593</v>
      </c>
      <c r="C344" s="3">
        <v>1.1762804657406978E-2</v>
      </c>
    </row>
    <row r="345" spans="1:3" x14ac:dyDescent="0.3">
      <c r="A345" s="3">
        <v>319</v>
      </c>
      <c r="B345" s="3">
        <v>1.1754066088490565</v>
      </c>
      <c r="C345" s="3">
        <v>1.0093391150943543E-2</v>
      </c>
    </row>
    <row r="346" spans="1:3" x14ac:dyDescent="0.3">
      <c r="A346" s="3">
        <v>320</v>
      </c>
      <c r="B346" s="3">
        <v>1.1721885654442676</v>
      </c>
      <c r="C346" s="3">
        <v>1.2611434555732437E-2</v>
      </c>
    </row>
    <row r="347" spans="1:3" x14ac:dyDescent="0.3">
      <c r="A347" s="3">
        <v>321</v>
      </c>
      <c r="B347" s="3">
        <v>1.1716182439981977</v>
      </c>
      <c r="C347" s="3">
        <v>1.4781756001802204E-2</v>
      </c>
    </row>
    <row r="348" spans="1:3" x14ac:dyDescent="0.3">
      <c r="A348" s="3">
        <v>322</v>
      </c>
      <c r="B348" s="3">
        <v>1.1728916448446478</v>
      </c>
      <c r="C348" s="3">
        <v>1.3208355155352125E-2</v>
      </c>
    </row>
    <row r="349" spans="1:3" x14ac:dyDescent="0.3">
      <c r="A349" s="3">
        <v>323</v>
      </c>
      <c r="B349" s="3">
        <v>1.1726469149499603</v>
      </c>
      <c r="C349" s="3">
        <v>9.5530850500396003E-3</v>
      </c>
    </row>
    <row r="350" spans="1:3" x14ac:dyDescent="0.3">
      <c r="A350" s="3">
        <v>324</v>
      </c>
      <c r="B350" s="3">
        <v>1.1695162068213629</v>
      </c>
      <c r="C350" s="3">
        <v>9.3837931786371342E-3</v>
      </c>
    </row>
    <row r="351" spans="1:3" x14ac:dyDescent="0.3">
      <c r="A351" s="3">
        <v>325</v>
      </c>
      <c r="B351" s="3">
        <v>1.1668638384604668</v>
      </c>
      <c r="C351" s="3">
        <v>1.7336161539533101E-2</v>
      </c>
    </row>
    <row r="352" spans="1:3" x14ac:dyDescent="0.3">
      <c r="A352" s="3">
        <v>326</v>
      </c>
      <c r="B352" s="3">
        <v>1.1711148757050904</v>
      </c>
      <c r="C352" s="3">
        <v>1.6185124294909592E-2</v>
      </c>
    </row>
    <row r="353" spans="1:3" x14ac:dyDescent="0.3">
      <c r="A353" s="3">
        <v>327</v>
      </c>
      <c r="B353" s="3">
        <v>1.1735930635570515</v>
      </c>
      <c r="C353" s="3">
        <v>1.2306936442948446E-2</v>
      </c>
    </row>
    <row r="354" spans="1:3" x14ac:dyDescent="0.3">
      <c r="A354" s="3">
        <v>328</v>
      </c>
      <c r="B354" s="3">
        <v>1.1724834113411426</v>
      </c>
      <c r="C354" s="3">
        <v>4.9165886588573571E-3</v>
      </c>
    </row>
    <row r="355" spans="1:3" x14ac:dyDescent="0.3">
      <c r="A355" s="3">
        <v>329</v>
      </c>
      <c r="B355" s="3">
        <v>1.1656592281295648</v>
      </c>
      <c r="C355" s="3">
        <v>1.7840771870435201E-2</v>
      </c>
    </row>
    <row r="356" spans="1:3" x14ac:dyDescent="0.3">
      <c r="A356" s="3">
        <v>330</v>
      </c>
      <c r="B356" s="3">
        <v>1.1705656766535546</v>
      </c>
      <c r="C356" s="3">
        <v>1.0634323346445429E-2</v>
      </c>
    </row>
    <row r="357" spans="1:3" x14ac:dyDescent="0.3">
      <c r="A357" s="3">
        <v>331</v>
      </c>
      <c r="B357" s="3">
        <v>1.1686826602449203</v>
      </c>
      <c r="C357" s="3">
        <v>1.1817339755079814E-2</v>
      </c>
    </row>
    <row r="358" spans="1:3" x14ac:dyDescent="0.3">
      <c r="A358" s="3">
        <v>332</v>
      </c>
      <c r="B358" s="3">
        <v>1.1681422656896705</v>
      </c>
      <c r="C358" s="3">
        <v>1.165773431032946E-2</v>
      </c>
    </row>
    <row r="359" spans="1:3" x14ac:dyDescent="0.3">
      <c r="A359" s="3">
        <v>333</v>
      </c>
      <c r="B359" s="3">
        <v>1.167571844325995</v>
      </c>
      <c r="C359" s="3">
        <v>1.0328155674004913E-2</v>
      </c>
    </row>
    <row r="360" spans="1:3" x14ac:dyDescent="0.3">
      <c r="A360" s="3">
        <v>334</v>
      </c>
      <c r="B360" s="3">
        <v>1.1660418883331234</v>
      </c>
      <c r="C360" s="3">
        <v>1.3158111666876637E-2</v>
      </c>
    </row>
    <row r="361" spans="1:3" x14ac:dyDescent="0.3">
      <c r="A361" s="3">
        <v>335</v>
      </c>
      <c r="B361" s="3">
        <v>1.1670861976913989</v>
      </c>
      <c r="C361" s="3">
        <v>9.9138023086011717E-3</v>
      </c>
    </row>
    <row r="362" spans="1:3" x14ac:dyDescent="0.3">
      <c r="A362" s="3">
        <v>336</v>
      </c>
      <c r="B362" s="3">
        <v>1.1653095241310016</v>
      </c>
      <c r="C362" s="3">
        <v>1.1790475868998396E-2</v>
      </c>
    </row>
    <row r="363" spans="1:3" x14ac:dyDescent="0.3">
      <c r="A363" s="3">
        <v>337</v>
      </c>
      <c r="B363" s="3">
        <v>1.1653958758495415</v>
      </c>
      <c r="C363" s="3">
        <v>1.4504124150458431E-2</v>
      </c>
    </row>
    <row r="364" spans="1:3" x14ac:dyDescent="0.3">
      <c r="A364" s="3">
        <v>338</v>
      </c>
      <c r="B364" s="3">
        <v>1.1676400133099998</v>
      </c>
      <c r="C364" s="3">
        <v>1.3759986690000225E-2</v>
      </c>
    </row>
    <row r="365" spans="1:3" x14ac:dyDescent="0.3">
      <c r="A365" s="3">
        <v>339</v>
      </c>
      <c r="B365" s="3">
        <v>1.1688448344890678</v>
      </c>
      <c r="C365" s="3">
        <v>1.5355165510932078E-2</v>
      </c>
    </row>
    <row r="366" spans="1:3" x14ac:dyDescent="0.3">
      <c r="A366" s="3">
        <v>340</v>
      </c>
      <c r="B366" s="3">
        <v>1.1711052984993193</v>
      </c>
      <c r="C366" s="3">
        <v>1.7494701500680776E-2</v>
      </c>
    </row>
    <row r="367" spans="1:3" x14ac:dyDescent="0.3">
      <c r="A367" s="3">
        <v>341</v>
      </c>
      <c r="B367" s="3">
        <v>1.1746471618369532</v>
      </c>
      <c r="C367" s="3">
        <v>1.2352838163046886E-2</v>
      </c>
    </row>
    <row r="368" spans="1:3" x14ac:dyDescent="0.3">
      <c r="A368" s="3">
        <v>342</v>
      </c>
      <c r="B368" s="3">
        <v>1.1733671891887789</v>
      </c>
      <c r="C368" s="3">
        <v>1.3332810811221174E-2</v>
      </c>
    </row>
    <row r="369" spans="1:3" x14ac:dyDescent="0.3">
      <c r="A369" s="3">
        <v>343</v>
      </c>
      <c r="B369" s="3">
        <v>1.1731421550094177</v>
      </c>
      <c r="C369" s="3">
        <v>1.285784499058229E-2</v>
      </c>
    </row>
    <row r="370" spans="1:3" x14ac:dyDescent="0.3">
      <c r="A370" s="3">
        <v>344</v>
      </c>
      <c r="B370" s="3">
        <v>1.1725738852448551</v>
      </c>
      <c r="C370" s="3">
        <v>1.0926114755144933E-2</v>
      </c>
    </row>
    <row r="371" spans="1:3" x14ac:dyDescent="0.3">
      <c r="A371" s="3">
        <v>345</v>
      </c>
      <c r="B371" s="3">
        <v>1.1705627821800686</v>
      </c>
      <c r="C371" s="3">
        <v>1.2637217819931434E-2</v>
      </c>
    </row>
    <row r="372" spans="1:3" x14ac:dyDescent="0.3">
      <c r="A372" s="3">
        <v>346</v>
      </c>
      <c r="B372" s="3">
        <v>1.1703207477913453</v>
      </c>
      <c r="C372" s="3">
        <v>5.6792522086546171E-3</v>
      </c>
    </row>
    <row r="373" spans="1:3" x14ac:dyDescent="0.3">
      <c r="A373" s="3">
        <v>347</v>
      </c>
      <c r="B373" s="3">
        <v>1.1645219995894709</v>
      </c>
      <c r="C373" s="3">
        <v>9.1780004105290747E-3</v>
      </c>
    </row>
    <row r="374" spans="1:3" x14ac:dyDescent="0.3">
      <c r="A374" s="3">
        <v>348</v>
      </c>
      <c r="B374" s="3">
        <v>1.1626760121642092</v>
      </c>
      <c r="C374" s="3">
        <v>9.1239878357907145E-3</v>
      </c>
    </row>
    <row r="375" spans="1:3" x14ac:dyDescent="0.3">
      <c r="A375" s="3">
        <v>349</v>
      </c>
      <c r="B375" s="3">
        <v>1.1611246870197014</v>
      </c>
      <c r="C375" s="3">
        <v>1.257531298029857E-2</v>
      </c>
    </row>
    <row r="376" spans="1:3" x14ac:dyDescent="0.3">
      <c r="A376" s="3">
        <v>350</v>
      </c>
      <c r="B376" s="3">
        <v>1.1626460041779403</v>
      </c>
      <c r="C376" s="3">
        <v>1.0053995822059791E-2</v>
      </c>
    </row>
    <row r="377" spans="1:3" x14ac:dyDescent="0.3">
      <c r="A377" s="3">
        <v>351</v>
      </c>
      <c r="B377" s="3">
        <v>1.16183398981172</v>
      </c>
      <c r="C377" s="3">
        <v>1.7266010188280001E-2</v>
      </c>
    </row>
    <row r="378" spans="1:3" x14ac:dyDescent="0.3">
      <c r="A378" s="3">
        <v>352</v>
      </c>
      <c r="B378" s="3">
        <v>1.1669881539445988</v>
      </c>
      <c r="C378" s="3">
        <v>1.0711846055401208E-2</v>
      </c>
    </row>
    <row r="379" spans="1:3" x14ac:dyDescent="0.3">
      <c r="A379" s="3">
        <v>353</v>
      </c>
      <c r="B379" s="3">
        <v>1.1658546009973643</v>
      </c>
      <c r="C379" s="3">
        <v>4.9453990026357975E-3</v>
      </c>
    </row>
    <row r="380" spans="1:3" x14ac:dyDescent="0.3">
      <c r="A380" s="3">
        <v>354</v>
      </c>
      <c r="B380" s="3">
        <v>1.1603285389949387</v>
      </c>
      <c r="C380" s="3">
        <v>1.0671461005061333E-2</v>
      </c>
    </row>
    <row r="381" spans="1:3" x14ac:dyDescent="0.3">
      <c r="A381" s="3">
        <v>355</v>
      </c>
      <c r="B381" s="3">
        <v>1.1604890884600454</v>
      </c>
      <c r="C381" s="3">
        <v>6.9109115399546006E-3</v>
      </c>
    </row>
    <row r="382" spans="1:3" x14ac:dyDescent="0.3">
      <c r="A382" s="3">
        <v>356</v>
      </c>
      <c r="B382" s="3">
        <v>1.1575699951828364</v>
      </c>
      <c r="C382" s="3">
        <v>1.2030004817163542E-2</v>
      </c>
    </row>
    <row r="383" spans="1:3" x14ac:dyDescent="0.3">
      <c r="A383" s="3">
        <v>357</v>
      </c>
      <c r="B383" s="3">
        <v>1.1593423168877377</v>
      </c>
      <c r="C383" s="3">
        <v>1.4957683112262199E-2</v>
      </c>
    </row>
    <row r="384" spans="1:3" x14ac:dyDescent="0.3">
      <c r="A384" s="3">
        <v>358</v>
      </c>
      <c r="B384" s="3">
        <v>1.1631082461984821</v>
      </c>
      <c r="C384" s="3">
        <v>1.2191753801517935E-2</v>
      </c>
    </row>
    <row r="385" spans="1:3" x14ac:dyDescent="0.3">
      <c r="A385" s="3">
        <v>359</v>
      </c>
      <c r="B385" s="3">
        <v>1.163916956275528</v>
      </c>
      <c r="C385" s="3">
        <v>1.3083043724471999E-2</v>
      </c>
    </row>
    <row r="386" spans="1:3" x14ac:dyDescent="0.3">
      <c r="A386" s="3">
        <v>360</v>
      </c>
      <c r="B386" s="3">
        <v>1.1652996703330161</v>
      </c>
      <c r="C386" s="3">
        <v>9.7003296669839756E-3</v>
      </c>
    </row>
    <row r="387" spans="1:3" x14ac:dyDescent="0.3">
      <c r="A387" s="3">
        <v>361</v>
      </c>
      <c r="B387" s="3">
        <v>1.1636935793133871</v>
      </c>
      <c r="C387" s="3">
        <v>1.5606420686612887E-2</v>
      </c>
    </row>
    <row r="388" spans="1:3" x14ac:dyDescent="0.3">
      <c r="A388" s="3">
        <v>362</v>
      </c>
      <c r="B388" s="3">
        <v>1.1671588671057738</v>
      </c>
      <c r="C388" s="3">
        <v>1.2341132894226226E-2</v>
      </c>
    </row>
    <row r="389" spans="1:3" x14ac:dyDescent="0.3">
      <c r="A389" s="3">
        <v>363</v>
      </c>
      <c r="B389" s="3">
        <v>1.1673099836015388</v>
      </c>
      <c r="C389" s="3">
        <v>1.3390016398461269E-2</v>
      </c>
    </row>
    <row r="390" spans="1:3" x14ac:dyDescent="0.3">
      <c r="A390" s="3">
        <v>364</v>
      </c>
      <c r="B390" s="3">
        <v>1.1682897381630664</v>
      </c>
      <c r="C390" s="3">
        <v>1.5410261836933614E-2</v>
      </c>
    </row>
    <row r="391" spans="1:3" x14ac:dyDescent="0.3">
      <c r="A391" s="3">
        <v>365</v>
      </c>
      <c r="B391" s="3">
        <v>1.1707022732593106</v>
      </c>
      <c r="C391" s="3">
        <v>1.6597726740689378E-2</v>
      </c>
    </row>
    <row r="392" spans="1:3" x14ac:dyDescent="0.3">
      <c r="A392" s="3">
        <v>366</v>
      </c>
      <c r="B392" s="3">
        <v>1.1735996011852179</v>
      </c>
      <c r="C392" s="3">
        <v>1.4600398814782034E-2</v>
      </c>
    </row>
    <row r="393" spans="1:3" x14ac:dyDescent="0.3">
      <c r="A393" s="3">
        <v>367</v>
      </c>
      <c r="B393" s="3">
        <v>1.1743313728232196</v>
      </c>
      <c r="C393" s="3">
        <v>1.2468627176780434E-2</v>
      </c>
    </row>
    <row r="394" spans="1:3" x14ac:dyDescent="0.3">
      <c r="A394" s="3">
        <v>368</v>
      </c>
      <c r="B394" s="3">
        <v>1.1732173030077673</v>
      </c>
      <c r="C394" s="3">
        <v>1.0682696992232676E-2</v>
      </c>
    </row>
    <row r="395" spans="1:3" x14ac:dyDescent="0.3">
      <c r="A395" s="3">
        <v>369</v>
      </c>
      <c r="B395" s="3">
        <v>1.1708891148704459</v>
      </c>
      <c r="C395" s="3">
        <v>1.0410885129554126E-2</v>
      </c>
    </row>
    <row r="396" spans="1:3" x14ac:dyDescent="0.3">
      <c r="A396" s="3">
        <v>370</v>
      </c>
      <c r="B396" s="3">
        <v>1.1687952427038859</v>
      </c>
      <c r="C396" s="3">
        <v>1.3704757296114201E-2</v>
      </c>
    </row>
    <row r="397" spans="1:3" x14ac:dyDescent="0.3">
      <c r="A397" s="3">
        <v>371</v>
      </c>
      <c r="B397" s="3">
        <v>1.1697520024670471</v>
      </c>
      <c r="C397" s="3">
        <v>1.164799753295287E-2</v>
      </c>
    </row>
    <row r="398" spans="1:3" x14ac:dyDescent="0.3">
      <c r="A398" s="3">
        <v>372</v>
      </c>
      <c r="B398" s="3">
        <v>1.168857612595652</v>
      </c>
      <c r="C398" s="3">
        <v>1.1942387404348054E-2</v>
      </c>
    </row>
    <row r="399" spans="1:3" x14ac:dyDescent="0.3">
      <c r="A399" s="3">
        <v>373</v>
      </c>
      <c r="B399" s="3">
        <v>1.168379948222898</v>
      </c>
      <c r="C399" s="3">
        <v>1.1820051777101881E-2</v>
      </c>
    </row>
    <row r="400" spans="1:3" x14ac:dyDescent="0.3">
      <c r="A400" s="3">
        <v>374</v>
      </c>
      <c r="B400" s="3">
        <v>1.1678940215253313</v>
      </c>
      <c r="C400" s="3">
        <v>1.3605978474668712E-2</v>
      </c>
    </row>
    <row r="401" spans="1:3" x14ac:dyDescent="0.3">
      <c r="A401" s="3">
        <v>375</v>
      </c>
      <c r="B401" s="3">
        <v>1.168937821150313</v>
      </c>
      <c r="C401" s="3">
        <v>7.4621788496869179E-3</v>
      </c>
    </row>
    <row r="402" spans="1:3" x14ac:dyDescent="0.3">
      <c r="A402" s="3">
        <v>376</v>
      </c>
      <c r="B402" s="3">
        <v>1.1648334187932405</v>
      </c>
      <c r="C402" s="3">
        <v>7.6665812067595596E-3</v>
      </c>
    </row>
    <row r="403" spans="1:3" x14ac:dyDescent="0.3">
      <c r="A403" s="3">
        <v>377</v>
      </c>
      <c r="B403" s="3">
        <v>1.1617048315609555</v>
      </c>
      <c r="C403" s="3">
        <v>1.07951684390446E-2</v>
      </c>
    </row>
    <row r="404" spans="1:3" x14ac:dyDescent="0.3">
      <c r="A404" s="3">
        <v>378</v>
      </c>
      <c r="B404" s="3">
        <v>1.161689803673031</v>
      </c>
      <c r="C404" s="3">
        <v>1.0610196326968913E-2</v>
      </c>
    </row>
    <row r="405" spans="1:3" x14ac:dyDescent="0.3">
      <c r="A405" s="3">
        <v>379</v>
      </c>
      <c r="B405" s="3">
        <v>1.1615155087627784</v>
      </c>
      <c r="C405" s="3">
        <v>7.0844912372216573E-3</v>
      </c>
    </row>
    <row r="406" spans="1:3" x14ac:dyDescent="0.3">
      <c r="A406" s="3">
        <v>380</v>
      </c>
      <c r="B406" s="3">
        <v>1.1585400581372758</v>
      </c>
      <c r="C406" s="3">
        <v>1.5059941862724191E-2</v>
      </c>
    </row>
    <row r="407" spans="1:3" x14ac:dyDescent="0.3">
      <c r="A407" s="3">
        <v>381</v>
      </c>
      <c r="B407" s="3">
        <v>1.162562857698658</v>
      </c>
      <c r="C407" s="3">
        <v>8.8371423013420269E-3</v>
      </c>
    </row>
    <row r="408" spans="1:3" x14ac:dyDescent="0.3">
      <c r="A408" s="3">
        <v>382</v>
      </c>
      <c r="B408" s="3">
        <v>1.1607775427005615</v>
      </c>
      <c r="C408" s="3">
        <v>8.6224572994384463E-3</v>
      </c>
    </row>
    <row r="409" spans="1:3" x14ac:dyDescent="0.3">
      <c r="A409" s="3">
        <v>383</v>
      </c>
      <c r="B409" s="3">
        <v>1.1591878132719717</v>
      </c>
      <c r="C409" s="3">
        <v>8.9121867280281819E-3</v>
      </c>
    </row>
    <row r="410" spans="1:3" x14ac:dyDescent="0.3">
      <c r="A410" s="3">
        <v>384</v>
      </c>
      <c r="B410" s="3">
        <v>1.1581360646910162</v>
      </c>
      <c r="C410" s="3">
        <v>1.3639353089838213E-3</v>
      </c>
    </row>
    <row r="411" spans="1:3" x14ac:dyDescent="0.3">
      <c r="A411" s="3">
        <v>385</v>
      </c>
      <c r="B411" s="3">
        <v>1.1512138026913921</v>
      </c>
      <c r="C411" s="3">
        <v>6.8861973086078443E-3</v>
      </c>
    </row>
    <row r="412" spans="1:3" x14ac:dyDescent="0.3">
      <c r="A412" s="3">
        <v>386</v>
      </c>
      <c r="B412" s="3">
        <v>1.1500890765333567</v>
      </c>
      <c r="C412" s="3">
        <v>9.3109234666433061E-3</v>
      </c>
    </row>
    <row r="413" spans="1:3" x14ac:dyDescent="0.3">
      <c r="A413" s="3">
        <v>387</v>
      </c>
      <c r="B413" s="3">
        <v>1.1511058069643794</v>
      </c>
      <c r="C413" s="3">
        <v>1.0994193035620548E-2</v>
      </c>
    </row>
    <row r="414" spans="1:3" x14ac:dyDescent="0.3">
      <c r="A414" s="3">
        <v>388</v>
      </c>
      <c r="B414" s="3">
        <v>1.1532714938726913</v>
      </c>
      <c r="C414" s="3">
        <v>6.3285061273086196E-3</v>
      </c>
    </row>
    <row r="415" spans="1:3" x14ac:dyDescent="0.3">
      <c r="A415" s="3">
        <v>389</v>
      </c>
      <c r="B415" s="3">
        <v>1.1512636745395446</v>
      </c>
      <c r="C415" s="3">
        <v>4.3363254604553703E-3</v>
      </c>
    </row>
    <row r="416" spans="1:3" x14ac:dyDescent="0.3">
      <c r="A416" s="3">
        <v>390</v>
      </c>
      <c r="B416" s="3">
        <v>1.1480577859744181</v>
      </c>
      <c r="C416" s="3">
        <v>6.9422140255819276E-3</v>
      </c>
    </row>
    <row r="417" spans="1:3" x14ac:dyDescent="0.3">
      <c r="A417" s="3">
        <v>391</v>
      </c>
      <c r="B417" s="3">
        <v>1.1475692654238705</v>
      </c>
      <c r="C417" s="3">
        <v>9.1307345761295622E-3</v>
      </c>
    </row>
    <row r="418" spans="1:3" x14ac:dyDescent="0.3">
      <c r="A418" s="3">
        <v>392</v>
      </c>
      <c r="B418" s="3">
        <v>1.1489230216644779</v>
      </c>
      <c r="C418" s="3">
        <v>6.1769783355221097E-3</v>
      </c>
    </row>
    <row r="419" spans="1:3" x14ac:dyDescent="0.3">
      <c r="A419" s="3">
        <v>393</v>
      </c>
      <c r="B419" s="3">
        <v>1.1476330961684023</v>
      </c>
      <c r="C419" s="3">
        <v>5.0669038315978021E-3</v>
      </c>
    </row>
    <row r="420" spans="1:3" x14ac:dyDescent="0.3">
      <c r="A420" s="3">
        <v>394</v>
      </c>
      <c r="B420" s="3">
        <v>1.1457099047248376</v>
      </c>
      <c r="C420" s="3">
        <v>1.3490095275162428E-2</v>
      </c>
    </row>
    <row r="421" spans="1:3" x14ac:dyDescent="0.3">
      <c r="A421" s="3">
        <v>395</v>
      </c>
      <c r="B421" s="3">
        <v>1.1509333375360677</v>
      </c>
      <c r="C421" s="3">
        <v>8.4666624639322396E-3</v>
      </c>
    </row>
    <row r="422" spans="1:3" x14ac:dyDescent="0.3">
      <c r="A422" s="3">
        <v>396</v>
      </c>
      <c r="B422" s="3">
        <v>1.1510816279054616</v>
      </c>
      <c r="C422" s="3">
        <v>8.9183720945382738E-3</v>
      </c>
    </row>
    <row r="423" spans="1:3" x14ac:dyDescent="0.3">
      <c r="A423" s="3">
        <v>397</v>
      </c>
      <c r="B423" s="3">
        <v>1.1515864443030008</v>
      </c>
      <c r="C423" s="3">
        <v>9.3135556969992095E-3</v>
      </c>
    </row>
    <row r="424" spans="1:3" x14ac:dyDescent="0.3">
      <c r="A424" s="3">
        <v>398</v>
      </c>
      <c r="B424" s="3">
        <v>1.1523105299612204</v>
      </c>
      <c r="C424" s="3">
        <v>1.0889470038779603E-2</v>
      </c>
    </row>
    <row r="425" spans="1:3" x14ac:dyDescent="0.3">
      <c r="A425" s="3">
        <v>399</v>
      </c>
      <c r="B425" s="3">
        <v>1.1541616940794881</v>
      </c>
      <c r="C425" s="3">
        <v>1.0738305920511948E-2</v>
      </c>
    </row>
    <row r="426" spans="1:3" x14ac:dyDescent="0.3">
      <c r="A426" s="3">
        <v>400</v>
      </c>
      <c r="B426" s="3">
        <v>1.155530445769841</v>
      </c>
      <c r="C426" s="3">
        <v>6.5695542301589249E-3</v>
      </c>
    </row>
    <row r="427" spans="1:3" x14ac:dyDescent="0.3">
      <c r="A427" s="3">
        <v>401</v>
      </c>
      <c r="B427" s="3">
        <v>1.1532854698558495</v>
      </c>
      <c r="C427" s="3">
        <v>1.1414530144150614E-2</v>
      </c>
    </row>
    <row r="428" spans="1:3" x14ac:dyDescent="0.3">
      <c r="A428" s="3">
        <v>402</v>
      </c>
      <c r="B428" s="3">
        <v>1.1553841242511282</v>
      </c>
      <c r="C428" s="3">
        <v>5.2158757488718344E-3</v>
      </c>
    </row>
    <row r="429" spans="1:3" x14ac:dyDescent="0.3">
      <c r="A429" s="3">
        <v>403</v>
      </c>
      <c r="B429" s="3">
        <v>1.152075489938243</v>
      </c>
      <c r="C429" s="3">
        <v>7.4245100617569282E-3</v>
      </c>
    </row>
    <row r="430" spans="1:3" x14ac:dyDescent="0.3">
      <c r="A430" s="3">
        <v>404</v>
      </c>
      <c r="B430" s="3">
        <v>1.1512025213465094</v>
      </c>
      <c r="C430" s="3">
        <v>9.1974786534907427E-3</v>
      </c>
    </row>
    <row r="431" spans="1:3" x14ac:dyDescent="0.3">
      <c r="A431" s="3">
        <v>405</v>
      </c>
      <c r="B431" s="3">
        <v>1.1519128922623845</v>
      </c>
      <c r="C431" s="3">
        <v>1.5987107737615469E-2</v>
      </c>
    </row>
    <row r="432" spans="1:3" x14ac:dyDescent="0.3">
      <c r="A432" s="3">
        <v>406</v>
      </c>
      <c r="B432" s="3">
        <v>1.1579400915987335</v>
      </c>
      <c r="C432" s="3">
        <v>-1.8400915987335509E-3</v>
      </c>
    </row>
    <row r="433" spans="1:3" x14ac:dyDescent="0.3">
      <c r="A433" s="3">
        <v>407</v>
      </c>
      <c r="B433" s="3">
        <v>1.1484485709408705</v>
      </c>
      <c r="C433" s="3">
        <v>1.2151429059129581E-2</v>
      </c>
    </row>
    <row r="434" spans="1:3" x14ac:dyDescent="0.3">
      <c r="A434" s="3">
        <v>408</v>
      </c>
      <c r="B434" s="3">
        <v>1.1521011504074614</v>
      </c>
      <c r="C434" s="3">
        <v>5.5988495925385351E-3</v>
      </c>
    </row>
    <row r="435" spans="1:3" x14ac:dyDescent="0.3">
      <c r="A435" s="3">
        <v>409</v>
      </c>
      <c r="B435" s="3">
        <v>1.1497252760764949</v>
      </c>
      <c r="C435" s="3">
        <v>1.1274723923505148E-2</v>
      </c>
    </row>
    <row r="436" spans="1:3" x14ac:dyDescent="0.3">
      <c r="A436" s="3">
        <v>410</v>
      </c>
      <c r="B436" s="3">
        <v>1.1523966024844789</v>
      </c>
      <c r="C436" s="3">
        <v>2.8033975155210555E-3</v>
      </c>
    </row>
    <row r="437" spans="1:3" x14ac:dyDescent="0.3">
      <c r="A437" s="3">
        <v>411</v>
      </c>
      <c r="B437" s="3">
        <v>1.1477200036744377</v>
      </c>
      <c r="C437" s="3">
        <v>8.879996325562356E-3</v>
      </c>
    </row>
    <row r="438" spans="1:3" x14ac:dyDescent="0.3">
      <c r="A438" s="3">
        <v>412</v>
      </c>
      <c r="B438" s="3">
        <v>1.1488610957619578</v>
      </c>
      <c r="C438" s="3">
        <v>9.7389042380422453E-3</v>
      </c>
    </row>
    <row r="439" spans="1:3" x14ac:dyDescent="0.3">
      <c r="A439" s="3">
        <v>413</v>
      </c>
      <c r="B439" s="3">
        <v>1.1504485916282963</v>
      </c>
      <c r="C439" s="3">
        <v>8.6514083717037504E-3</v>
      </c>
    </row>
    <row r="440" spans="1:3" x14ac:dyDescent="0.3">
      <c r="A440" s="3">
        <v>414</v>
      </c>
      <c r="B440" s="3">
        <v>1.1508542115889748</v>
      </c>
      <c r="C440" s="3">
        <v>-3.0542115889748978E-3</v>
      </c>
    </row>
    <row r="441" spans="1:3" x14ac:dyDescent="0.3">
      <c r="A441" s="3">
        <v>415</v>
      </c>
      <c r="B441" s="3">
        <v>1.1417731930381143</v>
      </c>
      <c r="C441" s="3">
        <v>3.2268069618857087E-3</v>
      </c>
    </row>
    <row r="442" spans="1:3" x14ac:dyDescent="0.3">
      <c r="A442" s="3">
        <v>416</v>
      </c>
      <c r="B442" s="3">
        <v>1.1395305549424246</v>
      </c>
      <c r="C442" s="3">
        <v>5.4694450575754061E-3</v>
      </c>
    </row>
    <row r="443" spans="1:3" x14ac:dyDescent="0.3">
      <c r="A443" s="3">
        <v>417</v>
      </c>
      <c r="B443" s="3">
        <v>1.1394934176315579</v>
      </c>
      <c r="C443" s="3">
        <v>-2.7934176315578263E-3</v>
      </c>
    </row>
    <row r="444" spans="1:3" x14ac:dyDescent="0.3">
      <c r="A444" s="3">
        <v>418</v>
      </c>
      <c r="B444" s="3">
        <v>1.1328088048592928</v>
      </c>
      <c r="C444" s="3">
        <v>-9.0880485929289989E-4</v>
      </c>
    </row>
    <row r="445" spans="1:3" x14ac:dyDescent="0.3">
      <c r="A445" s="3">
        <v>419</v>
      </c>
      <c r="B445" s="3">
        <v>1.1289540469814119</v>
      </c>
      <c r="C445" s="3">
        <v>2.9459530185880212E-3</v>
      </c>
    </row>
    <row r="446" spans="1:3" x14ac:dyDescent="0.3">
      <c r="A446" s="3">
        <v>420</v>
      </c>
      <c r="B446" s="3">
        <v>1.1289285727313816</v>
      </c>
      <c r="C446" s="3">
        <v>7.9714272686184362E-3</v>
      </c>
    </row>
    <row r="447" spans="1:3" x14ac:dyDescent="0.3">
      <c r="A447" s="3">
        <v>421</v>
      </c>
      <c r="B447" s="3">
        <v>1.1329330725538447</v>
      </c>
      <c r="C447" s="3">
        <v>-4.1330725538446522E-3</v>
      </c>
    </row>
    <row r="448" spans="1:3" x14ac:dyDescent="0.3">
      <c r="A448" s="3">
        <v>422</v>
      </c>
      <c r="B448" s="3">
        <v>1.1264156731568145</v>
      </c>
      <c r="C448" s="3">
        <v>-3.0156731568145023E-3</v>
      </c>
    </row>
    <row r="449" spans="1:3" x14ac:dyDescent="0.3">
      <c r="A449" s="3">
        <v>423</v>
      </c>
      <c r="B449" s="3">
        <v>1.1220955039280693</v>
      </c>
      <c r="C449" s="3">
        <v>2.5044960719307063E-3</v>
      </c>
    </row>
    <row r="450" spans="1:3" x14ac:dyDescent="0.3">
      <c r="A450" s="3">
        <v>424</v>
      </c>
      <c r="B450" s="3">
        <v>1.1230361676794494</v>
      </c>
      <c r="C450" s="3">
        <v>-3.3361676794494421E-3</v>
      </c>
    </row>
    <row r="451" spans="1:3" x14ac:dyDescent="0.3">
      <c r="A451" s="3">
        <v>425</v>
      </c>
      <c r="B451" s="3">
        <v>1.1190761162550305</v>
      </c>
      <c r="C451" s="3">
        <v>1.5238837449695897E-3</v>
      </c>
    </row>
    <row r="452" spans="1:3" x14ac:dyDescent="0.3">
      <c r="A452" s="3">
        <v>426</v>
      </c>
      <c r="B452" s="3">
        <v>1.1198072672291779</v>
      </c>
      <c r="C452" s="3">
        <v>1.1892732770822034E-2</v>
      </c>
    </row>
    <row r="453" spans="1:3" x14ac:dyDescent="0.3">
      <c r="A453" s="3">
        <v>427</v>
      </c>
      <c r="B453" s="3">
        <v>1.1287165198464078</v>
      </c>
      <c r="C453" s="3">
        <v>3.8348015359224163E-4</v>
      </c>
    </row>
    <row r="454" spans="1:3" x14ac:dyDescent="0.3">
      <c r="A454" s="3">
        <v>428</v>
      </c>
      <c r="B454" s="3">
        <v>1.1266213771177136</v>
      </c>
      <c r="C454" s="3">
        <v>6.978622882286345E-3</v>
      </c>
    </row>
    <row r="455" spans="1:3" x14ac:dyDescent="0.3">
      <c r="A455" s="3">
        <v>429</v>
      </c>
      <c r="B455" s="3">
        <v>1.1302803259477503</v>
      </c>
      <c r="C455" s="3">
        <v>1.6196740522496089E-3</v>
      </c>
    </row>
    <row r="456" spans="1:3" x14ac:dyDescent="0.3">
      <c r="A456" s="3">
        <v>430</v>
      </c>
      <c r="B456" s="3">
        <v>1.1289012396935423</v>
      </c>
      <c r="C456" s="3">
        <v>9.9876030645762448E-4</v>
      </c>
    </row>
    <row r="457" spans="1:3" x14ac:dyDescent="0.3">
      <c r="A457" s="3">
        <v>431</v>
      </c>
      <c r="B457" s="3">
        <v>1.1273094568480666</v>
      </c>
      <c r="C457" s="3">
        <v>3.9905431519333678E-3</v>
      </c>
    </row>
    <row r="458" spans="1:3" x14ac:dyDescent="0.3">
      <c r="A458" s="3">
        <v>432</v>
      </c>
      <c r="B458" s="3">
        <v>1.1284308036953024</v>
      </c>
      <c r="C458" s="3">
        <v>6.9196304697705102E-5</v>
      </c>
    </row>
    <row r="459" spans="1:3" x14ac:dyDescent="0.3">
      <c r="A459" s="3">
        <v>433</v>
      </c>
      <c r="B459" s="3">
        <v>1.1261711926222959</v>
      </c>
      <c r="C459" s="3">
        <v>1.2880737770415429E-4</v>
      </c>
    </row>
    <row r="460" spans="1:3" x14ac:dyDescent="0.3">
      <c r="A460" s="3">
        <v>434</v>
      </c>
      <c r="B460" s="3">
        <v>1.1244085975657292</v>
      </c>
      <c r="C460" s="3">
        <v>9.7914024342709016E-3</v>
      </c>
    </row>
    <row r="461" spans="1:3" x14ac:dyDescent="0.3">
      <c r="A461" s="3">
        <v>435</v>
      </c>
      <c r="B461" s="3">
        <v>1.1307536555517874</v>
      </c>
      <c r="C461" s="3">
        <v>-1.5536555517874362E-3</v>
      </c>
    </row>
    <row r="462" spans="1:3" x14ac:dyDescent="0.3">
      <c r="A462" s="3">
        <v>436</v>
      </c>
      <c r="B462" s="3">
        <v>1.12671981619649</v>
      </c>
      <c r="C462" s="3">
        <v>4.3801838035100182E-3</v>
      </c>
    </row>
    <row r="463" spans="1:3" x14ac:dyDescent="0.3">
      <c r="A463" s="3">
        <v>437</v>
      </c>
      <c r="B463" s="3">
        <v>1.1282783552318003</v>
      </c>
      <c r="C463" s="3">
        <v>2.1644768199768905E-5</v>
      </c>
    </row>
    <row r="464" spans="1:3" x14ac:dyDescent="0.3">
      <c r="A464" s="3">
        <v>438</v>
      </c>
      <c r="B464" s="3">
        <v>1.1260080672586759</v>
      </c>
      <c r="C464" s="3">
        <v>-3.0806725867593698E-4</v>
      </c>
    </row>
    <row r="465" spans="1:3" x14ac:dyDescent="0.3">
      <c r="A465" s="3">
        <v>439</v>
      </c>
      <c r="B465" s="3">
        <v>1.123925512345934</v>
      </c>
      <c r="C465" s="3">
        <v>4.574487654066095E-3</v>
      </c>
    </row>
    <row r="466" spans="1:3" x14ac:dyDescent="0.3">
      <c r="A466" s="3">
        <v>440</v>
      </c>
      <c r="B466" s="3">
        <v>1.1261693552597105</v>
      </c>
      <c r="C466" s="3">
        <v>6.6306447402895152E-3</v>
      </c>
    </row>
    <row r="467" spans="1:3" x14ac:dyDescent="0.3">
      <c r="A467" s="3">
        <v>441</v>
      </c>
      <c r="B467" s="3">
        <v>1.1296166549466387</v>
      </c>
      <c r="C467" s="3">
        <v>-5.7166549466387551E-3</v>
      </c>
    </row>
    <row r="468" spans="1:3" x14ac:dyDescent="0.3">
      <c r="A468" s="3">
        <v>442</v>
      </c>
      <c r="B468" s="3">
        <v>1.1224660049535204</v>
      </c>
      <c r="C468" s="3">
        <v>5.0339950464795002E-3</v>
      </c>
    </row>
    <row r="469" spans="1:3" x14ac:dyDescent="0.3">
      <c r="A469" s="3">
        <v>443</v>
      </c>
      <c r="B469" s="3">
        <v>1.1253818495403365</v>
      </c>
      <c r="C469" s="3">
        <v>2.9181504596635932E-3</v>
      </c>
    </row>
    <row r="470" spans="1:3" x14ac:dyDescent="0.3">
      <c r="A470" s="3">
        <v>444</v>
      </c>
      <c r="B470" s="3">
        <v>1.1259921522599492</v>
      </c>
      <c r="C470" s="3">
        <v>6.407847740050876E-3</v>
      </c>
    </row>
    <row r="471" spans="1:3" x14ac:dyDescent="0.3">
      <c r="A471" s="3">
        <v>445</v>
      </c>
      <c r="B471" s="3">
        <v>1.1293013107898398</v>
      </c>
      <c r="C471" s="3">
        <v>3.4986892101602773E-3</v>
      </c>
    </row>
    <row r="472" spans="1:3" x14ac:dyDescent="0.3">
      <c r="A472" s="3">
        <v>446</v>
      </c>
      <c r="B472" s="3">
        <v>1.1296230593513312</v>
      </c>
      <c r="C472" s="3">
        <v>2.0769406486687014E-3</v>
      </c>
    </row>
    <row r="473" spans="1:3" x14ac:dyDescent="0.3">
      <c r="A473" s="3">
        <v>447</v>
      </c>
      <c r="B473" s="3">
        <v>1.1287523063673808</v>
      </c>
      <c r="C473" s="3">
        <v>3.7476936326192867E-3</v>
      </c>
    </row>
    <row r="474" spans="1:3" x14ac:dyDescent="0.3">
      <c r="A474" s="3">
        <v>448</v>
      </c>
      <c r="B474" s="3">
        <v>1.1293977784148677</v>
      </c>
      <c r="C474" s="3">
        <v>1.5022215851323573E-3</v>
      </c>
    </row>
    <row r="475" spans="1:3" x14ac:dyDescent="0.3">
      <c r="A475" s="3">
        <v>449</v>
      </c>
      <c r="B475" s="3">
        <v>1.1281067199185766</v>
      </c>
      <c r="C475" s="3">
        <v>6.6932800814234472E-3</v>
      </c>
    </row>
    <row r="476" spans="1:3" x14ac:dyDescent="0.3">
      <c r="A476" s="3">
        <v>450</v>
      </c>
      <c r="B476" s="3">
        <v>1.1312469557279867</v>
      </c>
      <c r="C476" s="3">
        <v>1.0530442720133593E-3</v>
      </c>
    </row>
    <row r="477" spans="1:3" x14ac:dyDescent="0.3">
      <c r="A477" s="3">
        <v>451</v>
      </c>
      <c r="B477" s="3">
        <v>1.1292283442257156</v>
      </c>
      <c r="C477" s="3">
        <v>7.5716557742844248E-3</v>
      </c>
    </row>
    <row r="478" spans="1:3" x14ac:dyDescent="0.3">
      <c r="A478" s="3">
        <v>452</v>
      </c>
      <c r="B478" s="3">
        <v>1.1328623916799965</v>
      </c>
      <c r="C478" s="3">
        <v>-3.4623916799965127E-3</v>
      </c>
    </row>
    <row r="479" spans="1:3" x14ac:dyDescent="0.3">
      <c r="A479" s="3">
        <v>453</v>
      </c>
      <c r="B479" s="3">
        <v>1.1268996454874116</v>
      </c>
      <c r="C479" s="3">
        <v>1.6003545125884422E-3</v>
      </c>
    </row>
    <row r="480" spans="1:3" x14ac:dyDescent="0.3">
      <c r="A480" s="3">
        <v>454</v>
      </c>
      <c r="B480" s="3">
        <v>1.1261962425729264</v>
      </c>
      <c r="C480" s="3">
        <v>5.1037574270735853E-3</v>
      </c>
    </row>
    <row r="481" spans="1:3" x14ac:dyDescent="0.3">
      <c r="A481" s="3">
        <v>455</v>
      </c>
      <c r="B481" s="3">
        <v>1.1284231006287411</v>
      </c>
      <c r="C481" s="3">
        <v>6.7689937125892108E-4</v>
      </c>
    </row>
    <row r="482" spans="1:3" x14ac:dyDescent="0.3">
      <c r="A482" s="3">
        <v>456</v>
      </c>
      <c r="B482" s="3">
        <v>1.1266488903009182</v>
      </c>
      <c r="C482" s="3">
        <v>9.2511096990817165E-3</v>
      </c>
    </row>
    <row r="483" spans="1:3" x14ac:dyDescent="0.3">
      <c r="A483" s="3">
        <v>457</v>
      </c>
      <c r="B483" s="3">
        <v>1.1321286323691566</v>
      </c>
      <c r="C483" s="3">
        <v>2.7136763084345539E-4</v>
      </c>
    </row>
    <row r="484" spans="1:3" x14ac:dyDescent="0.3">
      <c r="A484" s="3">
        <v>458</v>
      </c>
      <c r="B484" s="3">
        <v>1.129301833271467</v>
      </c>
      <c r="C484" s="3">
        <v>7.0981667285330285E-3</v>
      </c>
    </row>
    <row r="485" spans="1:3" x14ac:dyDescent="0.3">
      <c r="A485" s="3">
        <v>459</v>
      </c>
      <c r="B485" s="3">
        <v>1.1325444357157495</v>
      </c>
      <c r="C485" s="3">
        <v>1.165556428425063E-2</v>
      </c>
    </row>
    <row r="486" spans="1:3" x14ac:dyDescent="0.3">
      <c r="A486" s="3">
        <v>460</v>
      </c>
      <c r="B486" s="3">
        <v>1.1388025818573269</v>
      </c>
      <c r="C486" s="3">
        <v>6.4974181426731281E-3</v>
      </c>
    </row>
    <row r="487" spans="1:3" x14ac:dyDescent="0.3">
      <c r="A487" s="3">
        <v>461</v>
      </c>
      <c r="B487" s="3">
        <v>1.1396958839150197</v>
      </c>
      <c r="C487" s="3">
        <v>1.7041160849802228E-3</v>
      </c>
    </row>
    <row r="488" spans="1:3" x14ac:dyDescent="0.3">
      <c r="A488" s="3">
        <v>462</v>
      </c>
      <c r="B488" s="3">
        <v>1.136585641608167</v>
      </c>
      <c r="C488" s="3">
        <v>4.1143583918330506E-3</v>
      </c>
    </row>
    <row r="489" spans="1:3" x14ac:dyDescent="0.3">
      <c r="A489" s="3">
        <v>463</v>
      </c>
      <c r="B489" s="3">
        <v>1.13602905199122</v>
      </c>
      <c r="C489" s="3">
        <v>-3.5290519912198892E-3</v>
      </c>
    </row>
    <row r="490" spans="1:3" x14ac:dyDescent="0.3">
      <c r="A490" s="3">
        <v>464</v>
      </c>
      <c r="B490" s="3">
        <v>1.1294215262328735</v>
      </c>
      <c r="C490" s="3">
        <v>4.6784737671266008E-3</v>
      </c>
    </row>
    <row r="491" spans="1:3" x14ac:dyDescent="0.3">
      <c r="A491" s="3">
        <v>465</v>
      </c>
      <c r="B491" s="3">
        <v>1.1307112408807833</v>
      </c>
      <c r="C491" s="3">
        <v>2.8875911921666386E-4</v>
      </c>
    </row>
    <row r="492" spans="1:3" x14ac:dyDescent="0.3">
      <c r="A492" s="3">
        <v>466</v>
      </c>
      <c r="B492" s="3">
        <v>1.1281888486666496</v>
      </c>
      <c r="C492" s="3">
        <v>5.8111513333503062E-3</v>
      </c>
    </row>
    <row r="493" spans="1:3" x14ac:dyDescent="0.3">
      <c r="A493" s="3">
        <v>467</v>
      </c>
      <c r="B493" s="3">
        <v>1.1306090399075641</v>
      </c>
      <c r="C493" s="3">
        <v>1.6909600924359669E-3</v>
      </c>
    </row>
    <row r="494" spans="1:3" x14ac:dyDescent="0.3">
      <c r="A494" s="3">
        <v>468</v>
      </c>
      <c r="B494" s="3">
        <v>1.1292292151174284</v>
      </c>
      <c r="C494" s="3">
        <v>6.7078488257155122E-4</v>
      </c>
    </row>
    <row r="495" spans="1:3" x14ac:dyDescent="0.3">
      <c r="A495" s="3">
        <v>469</v>
      </c>
      <c r="B495" s="3">
        <v>1.1273105736291922</v>
      </c>
      <c r="C495" s="3">
        <v>-3.6105736291922597E-3</v>
      </c>
    </row>
    <row r="496" spans="1:3" x14ac:dyDescent="0.3">
      <c r="A496" s="3">
        <v>470</v>
      </c>
      <c r="B496" s="3">
        <v>1.1223201769490116</v>
      </c>
      <c r="C496" s="3">
        <v>-8.0201769490115815E-3</v>
      </c>
    </row>
    <row r="497" spans="1:3" x14ac:dyDescent="0.3">
      <c r="A497" s="3">
        <v>471</v>
      </c>
      <c r="B497" s="3">
        <v>1.114756387544775</v>
      </c>
      <c r="C497" s="3">
        <v>-4.5638754477494992E-4</v>
      </c>
    </row>
    <row r="498" spans="1:3" x14ac:dyDescent="0.3">
      <c r="A498" s="3">
        <v>472</v>
      </c>
      <c r="B498" s="3">
        <v>1.1147411812468637</v>
      </c>
      <c r="C498" s="3">
        <v>8.5588187531362436E-3</v>
      </c>
    </row>
    <row r="499" spans="1:3" x14ac:dyDescent="0.3">
      <c r="A499" s="3">
        <v>473</v>
      </c>
      <c r="B499" s="3">
        <v>1.1219466593883947</v>
      </c>
      <c r="C499" s="3">
        <v>4.9533406116053502E-3</v>
      </c>
    </row>
    <row r="500" spans="1:3" x14ac:dyDescent="0.3">
      <c r="A500" s="3">
        <v>474</v>
      </c>
      <c r="B500" s="3">
        <v>1.1248359033994757</v>
      </c>
      <c r="C500" s="3">
        <v>5.4640966005243818E-3</v>
      </c>
    </row>
    <row r="501" spans="1:3" x14ac:dyDescent="0.3">
      <c r="A501" s="3">
        <v>475</v>
      </c>
      <c r="B501" s="3">
        <v>1.1275988998523683</v>
      </c>
      <c r="C501" s="3">
        <v>1.6201100147631653E-2</v>
      </c>
    </row>
    <row r="502" spans="1:3" x14ac:dyDescent="0.3">
      <c r="A502" s="3">
        <v>476</v>
      </c>
      <c r="B502" s="3">
        <v>1.1384659360283176</v>
      </c>
      <c r="C502" s="3">
        <v>6.1340639716824796E-3</v>
      </c>
    </row>
    <row r="503" spans="1:3" x14ac:dyDescent="0.3">
      <c r="A503" s="3">
        <v>477</v>
      </c>
      <c r="B503" s="3">
        <v>1.1391121576246879</v>
      </c>
      <c r="C503" s="3">
        <v>5.0878423753122348E-3</v>
      </c>
    </row>
    <row r="504" spans="1:3" x14ac:dyDescent="0.3">
      <c r="A504" s="3">
        <v>478</v>
      </c>
      <c r="B504" s="3">
        <v>1.1388365139289354</v>
      </c>
      <c r="C504" s="3">
        <v>2.5634860710646024E-3</v>
      </c>
    </row>
    <row r="505" spans="1:3" x14ac:dyDescent="0.3">
      <c r="A505" s="3">
        <v>479</v>
      </c>
      <c r="B505" s="3">
        <v>1.136587744550011</v>
      </c>
      <c r="C505" s="3">
        <v>5.612255449989112E-3</v>
      </c>
    </row>
    <row r="506" spans="1:3" x14ac:dyDescent="0.3">
      <c r="A506" s="3">
        <v>480</v>
      </c>
      <c r="B506" s="3">
        <v>1.1372315747316786</v>
      </c>
      <c r="C506" s="3">
        <v>5.4684252683214751E-3</v>
      </c>
    </row>
    <row r="507" spans="1:3" x14ac:dyDescent="0.3">
      <c r="A507" s="3">
        <v>481</v>
      </c>
      <c r="B507" s="3">
        <v>1.1376234961691023</v>
      </c>
      <c r="C507" s="3">
        <v>-2.7234961691022797E-3</v>
      </c>
    </row>
    <row r="508" spans="1:3" x14ac:dyDescent="0.3">
      <c r="A508" s="3">
        <v>482</v>
      </c>
      <c r="B508" s="3">
        <v>1.1313530781834784</v>
      </c>
      <c r="C508" s="3">
        <v>-8.5307818347835074E-4</v>
      </c>
    </row>
    <row r="509" spans="1:3" x14ac:dyDescent="0.3">
      <c r="A509" s="3">
        <v>483</v>
      </c>
      <c r="B509" s="3">
        <v>1.127821400834826</v>
      </c>
      <c r="C509" s="3">
        <v>7.7785991651739828E-3</v>
      </c>
    </row>
    <row r="510" spans="1:3" x14ac:dyDescent="0.3">
      <c r="A510" s="3">
        <v>484</v>
      </c>
      <c r="B510" s="3">
        <v>1.1318988663537237</v>
      </c>
      <c r="C510" s="3">
        <v>5.4011336462762571E-3</v>
      </c>
    </row>
    <row r="511" spans="1:3" x14ac:dyDescent="0.3">
      <c r="A511" s="3">
        <v>485</v>
      </c>
      <c r="B511" s="3">
        <v>1.1332474954262834</v>
      </c>
      <c r="C511" s="3">
        <v>2.7525045737164522E-3</v>
      </c>
    </row>
    <row r="512" spans="1:3" x14ac:dyDescent="0.3">
      <c r="A512" s="3">
        <v>486</v>
      </c>
      <c r="B512" s="3">
        <v>1.1322184948865923</v>
      </c>
      <c r="C512" s="3">
        <v>-1.1849488659221308E-4</v>
      </c>
    </row>
    <row r="513" spans="1:3" x14ac:dyDescent="0.3">
      <c r="A513" s="3">
        <v>487</v>
      </c>
      <c r="B513" s="3">
        <v>1.1290887891378036</v>
      </c>
      <c r="C513" s="3">
        <v>1.9112108621963664E-3</v>
      </c>
    </row>
    <row r="514" spans="1:3" x14ac:dyDescent="0.3">
      <c r="A514" s="3">
        <v>488</v>
      </c>
      <c r="B514" s="3">
        <v>1.1282022364241324</v>
      </c>
      <c r="C514" s="3">
        <v>4.2977635758676414E-3</v>
      </c>
    </row>
    <row r="515" spans="1:3" x14ac:dyDescent="0.3">
      <c r="A515" s="3">
        <v>489</v>
      </c>
      <c r="B515" s="3">
        <v>1.1293958240478981</v>
      </c>
      <c r="C515" s="3">
        <v>1.5041759521019493E-3</v>
      </c>
    </row>
    <row r="516" spans="1:3" x14ac:dyDescent="0.3">
      <c r="A516" s="3">
        <v>490</v>
      </c>
      <c r="B516" s="3">
        <v>1.1281043053432718</v>
      </c>
      <c r="C516" s="3">
        <v>-9.0043053432717901E-3</v>
      </c>
    </row>
    <row r="517" spans="1:3" x14ac:dyDescent="0.3">
      <c r="A517" s="3">
        <v>491</v>
      </c>
      <c r="B517" s="3">
        <v>1.1186208370297444</v>
      </c>
      <c r="C517" s="3">
        <v>8.0791629702556822E-3</v>
      </c>
    </row>
    <row r="518" spans="1:3" x14ac:dyDescent="0.3">
      <c r="A518" s="3">
        <v>492</v>
      </c>
      <c r="B518" s="3">
        <v>1.124735082301737</v>
      </c>
      <c r="C518" s="3">
        <v>-2.8350823017371241E-3</v>
      </c>
    </row>
    <row r="519" spans="1:3" x14ac:dyDescent="0.3">
      <c r="A519" s="3">
        <v>493</v>
      </c>
      <c r="B519" s="3">
        <v>1.1208291682793836</v>
      </c>
      <c r="C519" s="3">
        <v>-8.2291682793835808E-3</v>
      </c>
    </row>
    <row r="520" spans="1:3" x14ac:dyDescent="0.3">
      <c r="A520" s="3">
        <v>494</v>
      </c>
      <c r="B520" s="3">
        <v>1.1133793735296094</v>
      </c>
      <c r="C520" s="3">
        <v>-1.2793735296092734E-3</v>
      </c>
    </row>
    <row r="521" spans="1:3" x14ac:dyDescent="0.3">
      <c r="A521" s="3">
        <v>495</v>
      </c>
      <c r="B521" s="3">
        <v>1.1129668249472331</v>
      </c>
      <c r="C521" s="3">
        <v>-6.5668249472330409E-3</v>
      </c>
    </row>
    <row r="522" spans="1:3" x14ac:dyDescent="0.3">
      <c r="A522" s="3">
        <v>496</v>
      </c>
      <c r="B522" s="3">
        <v>1.1083510694321441</v>
      </c>
      <c r="C522" s="3">
        <v>-1.5751069432144105E-2</v>
      </c>
    </row>
    <row r="523" spans="1:3" x14ac:dyDescent="0.3">
      <c r="A523" s="3">
        <v>497</v>
      </c>
      <c r="B523" s="3">
        <v>1.097254975073888</v>
      </c>
      <c r="C523" s="3">
        <v>-1.2054975073888086E-2</v>
      </c>
    </row>
    <row r="524" spans="1:3" x14ac:dyDescent="0.3">
      <c r="A524" s="3">
        <v>498</v>
      </c>
      <c r="B524" s="3">
        <v>1.0912932219835338</v>
      </c>
      <c r="C524" s="3">
        <v>-1.3932219835337545E-3</v>
      </c>
    </row>
    <row r="525" spans="1:3" x14ac:dyDescent="0.3">
      <c r="A525" s="3">
        <v>499</v>
      </c>
      <c r="B525" s="3">
        <v>1.0950302789112916</v>
      </c>
      <c r="C525" s="3">
        <v>1.2469721088708363E-2</v>
      </c>
    </row>
    <row r="526" spans="1:3" x14ac:dyDescent="0.3">
      <c r="A526" s="3">
        <v>500</v>
      </c>
      <c r="B526" s="3">
        <v>1.1091557837548176</v>
      </c>
      <c r="C526" s="3">
        <v>-1.085578375481755E-2</v>
      </c>
    </row>
    <row r="527" spans="1:3" x14ac:dyDescent="0.3">
      <c r="A527" s="3">
        <v>501</v>
      </c>
      <c r="B527" s="3">
        <v>1.1017616802359678</v>
      </c>
      <c r="C527" s="3">
        <v>-1.0861680235967786E-2</v>
      </c>
    </row>
    <row r="528" spans="1:3" x14ac:dyDescent="0.3">
      <c r="A528" s="3">
        <v>502</v>
      </c>
      <c r="B528" s="3">
        <v>1.095877273783131</v>
      </c>
      <c r="C528" s="3">
        <v>-1.9772737831309506E-3</v>
      </c>
    </row>
    <row r="529" spans="1:3" x14ac:dyDescent="0.3">
      <c r="A529" s="3">
        <v>503</v>
      </c>
      <c r="B529" s="3">
        <v>1.0982630385705441</v>
      </c>
      <c r="C529" s="3">
        <v>-3.1630385705441189E-3</v>
      </c>
    </row>
    <row r="530" spans="1:3" x14ac:dyDescent="0.3">
      <c r="A530" s="3">
        <v>504</v>
      </c>
      <c r="B530" s="3">
        <v>1.0992005943972047</v>
      </c>
      <c r="C530" s="3">
        <v>3.9994056027952141E-3</v>
      </c>
    </row>
    <row r="531" spans="1:3" x14ac:dyDescent="0.3">
      <c r="A531" s="3">
        <v>505</v>
      </c>
      <c r="B531" s="3">
        <v>1.1057242658431425</v>
      </c>
      <c r="C531" s="3">
        <v>3.1757341568574571E-3</v>
      </c>
    </row>
    <row r="532" spans="1:3" x14ac:dyDescent="0.3">
      <c r="A532" s="3">
        <v>506</v>
      </c>
      <c r="B532" s="3">
        <v>1.110307084724919</v>
      </c>
      <c r="C532" s="3">
        <v>-4.8070847249190862E-3</v>
      </c>
    </row>
    <row r="533" spans="1:3" x14ac:dyDescent="0.3">
      <c r="A533" s="3">
        <v>507</v>
      </c>
      <c r="B533" s="3">
        <v>1.1075969587008769</v>
      </c>
      <c r="C533" s="3">
        <v>-6.1969587008769977E-3</v>
      </c>
    </row>
    <row r="534" spans="1:3" x14ac:dyDescent="0.3">
      <c r="A534" s="3">
        <v>508</v>
      </c>
      <c r="B534" s="3">
        <v>1.1043215888738547</v>
      </c>
      <c r="C534" s="3">
        <v>-1.6215888738546624E-3</v>
      </c>
    </row>
    <row r="535" spans="1:3" x14ac:dyDescent="0.3">
      <c r="A535" s="3">
        <v>509</v>
      </c>
      <c r="B535" s="3">
        <v>1.1053580312392934</v>
      </c>
      <c r="C535" s="3">
        <v>-4.9580312392933923E-3</v>
      </c>
    </row>
    <row r="536" spans="1:3" x14ac:dyDescent="0.3">
      <c r="A536" s="3">
        <v>510</v>
      </c>
      <c r="B536" s="3">
        <v>1.1034933478754467</v>
      </c>
      <c r="C536" s="3">
        <v>-3.8933478754468176E-3</v>
      </c>
    </row>
    <row r="537" spans="1:3" x14ac:dyDescent="0.3">
      <c r="A537" s="3">
        <v>511</v>
      </c>
      <c r="B537" s="3">
        <v>1.1028559750941864</v>
      </c>
      <c r="C537" s="3">
        <v>-4.7559750941863488E-3</v>
      </c>
    </row>
    <row r="538" spans="1:3" x14ac:dyDescent="0.3">
      <c r="A538" s="3">
        <v>512</v>
      </c>
      <c r="B538" s="3">
        <v>1.1016422503689158</v>
      </c>
      <c r="C538" s="3">
        <v>-3.8422503689157228E-3</v>
      </c>
    </row>
    <row r="539" spans="1:3" x14ac:dyDescent="0.3">
      <c r="A539" s="3">
        <v>513</v>
      </c>
      <c r="B539" s="3">
        <v>1.1013992136003843</v>
      </c>
      <c r="C539" s="3">
        <v>7.100786399615755E-3</v>
      </c>
    </row>
    <row r="540" spans="1:3" x14ac:dyDescent="0.3">
      <c r="A540" s="3">
        <v>514</v>
      </c>
      <c r="B540" s="3">
        <v>1.1099992985305629</v>
      </c>
      <c r="C540" s="3">
        <v>5.6007014694370305E-3</v>
      </c>
    </row>
    <row r="541" spans="1:3" x14ac:dyDescent="0.3">
      <c r="A541" s="3">
        <v>515</v>
      </c>
      <c r="B541" s="3">
        <v>1.1157011299120296</v>
      </c>
      <c r="C541" s="3">
        <v>-9.2011299120295931E-3</v>
      </c>
    </row>
    <row r="542" spans="1:3" x14ac:dyDescent="0.3">
      <c r="A542" s="3">
        <v>516</v>
      </c>
      <c r="B542" s="3">
        <v>1.1084150470161722</v>
      </c>
      <c r="C542" s="3">
        <v>-3.1150470161722676E-3</v>
      </c>
    </row>
    <row r="543" spans="1:3" x14ac:dyDescent="0.3">
      <c r="A543" s="3">
        <v>517</v>
      </c>
      <c r="B543" s="3">
        <v>1.1074804667584461</v>
      </c>
      <c r="C543" s="3">
        <v>-1.0480466758446161E-2</v>
      </c>
    </row>
    <row r="544" spans="1:3" x14ac:dyDescent="0.3">
      <c r="A544" s="3">
        <v>518</v>
      </c>
      <c r="B544" s="3">
        <v>1.1007749117370118</v>
      </c>
      <c r="C544" s="3">
        <v>-1.0474911737011761E-2</v>
      </c>
    </row>
    <row r="545" spans="1:3" x14ac:dyDescent="0.3">
      <c r="A545" s="3">
        <v>519</v>
      </c>
      <c r="B545" s="3">
        <v>1.0953880129612776</v>
      </c>
      <c r="C545" s="3">
        <v>-6.0880129612777001E-3</v>
      </c>
    </row>
    <row r="546" spans="1:3" x14ac:dyDescent="0.3">
      <c r="A546" s="3">
        <v>520</v>
      </c>
      <c r="B546" s="3">
        <v>1.094559576466104</v>
      </c>
      <c r="C546" s="3">
        <v>-6.7595764661039226E-3</v>
      </c>
    </row>
    <row r="547" spans="1:3" x14ac:dyDescent="0.3">
      <c r="A547" s="3">
        <v>521</v>
      </c>
      <c r="B547" s="3">
        <v>1.0933308058984412</v>
      </c>
      <c r="C547" s="3">
        <v>-5.7308058984413268E-3</v>
      </c>
    </row>
    <row r="548" spans="1:3" x14ac:dyDescent="0.3">
      <c r="A548" s="3">
        <v>522</v>
      </c>
      <c r="B548" s="3">
        <v>1.0931675003894563</v>
      </c>
      <c r="C548" s="3">
        <v>-4.8675003894562696E-3</v>
      </c>
    </row>
    <row r="549" spans="1:3" x14ac:dyDescent="0.3">
      <c r="A549" s="3">
        <v>523</v>
      </c>
      <c r="B549" s="3">
        <v>1.0937254057550505</v>
      </c>
      <c r="C549" s="3">
        <v>-1.1125405755050499E-2</v>
      </c>
    </row>
    <row r="550" spans="1:3" x14ac:dyDescent="0.3">
      <c r="A550" s="3">
        <v>524</v>
      </c>
      <c r="B550" s="3">
        <v>1.0891402507903507</v>
      </c>
      <c r="C550" s="3">
        <v>-6.4025079035068266E-4</v>
      </c>
    </row>
    <row r="551" spans="1:3" x14ac:dyDescent="0.3">
      <c r="A551" s="3">
        <v>525</v>
      </c>
      <c r="B551" s="3">
        <v>1.0938912599305033</v>
      </c>
      <c r="C551" s="3">
        <v>-1.1191259930503294E-2</v>
      </c>
    </row>
    <row r="552" spans="1:3" x14ac:dyDescent="0.3">
      <c r="A552" s="3">
        <v>526</v>
      </c>
      <c r="B552" s="3">
        <v>1.0892032934739966</v>
      </c>
      <c r="C552" s="3">
        <v>-8.6032934739965761E-3</v>
      </c>
    </row>
    <row r="553" spans="1:3" x14ac:dyDescent="0.3">
      <c r="A553" s="3">
        <v>527</v>
      </c>
      <c r="B553" s="3">
        <v>1.0875386141468899</v>
      </c>
      <c r="C553" s="3">
        <v>-9.5386141468898344E-3</v>
      </c>
    </row>
    <row r="554" spans="1:3" x14ac:dyDescent="0.3">
      <c r="A554" s="3">
        <v>528</v>
      </c>
      <c r="B554" s="3">
        <v>1.0854290386974585</v>
      </c>
      <c r="C554" s="3">
        <v>-6.8290386974585449E-3</v>
      </c>
    </row>
    <row r="555" spans="1:3" x14ac:dyDescent="0.3">
      <c r="A555" s="3">
        <v>529</v>
      </c>
      <c r="B555" s="3">
        <v>1.0859060311460216</v>
      </c>
      <c r="C555" s="3">
        <v>-9.0603114602161305E-4</v>
      </c>
    </row>
    <row r="556" spans="1:3" x14ac:dyDescent="0.3">
      <c r="A556" s="3">
        <v>530</v>
      </c>
      <c r="B556" s="3">
        <v>1.0910436211043164</v>
      </c>
      <c r="C556" s="3">
        <v>-7.4436211043165112E-3</v>
      </c>
    </row>
    <row r="557" spans="1:3" x14ac:dyDescent="0.3">
      <c r="A557" s="3">
        <v>531</v>
      </c>
      <c r="B557" s="3">
        <v>1.0899155871863506</v>
      </c>
      <c r="C557" s="3">
        <v>-1.0515587186350706E-2</v>
      </c>
    </row>
    <row r="558" spans="1:3" x14ac:dyDescent="0.3">
      <c r="A558" s="3">
        <v>532</v>
      </c>
      <c r="B558" s="3">
        <v>1.0865608959154696</v>
      </c>
      <c r="C558" s="3">
        <v>-1.5460895915469619E-2</v>
      </c>
    </row>
    <row r="559" spans="1:3" x14ac:dyDescent="0.3">
      <c r="A559" s="3">
        <v>533</v>
      </c>
      <c r="B559" s="3">
        <v>1.0798838735438268</v>
      </c>
      <c r="C559" s="3">
        <v>-1.6283873543826655E-2</v>
      </c>
    </row>
    <row r="560" spans="1:3" x14ac:dyDescent="0.3">
      <c r="A560" s="3">
        <v>534</v>
      </c>
      <c r="B560" s="3">
        <v>1.0738432574825711</v>
      </c>
      <c r="C560" s="3">
        <v>-1.834325748257104E-2</v>
      </c>
    </row>
    <row r="561" spans="1:3" x14ac:dyDescent="0.3">
      <c r="A561" s="3">
        <v>535</v>
      </c>
      <c r="B561" s="3">
        <v>1.0673054461272</v>
      </c>
      <c r="C561" s="3">
        <v>-1.7905446127199909E-2</v>
      </c>
    </row>
    <row r="562" spans="1:3" x14ac:dyDescent="0.3">
      <c r="A562" s="3">
        <v>536</v>
      </c>
      <c r="B562" s="3">
        <v>1.062379211514858</v>
      </c>
      <c r="C562" s="3">
        <v>-8.2792115148579981E-3</v>
      </c>
    </row>
    <row r="563" spans="1:3" x14ac:dyDescent="0.3">
      <c r="A563" s="3">
        <v>537</v>
      </c>
      <c r="B563" s="3">
        <v>1.0661350753117611</v>
      </c>
      <c r="C563" s="3">
        <v>-1.5735075311761104E-2</v>
      </c>
    </row>
    <row r="564" spans="1:3" x14ac:dyDescent="0.3">
      <c r="A564" s="3">
        <v>538</v>
      </c>
      <c r="B564" s="3">
        <v>1.0631353619288251</v>
      </c>
      <c r="C564" s="3">
        <v>-1.1135361928825027E-2</v>
      </c>
    </row>
    <row r="565" spans="1:3" x14ac:dyDescent="0.3">
      <c r="A565" s="3">
        <v>539</v>
      </c>
      <c r="B565" s="3">
        <v>1.0644407448183595</v>
      </c>
      <c r="C565" s="3">
        <v>-2.3407448183594415E-3</v>
      </c>
    </row>
    <row r="566" spans="1:3" x14ac:dyDescent="0.3">
      <c r="A566" s="3">
        <v>540</v>
      </c>
      <c r="B566" s="3">
        <v>1.0725494651171517</v>
      </c>
      <c r="C566" s="3">
        <v>-1.8549465117151609E-2</v>
      </c>
    </row>
    <row r="567" spans="1:3" x14ac:dyDescent="0.3">
      <c r="A567" s="3">
        <v>541</v>
      </c>
      <c r="B567" s="3">
        <v>1.0660342318029463</v>
      </c>
      <c r="C567" s="3">
        <v>-1.0934231802946393E-2</v>
      </c>
    </row>
    <row r="568" spans="1:3" x14ac:dyDescent="0.3">
      <c r="A568" s="3">
        <v>542</v>
      </c>
      <c r="B568" s="3">
        <v>1.0669590284633432</v>
      </c>
      <c r="C568" s="3">
        <v>-1.1459028463343124E-2</v>
      </c>
    </row>
    <row r="569" spans="1:3" x14ac:dyDescent="0.3">
      <c r="A569" s="3">
        <v>543</v>
      </c>
      <c r="B569" s="3">
        <v>1.0672520497459661</v>
      </c>
      <c r="C569" s="3">
        <v>-1.4552049745966134E-2</v>
      </c>
    </row>
    <row r="570" spans="1:3" x14ac:dyDescent="0.3">
      <c r="A570" s="3">
        <v>544</v>
      </c>
      <c r="B570" s="3">
        <v>1.0650037892326465</v>
      </c>
      <c r="C570" s="3">
        <v>-1.3903789232646568E-2</v>
      </c>
    </row>
    <row r="571" spans="1:3" x14ac:dyDescent="0.3">
      <c r="A571" s="3">
        <v>545</v>
      </c>
      <c r="B571" s="3">
        <v>1.0637202716120191</v>
      </c>
      <c r="C571" s="3">
        <v>-2.5820271612019052E-2</v>
      </c>
    </row>
    <row r="572" spans="1:3" x14ac:dyDescent="0.3">
      <c r="A572" s="3">
        <v>546</v>
      </c>
      <c r="B572" s="3">
        <v>1.0530960749724576</v>
      </c>
      <c r="C572" s="3">
        <v>-1.1996074972457693E-2</v>
      </c>
    </row>
    <row r="573" spans="1:3" x14ac:dyDescent="0.3">
      <c r="A573" s="3">
        <v>547</v>
      </c>
      <c r="B573" s="3">
        <v>1.0556727105800852</v>
      </c>
      <c r="C573" s="3">
        <v>-1.2572710580085245E-2</v>
      </c>
    </row>
    <row r="574" spans="1:3" x14ac:dyDescent="0.3">
      <c r="A574" s="3">
        <v>548</v>
      </c>
      <c r="B574" s="3">
        <v>1.0572334975431947</v>
      </c>
      <c r="C574" s="3">
        <v>-2.5334975431947626E-3</v>
      </c>
    </row>
    <row r="575" spans="1:3" x14ac:dyDescent="0.3">
      <c r="A575" s="3">
        <v>549</v>
      </c>
      <c r="B575" s="3">
        <v>1.066572072752596</v>
      </c>
      <c r="C575" s="3">
        <v>-1.9972072752596048E-2</v>
      </c>
    </row>
    <row r="576" spans="1:3" x14ac:dyDescent="0.3">
      <c r="A576" s="3">
        <v>550</v>
      </c>
      <c r="B576" s="3">
        <v>1.0600572330349891</v>
      </c>
      <c r="C576" s="3">
        <v>-1.4572330349891249E-3</v>
      </c>
    </row>
    <row r="577" spans="1:3" x14ac:dyDescent="0.3">
      <c r="A577" s="3">
        <v>551</v>
      </c>
      <c r="B577" s="3">
        <v>1.06975310784971</v>
      </c>
      <c r="C577" s="3">
        <v>-1.3753107849709956E-2</v>
      </c>
    </row>
    <row r="578" spans="1:3" x14ac:dyDescent="0.3">
      <c r="A578" s="3">
        <v>552</v>
      </c>
      <c r="B578" s="3">
        <v>1.0676263288849497</v>
      </c>
      <c r="C578" s="3">
        <v>1.2736711150502789E-3</v>
      </c>
    </row>
    <row r="579" spans="1:3" x14ac:dyDescent="0.3">
      <c r="A579" s="3">
        <v>553</v>
      </c>
      <c r="B579" s="3">
        <v>1.0780437577782007</v>
      </c>
      <c r="C579" s="3">
        <v>-4.6437577782008077E-3</v>
      </c>
    </row>
    <row r="580" spans="1:3" x14ac:dyDescent="0.3">
      <c r="A580" s="3">
        <v>554</v>
      </c>
      <c r="B580" s="3">
        <v>1.0816452595927004</v>
      </c>
      <c r="C580" s="3">
        <v>-1.3645259592700354E-2</v>
      </c>
    </row>
    <row r="581" spans="1:3" x14ac:dyDescent="0.3">
      <c r="A581" s="3">
        <v>555</v>
      </c>
      <c r="B581" s="3">
        <v>1.0773440568209316</v>
      </c>
      <c r="C581" s="3">
        <v>-4.9440568209315749E-3</v>
      </c>
    </row>
    <row r="582" spans="1:3" x14ac:dyDescent="0.3">
      <c r="A582" s="3">
        <v>556</v>
      </c>
      <c r="B582" s="3">
        <v>1.0809016593503722</v>
      </c>
      <c r="C582" s="3">
        <v>-8.2016593503722035E-3</v>
      </c>
    </row>
    <row r="583" spans="1:3" x14ac:dyDescent="0.3">
      <c r="A583" s="3">
        <v>557</v>
      </c>
      <c r="B583" s="3">
        <v>1.0811214033030994</v>
      </c>
      <c r="C583" s="3">
        <v>-3.4214033030992574E-3</v>
      </c>
    </row>
    <row r="584" spans="1:3" x14ac:dyDescent="0.3">
      <c r="A584" s="3">
        <v>558</v>
      </c>
      <c r="B584" s="3">
        <v>1.0851574403117121</v>
      </c>
      <c r="C584" s="3">
        <v>-1.1857440311712208E-2</v>
      </c>
    </row>
    <row r="585" spans="1:3" x14ac:dyDescent="0.3">
      <c r="A585" s="3">
        <v>559</v>
      </c>
      <c r="B585" s="3">
        <v>1.081616657846268</v>
      </c>
      <c r="C585" s="3">
        <v>-1.7016657846268046E-2</v>
      </c>
    </row>
    <row r="586" spans="1:3" x14ac:dyDescent="0.3">
      <c r="A586" s="3">
        <v>560</v>
      </c>
      <c r="B586" s="3">
        <v>1.0746401585269734</v>
      </c>
      <c r="C586" s="3">
        <v>-1.4015852697335518E-4</v>
      </c>
    </row>
    <row r="587" spans="1:3" x14ac:dyDescent="0.3">
      <c r="A587" s="3">
        <v>561</v>
      </c>
      <c r="B587" s="3">
        <v>1.0825923936109845</v>
      </c>
      <c r="C587" s="3">
        <v>-1.0792393610984385E-2</v>
      </c>
    </row>
    <row r="588" spans="1:3" x14ac:dyDescent="0.3">
      <c r="A588" s="3">
        <v>562</v>
      </c>
      <c r="B588" s="3">
        <v>1.0803845044970495</v>
      </c>
      <c r="C588" s="3">
        <v>-1.0984504497049574E-2</v>
      </c>
    </row>
    <row r="589" spans="1:3" x14ac:dyDescent="0.3">
      <c r="A589" s="3">
        <v>563</v>
      </c>
      <c r="B589" s="3">
        <v>1.0784903212630126</v>
      </c>
      <c r="C589" s="3">
        <v>-8.5903212630125125E-3</v>
      </c>
    </row>
    <row r="590" spans="1:3" x14ac:dyDescent="0.3">
      <c r="A590" s="3">
        <v>564</v>
      </c>
      <c r="B590" s="3">
        <v>1.0788846914492989</v>
      </c>
      <c r="C590" s="3">
        <v>-7.4846914492989747E-3</v>
      </c>
    </row>
    <row r="591" spans="1:3" x14ac:dyDescent="0.3">
      <c r="A591" s="3">
        <v>565</v>
      </c>
      <c r="B591" s="3">
        <v>1.0800824012582373</v>
      </c>
      <c r="C591" s="3">
        <v>-1.8682401258237391E-2</v>
      </c>
    </row>
    <row r="592" spans="1:3" x14ac:dyDescent="0.3">
      <c r="A592" s="3">
        <v>566</v>
      </c>
      <c r="B592" s="3">
        <v>1.0720410259736282</v>
      </c>
      <c r="C592" s="3">
        <v>-2.0541025973628058E-2</v>
      </c>
    </row>
    <row r="593" spans="1:3" x14ac:dyDescent="0.3">
      <c r="A593" s="3">
        <v>567</v>
      </c>
      <c r="B593" s="3">
        <v>1.0640910817860274</v>
      </c>
      <c r="C593" s="3">
        <v>-2.3291081786027457E-2</v>
      </c>
    </row>
    <row r="594" spans="1:3" x14ac:dyDescent="0.3">
      <c r="A594" s="3">
        <v>568</v>
      </c>
      <c r="B594" s="3">
        <v>1.0554580347258686</v>
      </c>
      <c r="C594" s="3">
        <v>-1.4058034725868529E-2</v>
      </c>
    </row>
    <row r="595" spans="1:3" x14ac:dyDescent="0.3">
      <c r="A595" s="3">
        <v>569</v>
      </c>
      <c r="B595" s="3">
        <v>1.055913447174629</v>
      </c>
      <c r="C595" s="3">
        <v>-1.1613447174628977E-2</v>
      </c>
    </row>
    <row r="596" spans="1:3" x14ac:dyDescent="0.3">
      <c r="A596" s="3">
        <v>570</v>
      </c>
      <c r="B596" s="3">
        <v>1.0582083572100645</v>
      </c>
      <c r="C596" s="3">
        <v>-3.5083572100644833E-3</v>
      </c>
    </row>
    <row r="597" spans="1:3" x14ac:dyDescent="0.3">
      <c r="A597" s="3">
        <v>571</v>
      </c>
      <c r="B597" s="3">
        <v>1.0665723186420089</v>
      </c>
      <c r="C597" s="3">
        <v>-1.6772318642008788E-2</v>
      </c>
    </row>
    <row r="598" spans="1:3" x14ac:dyDescent="0.3">
      <c r="A598" s="3">
        <v>572</v>
      </c>
      <c r="B598" s="3">
        <v>1.0626348487295121</v>
      </c>
      <c r="C598" s="3">
        <v>-1.1734848729512137E-2</v>
      </c>
    </row>
    <row r="599" spans="1:3" x14ac:dyDescent="0.3">
      <c r="A599" s="3">
        <v>573</v>
      </c>
      <c r="B599" s="3">
        <v>1.0635585763983635</v>
      </c>
      <c r="C599" s="3">
        <v>-1.1058576398363495E-2</v>
      </c>
    </row>
    <row r="600" spans="1:3" x14ac:dyDescent="0.3">
      <c r="A600" s="3">
        <v>574</v>
      </c>
      <c r="B600" s="3">
        <v>1.064827689397988</v>
      </c>
      <c r="C600" s="3">
        <v>-8.3276893979880029E-3</v>
      </c>
    </row>
    <row r="601" spans="1:3" x14ac:dyDescent="0.3">
      <c r="A601" s="3">
        <v>575</v>
      </c>
      <c r="B601" s="3">
        <v>1.0680472773540581</v>
      </c>
      <c r="C601" s="3">
        <v>-1.574727735405812E-2</v>
      </c>
    </row>
    <row r="602" spans="1:3" x14ac:dyDescent="0.3">
      <c r="A602" s="3">
        <v>576</v>
      </c>
      <c r="B602" s="3">
        <v>1.0646724788167845</v>
      </c>
      <c r="C602" s="3">
        <v>-9.2724788167846128E-3</v>
      </c>
    </row>
    <row r="603" spans="1:3" x14ac:dyDescent="0.3">
      <c r="A603" s="3">
        <v>577</v>
      </c>
      <c r="B603" s="3">
        <v>1.0671820929243341</v>
      </c>
      <c r="C603" s="3">
        <v>-8.8820929243340618E-3</v>
      </c>
    </row>
    <row r="604" spans="1:3" x14ac:dyDescent="0.3">
      <c r="A604" s="3">
        <v>578</v>
      </c>
      <c r="B604" s="3">
        <v>1.069497780414975</v>
      </c>
      <c r="C604" s="3">
        <v>-1.769778041497494E-2</v>
      </c>
    </row>
    <row r="605" spans="1:3" x14ac:dyDescent="0.3">
      <c r="A605" s="3">
        <v>579</v>
      </c>
      <c r="B605" s="3">
        <v>1.0642791929734443</v>
      </c>
      <c r="C605" s="3">
        <v>-2.037919297344426E-2</v>
      </c>
    </row>
    <row r="606" spans="1:3" x14ac:dyDescent="0.3">
      <c r="A606" s="3">
        <v>580</v>
      </c>
      <c r="B606" s="3">
        <v>1.057940199658884</v>
      </c>
      <c r="C606" s="3">
        <v>-9.7401996588839523E-3</v>
      </c>
    </row>
    <row r="607" spans="1:3" x14ac:dyDescent="0.3">
      <c r="A607" s="3">
        <v>581</v>
      </c>
      <c r="B607" s="3">
        <v>1.0613810813250966</v>
      </c>
      <c r="C607" s="3">
        <v>-1.8581081325096616E-2</v>
      </c>
    </row>
    <row r="608" spans="1:3" x14ac:dyDescent="0.3">
      <c r="A608" s="3">
        <v>582</v>
      </c>
      <c r="B608" s="3">
        <v>1.0570082626609336</v>
      </c>
      <c r="C608" s="3">
        <v>-1.4908262660933591E-2</v>
      </c>
    </row>
    <row r="609" spans="1:3" x14ac:dyDescent="0.3">
      <c r="A609" s="3">
        <v>583</v>
      </c>
      <c r="B609" s="3">
        <v>1.0564636972632422</v>
      </c>
      <c r="C609" s="3">
        <v>-2.9863697263242228E-2</v>
      </c>
    </row>
    <row r="610" spans="1:3" x14ac:dyDescent="0.3">
      <c r="A610" s="3">
        <v>584</v>
      </c>
      <c r="B610" s="3">
        <v>1.0439802543259649</v>
      </c>
      <c r="C610" s="3">
        <v>-2.5880254325964858E-2</v>
      </c>
    </row>
    <row r="611" spans="1:3" x14ac:dyDescent="0.3">
      <c r="A611" s="3">
        <v>585</v>
      </c>
      <c r="B611" s="3">
        <v>1.0371522333306304</v>
      </c>
      <c r="C611" s="3">
        <v>-2.1252233330630421E-2</v>
      </c>
    </row>
    <row r="612" spans="1:3" x14ac:dyDescent="0.3">
      <c r="A612" s="3">
        <v>586</v>
      </c>
      <c r="B612" s="3">
        <v>1.0353350909381467</v>
      </c>
      <c r="C612" s="3">
        <v>-1.7035090938146702E-2</v>
      </c>
    </row>
    <row r="613" spans="1:3" x14ac:dyDescent="0.3">
      <c r="A613" s="3">
        <v>587</v>
      </c>
      <c r="B613" s="3">
        <v>1.0372373247811411</v>
      </c>
      <c r="C613" s="3">
        <v>-3.3337324781141042E-2</v>
      </c>
    </row>
    <row r="614" spans="1:3" x14ac:dyDescent="0.3">
      <c r="A614" s="3">
        <v>588</v>
      </c>
      <c r="B614" s="3">
        <v>1.0256475143571744</v>
      </c>
      <c r="C614" s="3">
        <v>-2.2047514357174336E-2</v>
      </c>
    </row>
    <row r="615" spans="1:3" x14ac:dyDescent="0.3">
      <c r="A615" s="3">
        <v>589</v>
      </c>
      <c r="B615" s="3">
        <v>1.0254239966293601</v>
      </c>
      <c r="C615" s="3">
        <v>-1.9423996629360119E-2</v>
      </c>
    </row>
    <row r="616" spans="1:3" x14ac:dyDescent="0.3">
      <c r="A616" s="3">
        <v>590</v>
      </c>
      <c r="B616" s="3">
        <v>1.027304629915017</v>
      </c>
      <c r="C616" s="3">
        <v>-2.5704629915016985E-2</v>
      </c>
    </row>
    <row r="617" spans="1:3" x14ac:dyDescent="0.3">
      <c r="A617" s="3">
        <v>591</v>
      </c>
      <c r="B617" s="3">
        <v>1.023763487158843</v>
      </c>
      <c r="C617" s="3">
        <v>-1.5063487158843092E-2</v>
      </c>
    </row>
    <row r="618" spans="1:3" x14ac:dyDescent="0.3">
      <c r="A618" s="3">
        <v>592</v>
      </c>
      <c r="B618" s="3">
        <v>1.029484559253435</v>
      </c>
      <c r="C618" s="3">
        <v>-1.538455925343496E-2</v>
      </c>
    </row>
    <row r="619" spans="1:3" x14ac:dyDescent="0.3">
      <c r="A619" s="3">
        <v>593</v>
      </c>
      <c r="B619" s="3">
        <v>1.033807455558635</v>
      </c>
      <c r="C619" s="3">
        <v>-1.1407455558634982E-2</v>
      </c>
    </row>
    <row r="620" spans="1:3" x14ac:dyDescent="0.3">
      <c r="A620" s="3">
        <v>594</v>
      </c>
      <c r="B620" s="3">
        <v>1.0405033505434713</v>
      </c>
      <c r="C620" s="3">
        <v>-2.2803350543471268E-2</v>
      </c>
    </row>
    <row r="621" spans="1:3" x14ac:dyDescent="0.3">
      <c r="A621" s="3">
        <v>595</v>
      </c>
      <c r="B621" s="3">
        <v>1.0367367270156236</v>
      </c>
      <c r="C621" s="3">
        <v>-1.3936727015623651E-2</v>
      </c>
    </row>
    <row r="622" spans="1:3" x14ac:dyDescent="0.3">
      <c r="A622" s="3">
        <v>596</v>
      </c>
      <c r="B622" s="3">
        <v>1.040869924998679</v>
      </c>
      <c r="C622" s="3">
        <v>-1.9869924998679123E-2</v>
      </c>
    </row>
    <row r="623" spans="1:3" x14ac:dyDescent="0.3">
      <c r="A623" s="3">
        <v>597</v>
      </c>
      <c r="B623" s="3">
        <v>1.039402779416063</v>
      </c>
      <c r="C623" s="3">
        <v>-1.7402779416062941E-2</v>
      </c>
    </row>
    <row r="624" spans="1:3" x14ac:dyDescent="0.3">
      <c r="A624" s="3">
        <v>598</v>
      </c>
      <c r="B624" s="3">
        <v>1.0402257660967722</v>
      </c>
      <c r="C624" s="3">
        <v>-2.8825766096772121E-2</v>
      </c>
    </row>
    <row r="625" spans="1:3" x14ac:dyDescent="0.3">
      <c r="A625" s="3">
        <v>599</v>
      </c>
      <c r="B625" s="3">
        <v>1.0316942590985974</v>
      </c>
      <c r="C625" s="3">
        <v>-1.1494259098597359E-2</v>
      </c>
    </row>
    <row r="626" spans="1:3" x14ac:dyDescent="0.3">
      <c r="A626" s="3">
        <v>600</v>
      </c>
      <c r="B626" s="3">
        <v>1.0387817375230408</v>
      </c>
      <c r="C626" s="3">
        <v>-1.9181737523040754E-2</v>
      </c>
    </row>
    <row r="627" spans="1:3" x14ac:dyDescent="0.3">
      <c r="A627" s="3">
        <v>601</v>
      </c>
      <c r="B627" s="3">
        <v>1.0382568616486894</v>
      </c>
      <c r="C627" s="3">
        <v>-1.6456861648689314E-2</v>
      </c>
    </row>
    <row r="628" spans="1:3" x14ac:dyDescent="0.3">
      <c r="A628" s="3">
        <v>602</v>
      </c>
      <c r="B628" s="3">
        <v>1.040056875814471</v>
      </c>
      <c r="C628" s="3">
        <v>-1.3956875814471026E-2</v>
      </c>
    </row>
    <row r="629" spans="1:3" x14ac:dyDescent="0.3">
      <c r="A629" s="3">
        <v>603</v>
      </c>
      <c r="B629" s="3">
        <v>1.043511468752272</v>
      </c>
      <c r="C629" s="3">
        <v>-2.7111468752271994E-2</v>
      </c>
    </row>
    <row r="630" spans="1:3" x14ac:dyDescent="0.3">
      <c r="A630" s="3">
        <v>604</v>
      </c>
      <c r="B630" s="3">
        <v>1.0357153800175354</v>
      </c>
      <c r="C630" s="3">
        <v>-1.9315380017535411E-2</v>
      </c>
    </row>
    <row r="631" spans="1:3" x14ac:dyDescent="0.3">
      <c r="A631" s="3">
        <v>605</v>
      </c>
      <c r="B631" s="3">
        <v>1.0357365895813417</v>
      </c>
      <c r="C631" s="3">
        <v>-1.143658958134175E-2</v>
      </c>
    </row>
    <row r="632" spans="1:3" x14ac:dyDescent="0.3">
      <c r="A632" s="3">
        <v>606</v>
      </c>
      <c r="B632" s="3">
        <v>1.0420564003846258</v>
      </c>
      <c r="C632" s="3">
        <v>-2.3956400384625764E-2</v>
      </c>
    </row>
    <row r="633" spans="1:3" x14ac:dyDescent="0.3">
      <c r="A633" s="3">
        <v>607</v>
      </c>
      <c r="B633" s="3">
        <v>1.0370650960361081</v>
      </c>
      <c r="C633" s="3">
        <v>-1.7565096036108008E-2</v>
      </c>
    </row>
    <row r="634" spans="1:3" x14ac:dyDescent="0.3">
      <c r="A634" s="3">
        <v>608</v>
      </c>
      <c r="B634" s="3">
        <v>1.0382223183089665</v>
      </c>
      <c r="C634" s="3">
        <v>-1.71223183089666E-2</v>
      </c>
    </row>
    <row r="635" spans="1:3" x14ac:dyDescent="0.3">
      <c r="A635" s="3">
        <v>609</v>
      </c>
      <c r="B635" s="3">
        <v>1.0394867498651665</v>
      </c>
      <c r="C635" s="3">
        <v>-9.7867498651664775E-3</v>
      </c>
    </row>
    <row r="636" spans="1:3" x14ac:dyDescent="0.3">
      <c r="A636" s="3">
        <v>610</v>
      </c>
      <c r="B636" s="3">
        <v>1.0464067449966714</v>
      </c>
      <c r="C636" s="3">
        <v>-1.470674499667135E-2</v>
      </c>
    </row>
    <row r="637" spans="1:3" x14ac:dyDescent="0.3">
      <c r="A637" s="3">
        <v>611</v>
      </c>
      <c r="B637" s="3">
        <v>1.0480150328019269</v>
      </c>
      <c r="C637" s="3">
        <v>-2.2215032801926826E-2</v>
      </c>
    </row>
    <row r="638" spans="1:3" x14ac:dyDescent="0.3">
      <c r="A638" s="3">
        <v>612</v>
      </c>
      <c r="B638" s="3">
        <v>1.0432985355491695</v>
      </c>
      <c r="C638" s="3">
        <v>-2.72985355491695E-2</v>
      </c>
    </row>
    <row r="639" spans="1:3" x14ac:dyDescent="0.3">
      <c r="A639" s="3">
        <v>613</v>
      </c>
      <c r="B639" s="3">
        <v>1.035428041690456</v>
      </c>
      <c r="C639" s="3">
        <v>-1.8428041690456087E-2</v>
      </c>
    </row>
    <row r="640" spans="1:3" x14ac:dyDescent="0.3">
      <c r="A640" s="3">
        <v>614</v>
      </c>
      <c r="B640" s="3">
        <v>1.0362183445687776</v>
      </c>
      <c r="C640" s="3">
        <v>-1.8218344568777578E-2</v>
      </c>
    </row>
    <row r="641" spans="1:3" x14ac:dyDescent="0.3">
      <c r="A641" s="3">
        <v>615</v>
      </c>
      <c r="B641" s="3">
        <v>1.0369880944560832</v>
      </c>
      <c r="C641" s="3">
        <v>-2.8188094456083279E-2</v>
      </c>
    </row>
    <row r="642" spans="1:3" x14ac:dyDescent="0.3">
      <c r="A642" s="3">
        <v>616</v>
      </c>
      <c r="B642" s="3">
        <v>1.029592141694003</v>
      </c>
      <c r="C642" s="3">
        <v>-2.6192141694002968E-2</v>
      </c>
    </row>
    <row r="643" spans="1:3" x14ac:dyDescent="0.3">
      <c r="A643" s="3">
        <v>617</v>
      </c>
      <c r="B643" s="3">
        <v>1.025258898076614</v>
      </c>
      <c r="C643" s="3">
        <v>-3.1158898076613983E-2</v>
      </c>
    </row>
    <row r="644" spans="1:3" x14ac:dyDescent="0.3">
      <c r="A644" s="3">
        <v>618</v>
      </c>
      <c r="B644" s="3">
        <v>1.0177515479838086</v>
      </c>
      <c r="C644" s="3">
        <v>-2.1051547983808594E-2</v>
      </c>
    </row>
    <row r="645" spans="1:3" x14ac:dyDescent="0.3">
      <c r="A645" s="3">
        <v>619</v>
      </c>
      <c r="B645" s="3">
        <v>1.0198299850498231</v>
      </c>
      <c r="C645" s="3">
        <v>-2.3329985049823088E-2</v>
      </c>
    </row>
    <row r="646" spans="1:3" x14ac:dyDescent="0.3">
      <c r="A646" s="3">
        <v>620</v>
      </c>
      <c r="B646" s="3">
        <v>1.0196353540705441</v>
      </c>
      <c r="C646" s="3">
        <v>-2.2235354070544111E-2</v>
      </c>
    </row>
    <row r="647" spans="1:3" x14ac:dyDescent="0.3">
      <c r="A647" s="3">
        <v>621</v>
      </c>
      <c r="B647" s="3">
        <v>1.0203682442250492</v>
      </c>
      <c r="C647" s="3">
        <v>-2.4268244225049251E-2</v>
      </c>
    </row>
    <row r="648" spans="1:3" x14ac:dyDescent="0.3">
      <c r="A648" s="3">
        <v>622</v>
      </c>
      <c r="B648" s="3">
        <v>1.0193214878532897</v>
      </c>
      <c r="C648" s="3">
        <v>-1.9821487853289632E-2</v>
      </c>
    </row>
    <row r="649" spans="1:3" x14ac:dyDescent="0.3">
      <c r="A649" s="3">
        <v>623</v>
      </c>
      <c r="B649" s="3">
        <v>1.0220597656788586</v>
      </c>
      <c r="C649" s="3">
        <v>-2.08597656788585E-2</v>
      </c>
    </row>
    <row r="650" spans="1:3" x14ac:dyDescent="0.3">
      <c r="A650" s="3">
        <v>624</v>
      </c>
      <c r="B650" s="3">
        <v>1.0234202055194404</v>
      </c>
      <c r="C650" s="3">
        <v>-1.7720205519440313E-2</v>
      </c>
    </row>
    <row r="651" spans="1:3" x14ac:dyDescent="0.3">
      <c r="A651" s="3">
        <v>625</v>
      </c>
      <c r="B651" s="3">
        <v>1.0270497670270624</v>
      </c>
      <c r="C651" s="3">
        <v>-3.264976702706246E-2</v>
      </c>
    </row>
    <row r="652" spans="1:3" x14ac:dyDescent="0.3">
      <c r="A652" s="3">
        <v>626</v>
      </c>
      <c r="B652" s="3">
        <v>1.0179650838962977</v>
      </c>
      <c r="C652" s="3">
        <v>-2.2865083896297711E-2</v>
      </c>
    </row>
    <row r="653" spans="1:3" x14ac:dyDescent="0.3">
      <c r="A653" s="3">
        <v>627</v>
      </c>
      <c r="B653" s="3">
        <v>1.0185509832109667</v>
      </c>
      <c r="C653" s="3">
        <v>-2.5950983210966672E-2</v>
      </c>
    </row>
    <row r="654" spans="1:3" x14ac:dyDescent="0.3">
      <c r="A654" s="3">
        <v>628</v>
      </c>
      <c r="B654" s="3">
        <v>1.016501016403289</v>
      </c>
      <c r="C654" s="3">
        <v>-2.6301016403289079E-2</v>
      </c>
    </row>
    <row r="655" spans="1:3" x14ac:dyDescent="0.3">
      <c r="A655" s="3">
        <v>629</v>
      </c>
      <c r="B655" s="3">
        <v>1.014574967262863</v>
      </c>
      <c r="C655" s="3">
        <v>-1.4674967262862992E-2</v>
      </c>
    </row>
    <row r="656" spans="1:3" x14ac:dyDescent="0.3">
      <c r="A656" s="3">
        <v>630</v>
      </c>
      <c r="B656" s="3">
        <v>1.0223687720427013</v>
      </c>
      <c r="C656" s="3">
        <v>-2.2968772042701313E-2</v>
      </c>
    </row>
    <row r="657" spans="1:3" x14ac:dyDescent="0.3">
      <c r="A657" s="3">
        <v>631</v>
      </c>
      <c r="B657" s="3">
        <v>1.0219520106351245</v>
      </c>
      <c r="C657" s="3">
        <v>-1.8052010635124516E-2</v>
      </c>
    </row>
    <row r="658" spans="1:3" x14ac:dyDescent="0.3">
      <c r="A658" s="3">
        <v>632</v>
      </c>
      <c r="B658" s="3">
        <v>1.0256047496895453</v>
      </c>
      <c r="C658" s="3">
        <v>-1.370474968954527E-2</v>
      </c>
    </row>
    <row r="659" spans="1:3" x14ac:dyDescent="0.3">
      <c r="A659" s="3">
        <v>633</v>
      </c>
      <c r="B659" s="3">
        <v>1.0320337575671723</v>
      </c>
      <c r="C659" s="3">
        <v>-3.5033757567172308E-2</v>
      </c>
    </row>
    <row r="660" spans="1:3" x14ac:dyDescent="0.3">
      <c r="A660" s="3">
        <v>634</v>
      </c>
      <c r="B660" s="3">
        <v>1.0200612707205574</v>
      </c>
      <c r="C660" s="3">
        <v>-2.236127072055738E-2</v>
      </c>
    </row>
    <row r="661" spans="1:3" x14ac:dyDescent="0.3">
      <c r="A661" s="3">
        <v>635</v>
      </c>
      <c r="B661" s="3">
        <v>1.0206616096974759</v>
      </c>
      <c r="C661" s="3">
        <v>-2.0761609697475869E-2</v>
      </c>
    </row>
    <row r="662" spans="1:3" x14ac:dyDescent="0.3">
      <c r="A662" s="3">
        <v>636</v>
      </c>
      <c r="B662" s="3">
        <v>1.0223790185695962</v>
      </c>
      <c r="C662" s="3">
        <v>-2.0879018569596175E-2</v>
      </c>
    </row>
    <row r="663" spans="1:3" x14ac:dyDescent="0.3">
      <c r="A663" s="3">
        <v>637</v>
      </c>
      <c r="B663" s="3">
        <v>1.0236667249871332</v>
      </c>
      <c r="C663" s="3">
        <v>-2.1466724987133201E-2</v>
      </c>
    </row>
    <row r="664" spans="1:3" x14ac:dyDescent="0.3">
      <c r="A664" s="3">
        <v>638</v>
      </c>
      <c r="B664" s="3">
        <v>1.0242362097150479</v>
      </c>
      <c r="C664" s="3">
        <v>-2.7236209715047921E-2</v>
      </c>
    </row>
    <row r="665" spans="1:3" x14ac:dyDescent="0.3">
      <c r="A665" s="3">
        <v>639</v>
      </c>
      <c r="B665" s="3">
        <v>1.0200593693493021</v>
      </c>
      <c r="C665" s="3">
        <v>-3.6359369349302062E-2</v>
      </c>
    </row>
    <row r="666" spans="1:3" x14ac:dyDescent="0.3">
      <c r="A666" s="3">
        <v>640</v>
      </c>
      <c r="B666" s="3">
        <v>1.0093691912337848</v>
      </c>
      <c r="C666" s="3">
        <v>-2.5769191233784738E-2</v>
      </c>
    </row>
    <row r="667" spans="1:3" x14ac:dyDescent="0.3">
      <c r="A667" s="3">
        <v>641</v>
      </c>
      <c r="B667" s="3">
        <v>1.0092795772088292</v>
      </c>
      <c r="C667" s="3">
        <v>-4.0279577208829243E-2</v>
      </c>
    </row>
    <row r="668" spans="1:3" x14ac:dyDescent="0.3">
      <c r="A668" s="3">
        <v>642</v>
      </c>
      <c r="B668" s="3">
        <v>0.99749227984409994</v>
      </c>
      <c r="C668" s="3">
        <v>-3.6892279844099929E-2</v>
      </c>
    </row>
    <row r="669" spans="1:3" x14ac:dyDescent="0.3">
      <c r="A669" s="3">
        <v>643</v>
      </c>
      <c r="B669" s="3">
        <v>0.9907461579265151</v>
      </c>
      <c r="C669" s="3">
        <v>-3.154615792651505E-2</v>
      </c>
    </row>
    <row r="670" spans="1:3" x14ac:dyDescent="0.3">
      <c r="A670" s="3">
        <v>644</v>
      </c>
      <c r="B670" s="3">
        <v>0.98957542334959026</v>
      </c>
      <c r="C670" s="3">
        <v>-1.6175423349590212E-2</v>
      </c>
    </row>
    <row r="671" spans="1:3" x14ac:dyDescent="0.3">
      <c r="A671" s="3">
        <v>645</v>
      </c>
      <c r="B671" s="3">
        <v>1.0009671704877636</v>
      </c>
      <c r="C671" s="3">
        <v>-1.9567170487763574E-2</v>
      </c>
    </row>
    <row r="672" spans="1:3" x14ac:dyDescent="0.3">
      <c r="A672" s="3">
        <v>646</v>
      </c>
      <c r="B672" s="3">
        <v>1.0073866967387795</v>
      </c>
      <c r="C672" s="3">
        <v>-2.7486696738779459E-2</v>
      </c>
    </row>
    <row r="673" spans="1:3" x14ac:dyDescent="0.3">
      <c r="A673" s="3">
        <v>647</v>
      </c>
      <c r="B673" s="3">
        <v>1.0062241015266233</v>
      </c>
      <c r="C673" s="3">
        <v>-2.3824101526623287E-2</v>
      </c>
    </row>
    <row r="674" spans="1:3" x14ac:dyDescent="0.3">
      <c r="A674" s="3">
        <v>648</v>
      </c>
      <c r="B674" s="3">
        <v>1.0082632112888184</v>
      </c>
      <c r="C674" s="3">
        <v>-9.9632112888183855E-3</v>
      </c>
    </row>
    <row r="675" spans="1:3" x14ac:dyDescent="0.3">
      <c r="A675" s="3">
        <v>649</v>
      </c>
      <c r="B675" s="3">
        <v>1.0210433545723345</v>
      </c>
      <c r="C675" s="3">
        <v>-3.284335457233456E-2</v>
      </c>
    </row>
    <row r="676" spans="1:3" x14ac:dyDescent="0.3">
      <c r="A676" s="3">
        <v>650</v>
      </c>
      <c r="B676" s="3">
        <v>1.0129189897932067</v>
      </c>
      <c r="C676" s="3">
        <v>-3.4118989793206711E-2</v>
      </c>
    </row>
    <row r="677" spans="1:3" x14ac:dyDescent="0.3">
      <c r="A677" s="3">
        <v>651</v>
      </c>
      <c r="B677" s="3">
        <v>1.0054208883040963</v>
      </c>
      <c r="C677" s="3">
        <v>-3.1320888304096295E-2</v>
      </c>
    </row>
    <row r="678" spans="1:3" x14ac:dyDescent="0.3">
      <c r="A678" s="3">
        <v>652</v>
      </c>
      <c r="B678" s="3">
        <v>1.0016124358766909</v>
      </c>
      <c r="C678" s="3">
        <v>-3.1612435876690936E-2</v>
      </c>
    </row>
    <row r="679" spans="1:3" x14ac:dyDescent="0.3">
      <c r="A679" s="3">
        <v>653</v>
      </c>
      <c r="B679" s="3">
        <v>0.9982858348835707</v>
      </c>
      <c r="C679" s="3">
        <v>-2.7985834883570648E-2</v>
      </c>
    </row>
    <row r="680" spans="1:3" x14ac:dyDescent="0.3">
      <c r="A680" s="3">
        <v>654</v>
      </c>
      <c r="B680" s="3">
        <v>0.99851358165567528</v>
      </c>
      <c r="C680" s="3">
        <v>-2.8113581655675235E-2</v>
      </c>
    </row>
    <row r="681" spans="1:3" x14ac:dyDescent="0.3">
      <c r="A681" s="3">
        <v>655</v>
      </c>
      <c r="B681" s="3">
        <v>0.99857966304923662</v>
      </c>
      <c r="C681" s="3">
        <v>-2.1279663049236675E-2</v>
      </c>
    </row>
    <row r="682" spans="1:3" x14ac:dyDescent="0.3">
      <c r="A682" s="3">
        <v>656</v>
      </c>
      <c r="B682" s="3">
        <v>1.0041296906593467</v>
      </c>
      <c r="C682" s="3">
        <v>-3.2229690659346666E-2</v>
      </c>
    </row>
    <row r="683" spans="1:3" x14ac:dyDescent="0.3">
      <c r="A683" s="3">
        <v>657</v>
      </c>
      <c r="B683" s="3">
        <v>0.99978275779628023</v>
      </c>
      <c r="C683" s="3">
        <v>-1.5982757796280223E-2</v>
      </c>
    </row>
    <row r="684" spans="1:3" x14ac:dyDescent="0.3">
      <c r="A684" s="3">
        <v>658</v>
      </c>
      <c r="B684" s="3">
        <v>1.009380224235026</v>
      </c>
      <c r="C684" s="3">
        <v>-2.4180224235026082E-2</v>
      </c>
    </row>
    <row r="685" spans="1:3" x14ac:dyDescent="0.3">
      <c r="A685" s="3">
        <v>659</v>
      </c>
      <c r="B685" s="3">
        <v>1.0104796699044187</v>
      </c>
      <c r="C685" s="3">
        <v>-3.3379669904418763E-2</v>
      </c>
    </row>
    <row r="686" spans="1:3" x14ac:dyDescent="0.3">
      <c r="A686" s="3">
        <v>660</v>
      </c>
      <c r="B686" s="3">
        <v>1.0040056850732972</v>
      </c>
      <c r="C686" s="3">
        <v>-2.5705685073297291E-2</v>
      </c>
    </row>
    <row r="687" spans="1:3" x14ac:dyDescent="0.3">
      <c r="A687" s="3">
        <v>661</v>
      </c>
      <c r="B687" s="3">
        <v>1.0049808931502522</v>
      </c>
      <c r="C687" s="3">
        <v>-1.8980893150252198E-2</v>
      </c>
    </row>
    <row r="688" spans="1:3" x14ac:dyDescent="0.3">
      <c r="A688" s="3">
        <v>662</v>
      </c>
      <c r="B688" s="3">
        <v>1.0111445917778192</v>
      </c>
      <c r="C688" s="3">
        <v>-2.374459177781918E-2</v>
      </c>
    </row>
    <row r="689" spans="1:3" x14ac:dyDescent="0.3">
      <c r="A689" s="3">
        <v>663</v>
      </c>
      <c r="B689" s="3">
        <v>1.0122695646929565</v>
      </c>
      <c r="C689" s="3">
        <v>-1.5869564692956528E-2</v>
      </c>
    </row>
    <row r="690" spans="1:3" x14ac:dyDescent="0.3">
      <c r="A690" s="3">
        <v>664</v>
      </c>
      <c r="B690" s="3">
        <v>1.0195331070431228</v>
      </c>
      <c r="C690" s="3">
        <v>-1.1833107043122792E-2</v>
      </c>
    </row>
    <row r="691" spans="1:3" x14ac:dyDescent="0.3">
      <c r="A691" s="3">
        <v>665</v>
      </c>
      <c r="B691" s="3">
        <v>1.0286196078466272</v>
      </c>
      <c r="C691" s="3">
        <v>-3.241960784662723E-2</v>
      </c>
    </row>
    <row r="692" spans="1:3" x14ac:dyDescent="0.3">
      <c r="A692" s="3">
        <v>666</v>
      </c>
      <c r="B692" s="3">
        <v>1.0193947924152309</v>
      </c>
      <c r="C692" s="3">
        <v>-2.3094792415230936E-2</v>
      </c>
    </row>
    <row r="693" spans="1:3" x14ac:dyDescent="0.3">
      <c r="A693" s="3">
        <v>667</v>
      </c>
      <c r="B693" s="3">
        <v>1.0195217522631543</v>
      </c>
      <c r="C693" s="3">
        <v>-3.1221752263154379E-2</v>
      </c>
    </row>
    <row r="694" spans="1:3" x14ac:dyDescent="0.3">
      <c r="A694" s="3">
        <v>668</v>
      </c>
      <c r="B694" s="3">
        <v>1.0130483274398103</v>
      </c>
      <c r="C694" s="3">
        <v>-2.564832743981027E-2</v>
      </c>
    </row>
    <row r="695" spans="1:3" x14ac:dyDescent="0.3">
      <c r="A695" s="3">
        <v>669</v>
      </c>
      <c r="B695" s="3">
        <v>1.0123301416591242</v>
      </c>
      <c r="C695" s="3">
        <v>-3.0630141659124144E-2</v>
      </c>
    </row>
    <row r="696" spans="1:3" x14ac:dyDescent="0.3">
      <c r="A696" s="3">
        <v>670</v>
      </c>
      <c r="B696" s="3">
        <v>1.0077191333315074</v>
      </c>
      <c r="C696" s="3">
        <v>-3.2619133331507455E-2</v>
      </c>
    </row>
    <row r="697" spans="1:3" x14ac:dyDescent="0.3">
      <c r="A697" s="3">
        <v>671</v>
      </c>
      <c r="B697" s="3">
        <v>1.0024119811667209</v>
      </c>
      <c r="C697" s="3">
        <v>-6.4119811667209259E-3</v>
      </c>
    </row>
    <row r="698" spans="1:3" x14ac:dyDescent="0.3">
      <c r="A698" s="3">
        <v>672</v>
      </c>
      <c r="B698" s="3">
        <v>1.0192046766170355</v>
      </c>
      <c r="C698" s="3">
        <v>-1.7304676617035497E-2</v>
      </c>
    </row>
    <row r="699" spans="1:3" x14ac:dyDescent="0.3">
      <c r="A699" s="3">
        <v>673</v>
      </c>
      <c r="B699" s="3">
        <v>1.0239130172694064</v>
      </c>
      <c r="C699" s="3">
        <v>-1.6713017269406327E-2</v>
      </c>
    </row>
    <row r="700" spans="1:3" x14ac:dyDescent="0.3">
      <c r="A700" s="3">
        <v>674</v>
      </c>
      <c r="B700" s="3">
        <v>1.028243551015283</v>
      </c>
      <c r="C700" s="3">
        <v>-2.7143551015282874E-2</v>
      </c>
    </row>
    <row r="701" spans="1:3" x14ac:dyDescent="0.3">
      <c r="A701" s="3">
        <v>675</v>
      </c>
      <c r="B701" s="3">
        <v>1.0233547285706437</v>
      </c>
      <c r="C701" s="3">
        <v>-2.5547285706437606E-3</v>
      </c>
    </row>
    <row r="702" spans="1:3" x14ac:dyDescent="0.3">
      <c r="A702" s="3">
        <v>676</v>
      </c>
      <c r="B702" s="3">
        <v>1.0392199849684749</v>
      </c>
      <c r="C702" s="3">
        <v>-4.0199849684749989E-3</v>
      </c>
    </row>
    <row r="703" spans="1:3" x14ac:dyDescent="0.3">
      <c r="A703" s="3">
        <v>677</v>
      </c>
      <c r="B703" s="3">
        <v>1.0507666359935233</v>
      </c>
      <c r="C703" s="3">
        <v>-1.8266635993523295E-2</v>
      </c>
    </row>
    <row r="704" spans="1:3" x14ac:dyDescent="0.3">
      <c r="A704" s="3">
        <v>678</v>
      </c>
      <c r="B704" s="3">
        <v>1.0486537511669467</v>
      </c>
      <c r="C704" s="3">
        <v>-1.3853751166946759E-2</v>
      </c>
    </row>
    <row r="705" spans="1:3" x14ac:dyDescent="0.3">
      <c r="A705" s="3">
        <v>679</v>
      </c>
      <c r="B705" s="3">
        <v>1.0505548836983796</v>
      </c>
      <c r="C705" s="3">
        <v>-1.135488369837967E-2</v>
      </c>
    </row>
    <row r="706" spans="1:3" x14ac:dyDescent="0.3">
      <c r="A706" s="3">
        <v>680</v>
      </c>
      <c r="B706" s="3">
        <v>1.0540825883044229</v>
      </c>
      <c r="C706" s="3">
        <v>-1.8082588304422886E-2</v>
      </c>
    </row>
    <row r="707" spans="1:3" x14ac:dyDescent="0.3">
      <c r="A707" s="3">
        <v>681</v>
      </c>
      <c r="B707" s="3">
        <v>1.0515141527483169</v>
      </c>
      <c r="C707" s="3">
        <v>-1.9114152748316959E-2</v>
      </c>
    </row>
    <row r="708" spans="1:3" x14ac:dyDescent="0.3">
      <c r="A708" s="3">
        <v>682</v>
      </c>
      <c r="B708" s="3">
        <v>1.0486362729129448</v>
      </c>
      <c r="C708" s="3">
        <v>-2.4536272912944801E-2</v>
      </c>
    </row>
    <row r="709" spans="1:3" x14ac:dyDescent="0.3">
      <c r="A709" s="3">
        <v>683</v>
      </c>
      <c r="B709" s="3">
        <v>1.0419526471690874</v>
      </c>
      <c r="C709" s="3">
        <v>-1.1752647169087416E-2</v>
      </c>
    </row>
    <row r="710" spans="1:3" x14ac:dyDescent="0.3">
      <c r="A710" s="3">
        <v>684</v>
      </c>
      <c r="B710" s="3">
        <v>1.0468513755397377</v>
      </c>
      <c r="C710" s="3">
        <v>-7.3513755397376368E-3</v>
      </c>
    </row>
    <row r="711" spans="1:3" x14ac:dyDescent="0.3">
      <c r="A711" s="3">
        <v>685</v>
      </c>
      <c r="B711" s="3">
        <v>1.0542979010415841</v>
      </c>
      <c r="C711" s="3">
        <v>-1.3497901041584104E-2</v>
      </c>
    </row>
    <row r="712" spans="1:3" x14ac:dyDescent="0.3">
      <c r="A712" s="3">
        <v>686</v>
      </c>
      <c r="B712" s="3">
        <v>1.0553583029408837</v>
      </c>
      <c r="C712" s="3">
        <v>-1.585830294088364E-2</v>
      </c>
    </row>
    <row r="713" spans="1:3" x14ac:dyDescent="0.3">
      <c r="A713" s="3">
        <v>687</v>
      </c>
      <c r="B713" s="3">
        <v>1.0543440528292141</v>
      </c>
      <c r="C713" s="3">
        <v>-2.0644052829213999E-2</v>
      </c>
    </row>
    <row r="714" spans="1:3" x14ac:dyDescent="0.3">
      <c r="A714" s="3">
        <v>688</v>
      </c>
      <c r="B714" s="3">
        <v>1.0496849656972063</v>
      </c>
      <c r="C714" s="3">
        <v>-1.6984965697206311E-2</v>
      </c>
    </row>
    <row r="715" spans="1:3" x14ac:dyDescent="0.3">
      <c r="A715" s="3">
        <v>689</v>
      </c>
      <c r="B715" s="3">
        <v>1.0488800832586507</v>
      </c>
      <c r="C715" s="3">
        <v>-8.3800832586506946E-3</v>
      </c>
    </row>
    <row r="716" spans="1:3" x14ac:dyDescent="0.3">
      <c r="A716" s="3">
        <v>690</v>
      </c>
      <c r="B716" s="3">
        <v>1.0551335829980504</v>
      </c>
      <c r="C716" s="3">
        <v>-2.9335829980503547E-3</v>
      </c>
    </row>
    <row r="717" spans="1:3" x14ac:dyDescent="0.3">
      <c r="A717" s="3">
        <v>691</v>
      </c>
      <c r="B717" s="3">
        <v>1.0645342787390484</v>
      </c>
      <c r="C717" s="3">
        <v>-1.0734278739048309E-2</v>
      </c>
    </row>
    <row r="718" spans="1:3" x14ac:dyDescent="0.3">
      <c r="A718" s="3">
        <v>692</v>
      </c>
      <c r="B718" s="3">
        <v>1.0658402301644121</v>
      </c>
      <c r="C718" s="3">
        <v>-1.6740230164412173E-2</v>
      </c>
    </row>
    <row r="719" spans="1:3" x14ac:dyDescent="0.3">
      <c r="A719" s="3">
        <v>693</v>
      </c>
      <c r="B719" s="3">
        <v>1.0620997426655185</v>
      </c>
      <c r="C719" s="3">
        <v>-1.5199742665518601E-2</v>
      </c>
    </row>
    <row r="720" spans="1:3" x14ac:dyDescent="0.3">
      <c r="A720" s="3">
        <v>694</v>
      </c>
      <c r="B720" s="3">
        <v>1.060339086624521</v>
      </c>
      <c r="C720" s="3">
        <v>-9.8390866245210429E-3</v>
      </c>
    </row>
    <row r="721" spans="1:3" x14ac:dyDescent="0.3">
      <c r="A721" s="3">
        <v>695</v>
      </c>
      <c r="B721" s="3">
        <v>1.0632194818204921</v>
      </c>
      <c r="C721" s="3">
        <v>-7.6194818204919912E-3</v>
      </c>
    </row>
    <row r="722" spans="1:3" x14ac:dyDescent="0.3">
      <c r="A722" s="3">
        <v>696</v>
      </c>
      <c r="B722" s="3">
        <v>1.067311004417997</v>
      </c>
      <c r="C722" s="3">
        <v>-1.4311004417997042E-2</v>
      </c>
    </row>
    <row r="723" spans="1:3" x14ac:dyDescent="0.3">
      <c r="A723" s="3">
        <v>697</v>
      </c>
      <c r="B723" s="3">
        <v>1.0652291196940677</v>
      </c>
      <c r="C723" s="3">
        <v>-1.1729119694067647E-2</v>
      </c>
    </row>
    <row r="724" spans="1:3" x14ac:dyDescent="0.3">
      <c r="A724" s="3">
        <v>698</v>
      </c>
      <c r="B724" s="3">
        <v>1.0656505266361336</v>
      </c>
      <c r="C724" s="3">
        <v>-2.6505266361336322E-3</v>
      </c>
    </row>
    <row r="725" spans="1:3" x14ac:dyDescent="0.3">
      <c r="A725" s="3">
        <v>699</v>
      </c>
      <c r="B725" s="3">
        <v>1.0732812376228422</v>
      </c>
      <c r="C725" s="3">
        <v>-5.0812376228421829E-3</v>
      </c>
    </row>
    <row r="726" spans="1:3" x14ac:dyDescent="0.3">
      <c r="A726" s="3">
        <v>700</v>
      </c>
      <c r="B726" s="3">
        <v>1.0774586158216162</v>
      </c>
      <c r="C726" s="3">
        <v>-1.4858615821616183E-2</v>
      </c>
    </row>
    <row r="727" spans="1:3" x14ac:dyDescent="0.3">
      <c r="A727" s="3">
        <v>701</v>
      </c>
      <c r="B727" s="3">
        <v>1.0729843826279057</v>
      </c>
      <c r="C727" s="3">
        <v>-1.4784382627905712E-2</v>
      </c>
    </row>
    <row r="728" spans="1:3" x14ac:dyDescent="0.3">
      <c r="A728" s="3">
        <v>702</v>
      </c>
      <c r="B728" s="3">
        <v>1.0694674710586751</v>
      </c>
      <c r="C728" s="3">
        <v>-8.967471058675125E-3</v>
      </c>
    </row>
    <row r="729" spans="1:3" x14ac:dyDescent="0.3">
      <c r="A729" s="3">
        <v>703</v>
      </c>
      <c r="B729" s="3">
        <v>1.0713007333730671</v>
      </c>
      <c r="C729" s="3">
        <v>-9.2007333730670382E-3</v>
      </c>
    </row>
    <row r="730" spans="1:3" x14ac:dyDescent="0.3">
      <c r="A730" s="3">
        <v>704</v>
      </c>
      <c r="B730" s="3">
        <v>1.0725707821407628</v>
      </c>
      <c r="C730" s="3">
        <v>-1.2270782140762826E-2</v>
      </c>
    </row>
    <row r="731" spans="1:3" x14ac:dyDescent="0.3">
      <c r="A731" s="3">
        <v>705</v>
      </c>
      <c r="B731" s="3">
        <v>1.071130083352873</v>
      </c>
      <c r="C731" s="3">
        <v>-1.1830083352873055E-2</v>
      </c>
    </row>
    <row r="732" spans="1:3" x14ac:dyDescent="0.3">
      <c r="A732" s="3">
        <v>706</v>
      </c>
      <c r="B732" s="3">
        <v>1.0703325743929502</v>
      </c>
      <c r="C732" s="3">
        <v>-8.9325743929502543E-3</v>
      </c>
    </row>
    <row r="733" spans="1:3" x14ac:dyDescent="0.3">
      <c r="A733" s="3">
        <v>707</v>
      </c>
      <c r="B733" s="3">
        <v>1.0720158668278148</v>
      </c>
      <c r="C733" s="3">
        <v>-8.5158668278149108E-3</v>
      </c>
    </row>
    <row r="734" spans="1:3" x14ac:dyDescent="0.3">
      <c r="A734" s="3">
        <v>708</v>
      </c>
      <c r="B734" s="3">
        <v>1.0736998807118285</v>
      </c>
      <c r="C734" s="3">
        <v>-9.8998807118284571E-3</v>
      </c>
    </row>
    <row r="735" spans="1:3" x14ac:dyDescent="0.3">
      <c r="A735" s="3">
        <v>709</v>
      </c>
      <c r="B735" s="3">
        <v>1.0739470072273536</v>
      </c>
      <c r="C735" s="3">
        <v>-1.3147007227353624E-2</v>
      </c>
    </row>
    <row r="736" spans="1:3" x14ac:dyDescent="0.3">
      <c r="A736" s="3">
        <v>710</v>
      </c>
      <c r="B736" s="3">
        <v>1.0715414195749637</v>
      </c>
      <c r="C736" s="3">
        <v>-5.4414195749636907E-3</v>
      </c>
    </row>
    <row r="737" spans="1:3" x14ac:dyDescent="0.3">
      <c r="A737" s="3">
        <v>711</v>
      </c>
      <c r="B737" s="3">
        <v>1.0758067470392731</v>
      </c>
      <c r="C737" s="3">
        <v>-5.6067470392731078E-3</v>
      </c>
    </row>
    <row r="738" spans="1:3" x14ac:dyDescent="0.3">
      <c r="A738" s="3">
        <v>712</v>
      </c>
      <c r="B738" s="3">
        <v>1.0790901810912754</v>
      </c>
      <c r="C738" s="3">
        <v>2.5309818908724635E-2</v>
      </c>
    </row>
    <row r="739" spans="1:3" x14ac:dyDescent="0.3">
      <c r="A739" s="3">
        <v>713</v>
      </c>
      <c r="B739" s="3">
        <v>1.106609796635998</v>
      </c>
      <c r="C739" s="3">
        <v>-4.0409796635997974E-2</v>
      </c>
    </row>
    <row r="740" spans="1:3" x14ac:dyDescent="0.3">
      <c r="A740" s="3">
        <v>714</v>
      </c>
      <c r="B740" s="3">
        <v>1.0758805798896629</v>
      </c>
      <c r="C740" s="3">
        <v>-2.1280579889662921E-2</v>
      </c>
    </row>
    <row r="741" spans="1:3" x14ac:dyDescent="0.3">
      <c r="A741" s="3">
        <v>715</v>
      </c>
      <c r="B741" s="3">
        <v>1.066694811334755</v>
      </c>
      <c r="C741" s="3">
        <v>-6.7948113347549022E-3</v>
      </c>
    </row>
    <row r="742" spans="1:3" x14ac:dyDescent="0.3">
      <c r="A742" s="3">
        <v>716</v>
      </c>
      <c r="B742" s="3">
        <v>1.0708329911454137</v>
      </c>
      <c r="C742" s="3">
        <v>-1.8832991145413702E-2</v>
      </c>
    </row>
    <row r="743" spans="1:3" x14ac:dyDescent="0.3">
      <c r="A743" s="3">
        <v>717</v>
      </c>
      <c r="B743" s="3">
        <v>1.0644362238304543</v>
      </c>
      <c r="C743" s="3">
        <v>-3.6223830454318318E-5</v>
      </c>
    </row>
    <row r="744" spans="1:3" x14ac:dyDescent="0.3">
      <c r="A744" s="3">
        <v>718</v>
      </c>
      <c r="B744" s="3">
        <v>1.0744319205321562</v>
      </c>
      <c r="C744" s="3">
        <v>-1.6319205321562169E-3</v>
      </c>
    </row>
    <row r="745" spans="1:3" x14ac:dyDescent="0.3">
      <c r="A745" s="3">
        <v>719</v>
      </c>
      <c r="B745" s="3">
        <v>1.0811518936724531</v>
      </c>
      <c r="C745" s="3">
        <v>-7.7518936724532139E-3</v>
      </c>
    </row>
    <row r="746" spans="1:3" x14ac:dyDescent="0.3">
      <c r="A746" s="3">
        <v>720</v>
      </c>
      <c r="B746" s="3">
        <v>1.0816716704784912</v>
      </c>
      <c r="C746" s="3">
        <v>-6.1716704784913201E-3</v>
      </c>
    </row>
    <row r="747" spans="1:3" x14ac:dyDescent="0.3">
      <c r="A747" s="3">
        <v>721</v>
      </c>
      <c r="B747" s="3">
        <v>1.0833890948201756</v>
      </c>
      <c r="C747" s="3">
        <v>1.210905179824362E-3</v>
      </c>
    </row>
    <row r="748" spans="1:3" x14ac:dyDescent="0.3">
      <c r="A748" s="3">
        <v>722</v>
      </c>
      <c r="B748" s="3">
        <v>1.0907081074078335</v>
      </c>
      <c r="C748" s="3">
        <v>-7.9081074078335423E-3</v>
      </c>
    </row>
    <row r="749" spans="1:3" x14ac:dyDescent="0.3">
      <c r="A749" s="3">
        <v>723</v>
      </c>
      <c r="B749" s="3">
        <v>1.0892617879376916</v>
      </c>
      <c r="C749" s="3">
        <v>-7.6617879376916775E-3</v>
      </c>
    </row>
    <row r="750" spans="1:3" x14ac:dyDescent="0.3">
      <c r="A750" s="3">
        <v>724</v>
      </c>
      <c r="B750" s="3">
        <v>1.0883293071510538</v>
      </c>
      <c r="C750" s="3">
        <v>-9.529307151053823E-3</v>
      </c>
    </row>
    <row r="751" spans="1:3" x14ac:dyDescent="0.3">
      <c r="A751" s="3">
        <v>725</v>
      </c>
      <c r="B751" s="3">
        <v>1.0860720953019516</v>
      </c>
      <c r="C751" s="3">
        <v>-6.8720953019516529E-3</v>
      </c>
    </row>
    <row r="752" spans="1:3" x14ac:dyDescent="0.3">
      <c r="A752" s="3">
        <v>726</v>
      </c>
      <c r="B752" s="3">
        <v>1.0863914814161633</v>
      </c>
      <c r="C752" s="3">
        <v>-3.691481416163267E-3</v>
      </c>
    </row>
    <row r="753" spans="1:3" x14ac:dyDescent="0.3">
      <c r="A753" s="3">
        <v>727</v>
      </c>
      <c r="B753" s="3">
        <v>1.0891962999759399</v>
      </c>
      <c r="C753" s="3">
        <v>-3.6962999759400095E-3</v>
      </c>
    </row>
    <row r="754" spans="1:3" x14ac:dyDescent="0.3">
      <c r="A754" s="3">
        <v>728</v>
      </c>
      <c r="B754" s="3">
        <v>1.0914471705613302</v>
      </c>
      <c r="C754" s="3">
        <v>-4.6471705613302383E-3</v>
      </c>
    </row>
    <row r="755" spans="1:3" x14ac:dyDescent="0.3">
      <c r="A755" s="3">
        <v>729</v>
      </c>
      <c r="B755" s="3">
        <v>1.0925028774011831</v>
      </c>
      <c r="C755" s="3">
        <v>-4.0028774011831025E-3</v>
      </c>
    </row>
    <row r="756" spans="1:3" x14ac:dyDescent="0.3">
      <c r="A756" s="3">
        <v>730</v>
      </c>
      <c r="B756" s="3">
        <v>1.0938788403792712</v>
      </c>
      <c r="C756" s="3">
        <v>-2.3788403792712742E-3</v>
      </c>
    </row>
    <row r="757" spans="1:3" x14ac:dyDescent="0.3">
      <c r="A757" s="3">
        <v>731</v>
      </c>
      <c r="B757" s="3">
        <v>1.0962948410878981</v>
      </c>
      <c r="C757" s="3">
        <v>-7.3948410878981186E-3</v>
      </c>
    </row>
    <row r="758" spans="1:3" x14ac:dyDescent="0.3">
      <c r="A758" s="3">
        <v>732</v>
      </c>
      <c r="B758" s="3">
        <v>1.0942077831417192</v>
      </c>
      <c r="C758" s="3">
        <v>-7.507783141719182E-3</v>
      </c>
    </row>
    <row r="759" spans="1:3" x14ac:dyDescent="0.3">
      <c r="A759" s="3">
        <v>733</v>
      </c>
      <c r="B759" s="3">
        <v>1.0924505756263252</v>
      </c>
      <c r="C759" s="3">
        <v>-8.0505756263251627E-3</v>
      </c>
    </row>
    <row r="760" spans="1:3" x14ac:dyDescent="0.3">
      <c r="A760" s="3">
        <v>734</v>
      </c>
      <c r="B760" s="3">
        <v>1.0905933673940946</v>
      </c>
      <c r="C760" s="3">
        <v>-4.3933673940945717E-3</v>
      </c>
    </row>
    <row r="761" spans="1:3" x14ac:dyDescent="0.3">
      <c r="A761" s="3">
        <v>735</v>
      </c>
      <c r="B761" s="3">
        <v>1.092034871329649</v>
      </c>
      <c r="C761" s="3">
        <v>6.8651286703509395E-3</v>
      </c>
    </row>
    <row r="762" spans="1:3" x14ac:dyDescent="0.3">
      <c r="A762" s="3">
        <v>736</v>
      </c>
      <c r="B762" s="3">
        <v>1.1022392388842945</v>
      </c>
      <c r="C762" s="3">
        <v>-1.1239238884294567E-2</v>
      </c>
    </row>
    <row r="763" spans="1:3" x14ac:dyDescent="0.3">
      <c r="A763" s="3">
        <v>737</v>
      </c>
      <c r="B763" s="3">
        <v>1.095883828379913</v>
      </c>
      <c r="C763" s="3">
        <v>-1.6583828379913124E-2</v>
      </c>
    </row>
    <row r="764" spans="1:3" x14ac:dyDescent="0.3">
      <c r="A764" s="3">
        <v>738</v>
      </c>
      <c r="B764" s="3">
        <v>1.0865235562844882</v>
      </c>
      <c r="C764" s="3">
        <v>-1.3523556284488203E-2</v>
      </c>
    </row>
    <row r="765" spans="1:3" x14ac:dyDescent="0.3">
      <c r="A765" s="3">
        <v>739</v>
      </c>
      <c r="B765" s="3">
        <v>1.0814374664241431</v>
      </c>
      <c r="C765" s="3">
        <v>-9.137466424143037E-3</v>
      </c>
    </row>
    <row r="766" spans="1:3" x14ac:dyDescent="0.3">
      <c r="A766" s="3">
        <v>740</v>
      </c>
      <c r="B766" s="3">
        <v>1.0808383024301988</v>
      </c>
      <c r="C766" s="3">
        <v>-9.9383024301988865E-3</v>
      </c>
    </row>
    <row r="767" spans="1:3" x14ac:dyDescent="0.3">
      <c r="A767" s="3">
        <v>741</v>
      </c>
      <c r="B767" s="3">
        <v>1.0796911355259142</v>
      </c>
      <c r="C767" s="3">
        <v>-6.0911355259141153E-3</v>
      </c>
    </row>
    <row r="768" spans="1:3" x14ac:dyDescent="0.3">
      <c r="A768" s="3">
        <v>742</v>
      </c>
      <c r="B768" s="3">
        <v>1.0818610120988252</v>
      </c>
      <c r="C768" s="3">
        <v>-1.4361012098825343E-2</v>
      </c>
    </row>
    <row r="769" spans="1:3" x14ac:dyDescent="0.3">
      <c r="A769" s="3">
        <v>743</v>
      </c>
      <c r="B769" s="3">
        <v>1.0769487184283943</v>
      </c>
      <c r="C769" s="3">
        <v>-4.9487184283942831E-3</v>
      </c>
    </row>
    <row r="770" spans="1:3" x14ac:dyDescent="0.3">
      <c r="A770" s="3">
        <v>744</v>
      </c>
      <c r="B770" s="3">
        <v>1.080580993396449</v>
      </c>
      <c r="C770" s="3">
        <v>-7.0809933964490757E-3</v>
      </c>
    </row>
    <row r="771" spans="1:3" x14ac:dyDescent="0.3">
      <c r="A771" s="3">
        <v>745</v>
      </c>
      <c r="B771" s="3">
        <v>1.0817633106882873</v>
      </c>
      <c r="C771" s="3">
        <v>-1.2863310688287388E-2</v>
      </c>
    </row>
    <row r="772" spans="1:3" x14ac:dyDescent="0.3">
      <c r="A772" s="3">
        <v>746</v>
      </c>
      <c r="B772" s="3">
        <v>1.0780784744399392</v>
      </c>
      <c r="C772" s="3">
        <v>-1.1278474439939234E-2</v>
      </c>
    </row>
    <row r="773" spans="1:3" x14ac:dyDescent="0.3">
      <c r="A773" s="3">
        <v>747</v>
      </c>
      <c r="B773" s="3">
        <v>1.0763978288537697</v>
      </c>
      <c r="C773" s="3">
        <v>-6.9978288537697608E-3</v>
      </c>
    </row>
    <row r="774" spans="1:3" x14ac:dyDescent="0.3">
      <c r="A774" s="3">
        <v>748</v>
      </c>
      <c r="B774" s="3">
        <v>1.0784742918629686</v>
      </c>
      <c r="C774" s="3">
        <v>-1.0274291862968576E-2</v>
      </c>
    </row>
    <row r="775" spans="1:3" x14ac:dyDescent="0.3">
      <c r="A775" s="3">
        <v>749</v>
      </c>
      <c r="B775" s="3">
        <v>1.0775002851333437</v>
      </c>
      <c r="C775" s="3">
        <v>-1.2900285133343736E-2</v>
      </c>
    </row>
    <row r="776" spans="1:3" x14ac:dyDescent="0.3">
      <c r="A776" s="3">
        <v>750</v>
      </c>
      <c r="B776" s="3">
        <v>1.0746148815090868</v>
      </c>
      <c r="C776" s="3">
        <v>-1.4514881509086752E-2</v>
      </c>
    </row>
    <row r="777" spans="1:3" x14ac:dyDescent="0.3">
      <c r="A777" s="3">
        <v>751</v>
      </c>
      <c r="B777" s="3">
        <v>1.0709941578036186</v>
      </c>
      <c r="C777" s="3">
        <v>-1.149415780361851E-2</v>
      </c>
    </row>
    <row r="778" spans="1:3" x14ac:dyDescent="0.3">
      <c r="A778" s="3">
        <v>752</v>
      </c>
      <c r="B778" s="3">
        <v>1.0705021716406888</v>
      </c>
      <c r="C778" s="3">
        <v>-1.5902171640688856E-2</v>
      </c>
    </row>
    <row r="779" spans="1:3" x14ac:dyDescent="0.3">
      <c r="A779" s="3">
        <v>753</v>
      </c>
      <c r="B779" s="3">
        <v>1.0665464080630958</v>
      </c>
      <c r="C779" s="3">
        <v>-5.846408063095776E-3</v>
      </c>
    </row>
    <row r="780" spans="1:3" x14ac:dyDescent="0.3">
      <c r="A780" s="3">
        <v>754</v>
      </c>
      <c r="B780" s="3">
        <v>1.0714532493159949</v>
      </c>
      <c r="C780" s="3">
        <v>-1.3853249315994853E-2</v>
      </c>
    </row>
    <row r="781" spans="1:3" x14ac:dyDescent="0.3">
      <c r="A781" s="3">
        <v>755</v>
      </c>
      <c r="B781" s="3">
        <v>1.0689392816175718</v>
      </c>
      <c r="C781" s="3">
        <v>-2.4392816175717869E-3</v>
      </c>
    </row>
    <row r="782" spans="1:3" x14ac:dyDescent="0.3">
      <c r="A782" s="3">
        <v>756</v>
      </c>
      <c r="B782" s="3">
        <v>1.0761198422824205</v>
      </c>
      <c r="C782" s="3">
        <v>-1.6519842282420427E-2</v>
      </c>
    </row>
    <row r="783" spans="1:3" x14ac:dyDescent="0.3">
      <c r="A783" s="3">
        <v>757</v>
      </c>
      <c r="B783" s="3">
        <v>1.0705542394067782</v>
      </c>
      <c r="C783" s="3">
        <v>-7.3542394067782624E-3</v>
      </c>
    </row>
    <row r="784" spans="1:3" x14ac:dyDescent="0.3">
      <c r="A784" s="3">
        <v>758</v>
      </c>
      <c r="B784" s="3">
        <v>1.0734846363217829</v>
      </c>
      <c r="C784" s="3">
        <v>-5.6846363217828433E-3</v>
      </c>
    </row>
    <row r="785" spans="1:3" x14ac:dyDescent="0.3">
      <c r="A785" s="3">
        <v>759</v>
      </c>
      <c r="B785" s="3">
        <v>1.0771578410797851</v>
      </c>
      <c r="C785" s="3">
        <v>-2.2457841079785101E-2</v>
      </c>
    </row>
    <row r="786" spans="1:3" x14ac:dyDescent="0.3">
      <c r="A786" s="3">
        <v>760</v>
      </c>
      <c r="B786" s="3">
        <v>1.0666320655645321</v>
      </c>
      <c r="C786" s="3">
        <v>-1.2232065564532046E-2</v>
      </c>
    </row>
    <row r="787" spans="1:3" x14ac:dyDescent="0.3">
      <c r="A787" s="3">
        <v>761</v>
      </c>
      <c r="B787" s="3">
        <v>1.0664152818293391</v>
      </c>
      <c r="C787" s="3">
        <v>-8.4152818293390386E-3</v>
      </c>
    </row>
    <row r="788" spans="1:3" x14ac:dyDescent="0.3">
      <c r="A788" s="3">
        <v>762</v>
      </c>
      <c r="B788" s="3">
        <v>1.0692654529847407</v>
      </c>
      <c r="C788" s="3">
        <v>-4.9654529847407147E-3</v>
      </c>
    </row>
    <row r="789" spans="1:3" x14ac:dyDescent="0.3">
      <c r="A789" s="3">
        <v>763</v>
      </c>
      <c r="B789" s="3">
        <v>1.0743285830879661</v>
      </c>
      <c r="C789" s="3">
        <v>-1.4285830879661177E-3</v>
      </c>
    </row>
    <row r="790" spans="1:3" x14ac:dyDescent="0.3">
      <c r="A790" s="3">
        <v>764</v>
      </c>
      <c r="B790" s="3">
        <v>1.081253076914463</v>
      </c>
      <c r="C790" s="3">
        <v>-8.0530769144631087E-3</v>
      </c>
    </row>
    <row r="791" spans="1:3" x14ac:dyDescent="0.3">
      <c r="A791" s="3">
        <v>765</v>
      </c>
      <c r="B791" s="3">
        <v>1.0815104175187031</v>
      </c>
      <c r="C791" s="3">
        <v>-2.4010417518703031E-2</v>
      </c>
    </row>
    <row r="792" spans="1:3" x14ac:dyDescent="0.3">
      <c r="A792" s="3">
        <v>766</v>
      </c>
      <c r="B792" s="3">
        <v>1.068913766370635</v>
      </c>
      <c r="C792" s="3">
        <v>-8.4137663706349564E-3</v>
      </c>
    </row>
    <row r="793" spans="1:3" x14ac:dyDescent="0.3">
      <c r="A793" s="3">
        <v>767</v>
      </c>
      <c r="B793" s="3">
        <v>1.0713377571503058</v>
      </c>
      <c r="C793" s="3">
        <v>-4.7377571503057769E-3</v>
      </c>
    </row>
    <row r="794" spans="1:3" x14ac:dyDescent="0.3">
      <c r="A794" s="3">
        <v>768</v>
      </c>
      <c r="B794" s="3">
        <v>1.0761873187846993</v>
      </c>
      <c r="C794" s="3">
        <v>-4.2873187846992344E-3</v>
      </c>
    </row>
    <row r="795" spans="1:3" x14ac:dyDescent="0.3">
      <c r="A795" s="3">
        <v>769</v>
      </c>
      <c r="B795" s="3">
        <v>1.0804559769025395</v>
      </c>
      <c r="C795" s="3">
        <v>-3.7559769025394818E-3</v>
      </c>
    </row>
    <row r="796" spans="1:3" x14ac:dyDescent="0.3">
      <c r="A796" s="3">
        <v>770</v>
      </c>
      <c r="B796" s="3">
        <v>1.0843337484009437</v>
      </c>
      <c r="C796" s="3">
        <v>1.1662515990562561E-3</v>
      </c>
    </row>
    <row r="797" spans="1:3" x14ac:dyDescent="0.3">
      <c r="A797" s="3">
        <v>771</v>
      </c>
      <c r="B797" s="3">
        <v>1.0914259346331678</v>
      </c>
      <c r="C797" s="3">
        <v>-8.4259346331678753E-3</v>
      </c>
    </row>
    <row r="798" spans="1:3" x14ac:dyDescent="0.3">
      <c r="A798" s="3">
        <v>772</v>
      </c>
      <c r="B798" s="3">
        <v>1.0894261777896226</v>
      </c>
      <c r="C798" s="3">
        <v>-1.3526177789622507E-2</v>
      </c>
    </row>
    <row r="799" spans="1:3" x14ac:dyDescent="0.3">
      <c r="A799" s="3">
        <v>773</v>
      </c>
      <c r="B799" s="3">
        <v>1.0837482752392158</v>
      </c>
      <c r="C799" s="3">
        <v>-4.1482752392159039E-3</v>
      </c>
    </row>
    <row r="800" spans="1:3" x14ac:dyDescent="0.3">
      <c r="A800" s="3">
        <v>774</v>
      </c>
      <c r="B800" s="3">
        <v>1.086719901696984</v>
      </c>
      <c r="C800" s="3">
        <v>-2.4199016969839171E-3</v>
      </c>
    </row>
    <row r="801" spans="1:3" x14ac:dyDescent="0.3">
      <c r="A801" s="3">
        <v>775</v>
      </c>
      <c r="B801" s="3">
        <v>1.0904727719704848</v>
      </c>
      <c r="C801" s="3">
        <v>-6.1727719704847139E-3</v>
      </c>
    </row>
    <row r="802" spans="1:3" x14ac:dyDescent="0.3">
      <c r="A802" s="3">
        <v>776</v>
      </c>
      <c r="B802" s="3">
        <v>1.0904824447554162</v>
      </c>
      <c r="C802" s="3">
        <v>-3.8244475541615586E-4</v>
      </c>
    </row>
    <row r="803" spans="1:3" x14ac:dyDescent="0.3">
      <c r="A803" s="3">
        <v>777</v>
      </c>
      <c r="B803" s="3">
        <v>1.0951630829198034</v>
      </c>
      <c r="C803" s="3">
        <v>-1.1263082919803269E-2</v>
      </c>
    </row>
    <row r="804" spans="1:3" x14ac:dyDescent="0.3">
      <c r="A804" s="3">
        <v>778</v>
      </c>
      <c r="B804" s="3">
        <v>1.090173159196292</v>
      </c>
      <c r="C804" s="3">
        <v>-6.7315919629207244E-4</v>
      </c>
    </row>
    <row r="805" spans="1:3" x14ac:dyDescent="0.3">
      <c r="A805" s="3">
        <v>779</v>
      </c>
      <c r="B805" s="3">
        <v>1.0947008255478607</v>
      </c>
      <c r="C805" s="3">
        <v>4.9917445213920608E-4</v>
      </c>
    </row>
    <row r="806" spans="1:3" x14ac:dyDescent="0.3">
      <c r="A806" s="3">
        <v>780</v>
      </c>
      <c r="B806" s="3">
        <v>1.0992597625204685</v>
      </c>
      <c r="C806" s="3">
        <v>-8.9597625204684839E-3</v>
      </c>
    </row>
    <row r="807" spans="1:3" x14ac:dyDescent="0.3">
      <c r="A807" s="3">
        <v>781</v>
      </c>
      <c r="B807" s="3">
        <v>1.0953346959401145</v>
      </c>
      <c r="C807" s="3">
        <v>-3.3346959401143739E-3</v>
      </c>
    </row>
    <row r="808" spans="1:3" x14ac:dyDescent="0.3">
      <c r="A808" s="3">
        <v>782</v>
      </c>
      <c r="B808" s="3">
        <v>1.0967247382897221</v>
      </c>
      <c r="C808" s="3">
        <v>-7.0247382897221655E-3</v>
      </c>
    </row>
    <row r="809" spans="1:3" x14ac:dyDescent="0.3">
      <c r="A809" s="3">
        <v>783</v>
      </c>
      <c r="B809" s="3">
        <v>1.0948570324350493</v>
      </c>
      <c r="C809" s="3">
        <v>-8.9570324350491948E-3</v>
      </c>
    </row>
    <row r="810" spans="1:3" x14ac:dyDescent="0.3">
      <c r="A810" s="3">
        <v>784</v>
      </c>
      <c r="B810" s="3">
        <v>1.0918084052649455</v>
      </c>
      <c r="C810" s="3">
        <v>-8.0840526494552201E-4</v>
      </c>
    </row>
    <row r="811" spans="1:3" x14ac:dyDescent="0.3">
      <c r="A811" s="3">
        <v>785</v>
      </c>
      <c r="B811" s="3">
        <v>1.0959044479826663</v>
      </c>
      <c r="C811" s="3">
        <v>2.9955520173337025E-3</v>
      </c>
    </row>
    <row r="812" spans="1:3" x14ac:dyDescent="0.3">
      <c r="A812" s="3">
        <v>786</v>
      </c>
      <c r="B812" s="3">
        <v>1.102241257259934</v>
      </c>
      <c r="C812" s="3">
        <v>2.1587427400659998E-3</v>
      </c>
    </row>
    <row r="813" spans="1:3" x14ac:dyDescent="0.3">
      <c r="A813" s="3">
        <v>787</v>
      </c>
      <c r="B813" s="3">
        <v>1.1066768179872375</v>
      </c>
      <c r="C813" s="3">
        <v>-6.6768179872374045E-3</v>
      </c>
    </row>
    <row r="814" spans="1:3" x14ac:dyDescent="0.3">
      <c r="A814" s="3">
        <v>788</v>
      </c>
      <c r="B814" s="3">
        <v>1.1031619221905791</v>
      </c>
      <c r="C814" s="3">
        <v>-1.0561922190579054E-2</v>
      </c>
    </row>
    <row r="815" spans="1:3" x14ac:dyDescent="0.3">
      <c r="A815" s="3">
        <v>789</v>
      </c>
      <c r="B815" s="3">
        <v>1.0972326223646001</v>
      </c>
      <c r="C815" s="3">
        <v>-1.3262236460009902E-4</v>
      </c>
    </row>
    <row r="816" spans="1:3" x14ac:dyDescent="0.3">
      <c r="A816" s="3">
        <v>790</v>
      </c>
      <c r="B816" s="3">
        <v>1.1008412613128988</v>
      </c>
      <c r="C816" s="3">
        <v>-5.441261312898904E-3</v>
      </c>
    </row>
    <row r="817" spans="1:3" x14ac:dyDescent="0.3">
      <c r="A817" s="3">
        <v>791</v>
      </c>
      <c r="B817" s="3">
        <v>1.0994456179708851</v>
      </c>
      <c r="C817" s="3">
        <v>-2.745617970885128E-3</v>
      </c>
    </row>
    <row r="818" spans="1:3" x14ac:dyDescent="0.3">
      <c r="A818" s="3">
        <v>792</v>
      </c>
      <c r="B818" s="3">
        <v>1.1005077326861867</v>
      </c>
      <c r="C818" s="3">
        <v>-1.8077326861867249E-3</v>
      </c>
    </row>
    <row r="819" spans="1:3" x14ac:dyDescent="0.3">
      <c r="A819" s="3">
        <v>793</v>
      </c>
      <c r="B819" s="3">
        <v>1.1021094368090738</v>
      </c>
      <c r="C819" s="3">
        <v>1.9905631909262755E-3</v>
      </c>
    </row>
    <row r="820" spans="1:3" x14ac:dyDescent="0.3">
      <c r="A820" s="3">
        <v>794</v>
      </c>
      <c r="B820" s="3">
        <v>1.1064553476024859</v>
      </c>
      <c r="C820" s="3">
        <v>-9.2553476024859194E-3</v>
      </c>
    </row>
    <row r="821" spans="1:3" x14ac:dyDescent="0.3">
      <c r="A821" s="3">
        <v>795</v>
      </c>
      <c r="B821" s="3">
        <v>1.1009096376743139</v>
      </c>
      <c r="C821" s="3">
        <v>3.0903623256861579E-3</v>
      </c>
    </row>
    <row r="822" spans="1:3" x14ac:dyDescent="0.3">
      <c r="A822" s="3">
        <v>796</v>
      </c>
      <c r="B822" s="3">
        <v>1.1064014381353657</v>
      </c>
      <c r="C822" s="3">
        <v>-3.70143813536572E-3</v>
      </c>
    </row>
    <row r="823" spans="1:3" x14ac:dyDescent="0.3">
      <c r="A823" s="3">
        <v>797</v>
      </c>
      <c r="B823" s="3">
        <v>1.1053276919297177</v>
      </c>
      <c r="C823" s="3">
        <v>-3.3276919297176022E-3</v>
      </c>
    </row>
    <row r="824" spans="1:3" x14ac:dyDescent="0.3">
      <c r="A824" s="3">
        <v>798</v>
      </c>
      <c r="B824" s="3">
        <v>1.104789054509294</v>
      </c>
      <c r="C824" s="3">
        <v>-7.2890545092940684E-3</v>
      </c>
    </row>
    <row r="825" spans="1:3" x14ac:dyDescent="0.3">
      <c r="A825" s="3">
        <v>799</v>
      </c>
      <c r="B825" s="3">
        <v>1.1011660792871072</v>
      </c>
      <c r="C825" s="3">
        <v>-1.2660792871070914E-3</v>
      </c>
    </row>
    <row r="826" spans="1:3" x14ac:dyDescent="0.3">
      <c r="A826" s="3">
        <v>800</v>
      </c>
      <c r="B826" s="3">
        <v>1.103096730510887</v>
      </c>
      <c r="C826" s="3">
        <v>2.803269489113136E-3</v>
      </c>
    </row>
    <row r="827" spans="1:3" x14ac:dyDescent="0.3">
      <c r="A827" s="3">
        <v>801</v>
      </c>
      <c r="B827" s="3">
        <v>1.1079048986762416</v>
      </c>
      <c r="C827" s="3">
        <v>-6.8048986762416774E-3</v>
      </c>
    </row>
    <row r="828" spans="1:3" x14ac:dyDescent="0.3">
      <c r="A828" s="3">
        <v>802</v>
      </c>
      <c r="B828" s="3">
        <v>1.1040490179434121</v>
      </c>
      <c r="C828" s="3">
        <v>-2.349017943412246E-3</v>
      </c>
    </row>
    <row r="829" spans="1:3" x14ac:dyDescent="0.3">
      <c r="A829" s="3">
        <v>803</v>
      </c>
      <c r="B829" s="3">
        <v>1.1045553968467006</v>
      </c>
      <c r="C829" s="3">
        <v>-4.1553968467005209E-3</v>
      </c>
    </row>
    <row r="830" spans="1:3" x14ac:dyDescent="0.3">
      <c r="A830" s="3">
        <v>804</v>
      </c>
      <c r="B830" s="3">
        <v>1.1034929704979382</v>
      </c>
      <c r="C830" s="3">
        <v>-7.4929704979380674E-3</v>
      </c>
    </row>
    <row r="831" spans="1:3" x14ac:dyDescent="0.3">
      <c r="A831" s="3">
        <v>805</v>
      </c>
      <c r="B831" s="3">
        <v>1.0999573647255008</v>
      </c>
      <c r="C831" s="3">
        <v>-1.9573647255006765E-3</v>
      </c>
    </row>
    <row r="832" spans="1:3" x14ac:dyDescent="0.3">
      <c r="A832" s="3">
        <v>806</v>
      </c>
      <c r="B832" s="3">
        <v>1.1015641960164353</v>
      </c>
      <c r="C832" s="3">
        <v>-1.0164196016435367E-2</v>
      </c>
    </row>
    <row r="833" spans="1:3" x14ac:dyDescent="0.3">
      <c r="A833" s="3">
        <v>807</v>
      </c>
      <c r="B833" s="3">
        <v>1.0962399086834347</v>
      </c>
      <c r="C833" s="3">
        <v>-1.1439908683434696E-2</v>
      </c>
    </row>
    <row r="834" spans="1:3" x14ac:dyDescent="0.3">
      <c r="A834" s="3">
        <v>808</v>
      </c>
      <c r="B834" s="3">
        <v>1.0909433514556282</v>
      </c>
      <c r="C834" s="3">
        <v>-3.7433514556282077E-3</v>
      </c>
    </row>
    <row r="835" spans="1:3" x14ac:dyDescent="0.3">
      <c r="A835" s="3">
        <v>809</v>
      </c>
      <c r="B835" s="3">
        <v>1.0928550318839869</v>
      </c>
      <c r="C835" s="3">
        <v>-6.7550318839868506E-3</v>
      </c>
    </row>
    <row r="836" spans="1:3" x14ac:dyDescent="0.3">
      <c r="A836" s="3">
        <v>810</v>
      </c>
      <c r="B836" s="3">
        <v>1.0919460555108458</v>
      </c>
      <c r="C836" s="3">
        <v>-8.0460555108456955E-3</v>
      </c>
    </row>
    <row r="837" spans="1:3" x14ac:dyDescent="0.3">
      <c r="A837" s="3">
        <v>811</v>
      </c>
      <c r="B837" s="3">
        <v>1.0901857921987574</v>
      </c>
      <c r="C837" s="3">
        <v>-1.3285792198757473E-2</v>
      </c>
    </row>
    <row r="838" spans="1:3" x14ac:dyDescent="0.3">
      <c r="A838" s="3">
        <v>812</v>
      </c>
      <c r="B838" s="3">
        <v>1.084553964560814</v>
      </c>
      <c r="C838" s="3">
        <v>-4.3539645608139388E-3</v>
      </c>
    </row>
    <row r="839" spans="1:3" x14ac:dyDescent="0.3">
      <c r="A839" s="3">
        <v>813</v>
      </c>
      <c r="B839" s="3">
        <v>1.0872048755397006</v>
      </c>
      <c r="C839" s="3">
        <v>-6.1048755397006271E-3</v>
      </c>
    </row>
    <row r="840" spans="1:3" x14ac:dyDescent="0.3">
      <c r="A840" s="3">
        <v>814</v>
      </c>
      <c r="B840" s="3">
        <v>1.0879023504769183</v>
      </c>
      <c r="C840" s="3">
        <v>-1.1102350476918321E-2</v>
      </c>
    </row>
    <row r="841" spans="1:3" x14ac:dyDescent="0.3">
      <c r="A841" s="3">
        <v>815</v>
      </c>
      <c r="B841" s="3">
        <v>1.0844550328355227</v>
      </c>
      <c r="C841" s="3">
        <v>-9.6550328355227144E-3</v>
      </c>
    </row>
    <row r="842" spans="1:3" x14ac:dyDescent="0.3">
      <c r="A842" s="3">
        <v>816</v>
      </c>
      <c r="B842" s="3">
        <v>1.082852541519439</v>
      </c>
      <c r="C842" s="3">
        <v>-1.0952541519438919E-2</v>
      </c>
    </row>
    <row r="843" spans="1:3" x14ac:dyDescent="0.3">
      <c r="A843" s="3">
        <v>817</v>
      </c>
      <c r="B843" s="3">
        <v>1.0805068110012828</v>
      </c>
      <c r="C843" s="3">
        <v>-8.1068110012827432E-3</v>
      </c>
    </row>
    <row r="844" spans="1:3" x14ac:dyDescent="0.3">
      <c r="A844" s="3">
        <v>818</v>
      </c>
      <c r="B844" s="3">
        <v>1.0809039244831136</v>
      </c>
      <c r="C844" s="3">
        <v>-1.0403924483113558E-2</v>
      </c>
    </row>
    <row r="845" spans="1:3" x14ac:dyDescent="0.3">
      <c r="A845" s="3">
        <v>819</v>
      </c>
      <c r="B845" s="3">
        <v>1.079365590896423</v>
      </c>
      <c r="C845" s="3">
        <v>-6.065590896423112E-3</v>
      </c>
    </row>
    <row r="846" spans="1:3" x14ac:dyDescent="0.3">
      <c r="A846" s="3">
        <v>820</v>
      </c>
      <c r="B846" s="3">
        <v>1.0816203565997298</v>
      </c>
      <c r="C846" s="3">
        <v>-1.2820356599729799E-2</v>
      </c>
    </row>
    <row r="847" spans="1:3" x14ac:dyDescent="0.3">
      <c r="A847" s="3">
        <v>821</v>
      </c>
      <c r="B847" s="3">
        <v>1.077993010699891</v>
      </c>
      <c r="C847" s="3">
        <v>-1.8930106998908958E-3</v>
      </c>
    </row>
    <row r="848" spans="1:3" x14ac:dyDescent="0.3">
      <c r="A848" s="3">
        <v>822</v>
      </c>
      <c r="B848" s="3">
        <v>1.0838763705722583</v>
      </c>
      <c r="C848" s="3">
        <v>-1.3276370572258278E-2</v>
      </c>
    </row>
    <row r="849" spans="1:3" x14ac:dyDescent="0.3">
      <c r="A849" s="3">
        <v>823</v>
      </c>
      <c r="B849" s="3">
        <v>1.0794328863856482</v>
      </c>
      <c r="C849" s="3">
        <v>-8.2328863856482304E-3</v>
      </c>
    </row>
    <row r="850" spans="1:3" x14ac:dyDescent="0.3">
      <c r="A850" s="3">
        <v>824</v>
      </c>
      <c r="B850" s="3">
        <v>1.0799442097085525</v>
      </c>
      <c r="C850" s="3">
        <v>-1.0844209708552599E-2</v>
      </c>
    </row>
    <row r="851" spans="1:3" x14ac:dyDescent="0.3">
      <c r="A851" s="3">
        <v>825</v>
      </c>
      <c r="B851" s="3">
        <v>1.0782359996788422</v>
      </c>
      <c r="C851" s="3">
        <v>-8.53599967884211E-3</v>
      </c>
    </row>
    <row r="852" spans="1:3" x14ac:dyDescent="0.3">
      <c r="A852" s="3">
        <v>826</v>
      </c>
      <c r="B852" s="3">
        <v>1.0787219767690563</v>
      </c>
      <c r="C852" s="3">
        <v>-6.2197676905628718E-4</v>
      </c>
    </row>
    <row r="853" spans="1:3" x14ac:dyDescent="0.3">
      <c r="A853" s="3">
        <v>827</v>
      </c>
      <c r="B853" s="3">
        <v>1.0854697141881047</v>
      </c>
      <c r="C853" s="3">
        <v>-1.0769714188104684E-2</v>
      </c>
    </row>
    <row r="854" spans="1:3" x14ac:dyDescent="0.3">
      <c r="A854" s="3">
        <v>828</v>
      </c>
      <c r="B854" s="3">
        <v>1.0827319426250732</v>
      </c>
      <c r="C854" s="3">
        <v>-7.0319426250731176E-3</v>
      </c>
    </row>
    <row r="855" spans="1:3" x14ac:dyDescent="0.3">
      <c r="A855" s="3">
        <v>829</v>
      </c>
      <c r="B855" s="3">
        <v>1.0835673642084152</v>
      </c>
      <c r="C855" s="3">
        <v>-4.4673642084152032E-3</v>
      </c>
    </row>
    <row r="856" spans="1:3" x14ac:dyDescent="0.3">
      <c r="A856" s="3">
        <v>830</v>
      </c>
      <c r="B856" s="3">
        <v>1.0862892975297229</v>
      </c>
      <c r="C856" s="3">
        <v>-3.1892975297229675E-3</v>
      </c>
    </row>
    <row r="857" spans="1:3" x14ac:dyDescent="0.3">
      <c r="A857" s="3">
        <v>831</v>
      </c>
      <c r="B857" s="3">
        <v>1.0895073571536014</v>
      </c>
      <c r="C857" s="3">
        <v>4.992642846398665E-3</v>
      </c>
    </row>
    <row r="858" spans="1:3" x14ac:dyDescent="0.3">
      <c r="A858" s="3">
        <v>832</v>
      </c>
      <c r="B858" s="3">
        <v>1.0986844650842922</v>
      </c>
      <c r="C858" s="3">
        <v>-5.3844650842922448E-3</v>
      </c>
    </row>
    <row r="859" spans="1:3" x14ac:dyDescent="0.3">
      <c r="A859" s="3">
        <v>833</v>
      </c>
      <c r="B859" s="3">
        <v>1.0977257141775369</v>
      </c>
      <c r="C859" s="3">
        <v>-5.525714177536889E-3</v>
      </c>
    </row>
    <row r="860" spans="1:3" x14ac:dyDescent="0.3">
      <c r="A860" s="3">
        <v>834</v>
      </c>
      <c r="B860" s="3">
        <v>1.0968811936693905</v>
      </c>
      <c r="C860" s="3">
        <v>-5.2811936693906159E-3</v>
      </c>
    </row>
    <row r="861" spans="1:3" x14ac:dyDescent="0.3">
      <c r="A861" s="3">
        <v>835</v>
      </c>
      <c r="B861" s="3">
        <v>1.0963952507527339</v>
      </c>
      <c r="C861" s="3">
        <v>2.0047492472661244E-3</v>
      </c>
    </row>
    <row r="862" spans="1:3" x14ac:dyDescent="0.3">
      <c r="A862" s="3">
        <v>836</v>
      </c>
      <c r="B862" s="3">
        <v>1.1018604882823642</v>
      </c>
      <c r="C862" s="3">
        <v>-6.2604882823642516E-3</v>
      </c>
    </row>
    <row r="863" spans="1:3" x14ac:dyDescent="0.3">
      <c r="A863" s="3">
        <v>837</v>
      </c>
      <c r="B863" s="3">
        <v>1.0996021561813802</v>
      </c>
      <c r="C863" s="3">
        <v>-1.0702156181380262E-2</v>
      </c>
    </row>
    <row r="864" spans="1:3" x14ac:dyDescent="0.3">
      <c r="A864" s="3">
        <v>838</v>
      </c>
      <c r="B864" s="3">
        <v>1.094239236629353</v>
      </c>
      <c r="C864" s="3">
        <v>-3.8392366293529268E-3</v>
      </c>
    </row>
    <row r="865" spans="1:3" x14ac:dyDescent="0.3">
      <c r="A865" s="3">
        <v>839</v>
      </c>
      <c r="B865" s="3">
        <v>1.0954403002524238</v>
      </c>
      <c r="C865" s="3">
        <v>4.5969974757631427E-4</v>
      </c>
    </row>
    <row r="866" spans="1:3" x14ac:dyDescent="0.3">
      <c r="A866" s="3">
        <v>840</v>
      </c>
      <c r="B866" s="3">
        <v>1.0998393657579388</v>
      </c>
      <c r="C866" s="3">
        <v>-8.7393657579388773E-3</v>
      </c>
    </row>
    <row r="867" spans="1:3" x14ac:dyDescent="0.3">
      <c r="A867" s="3">
        <v>841</v>
      </c>
      <c r="B867" s="3">
        <v>1.0959807092913854</v>
      </c>
      <c r="C867" s="3">
        <v>-9.5807092913853253E-3</v>
      </c>
    </row>
    <row r="868" spans="1:3" x14ac:dyDescent="0.3">
      <c r="A868" s="3">
        <v>842</v>
      </c>
      <c r="B868" s="3">
        <v>1.0922230431731432</v>
      </c>
      <c r="C868" s="3">
        <v>-1.2230431731432567E-3</v>
      </c>
    </row>
    <row r="869" spans="1:3" x14ac:dyDescent="0.3">
      <c r="A869" s="3">
        <v>843</v>
      </c>
      <c r="B869" s="3">
        <v>1.0959089484130364</v>
      </c>
      <c r="C869" s="3">
        <v>-4.8089484130364735E-3</v>
      </c>
    </row>
    <row r="870" spans="1:3" x14ac:dyDescent="0.3">
      <c r="A870" s="3">
        <v>844</v>
      </c>
      <c r="B870" s="3">
        <v>1.0959701331765619</v>
      </c>
      <c r="C870" s="3">
        <v>-8.2701331765620001E-3</v>
      </c>
    </row>
    <row r="871" spans="1:3" x14ac:dyDescent="0.3">
      <c r="A871" s="3">
        <v>845</v>
      </c>
      <c r="B871" s="3">
        <v>1.0932516159426782</v>
      </c>
      <c r="C871" s="3">
        <v>-8.1516159426782142E-3</v>
      </c>
    </row>
    <row r="872" spans="1:3" x14ac:dyDescent="0.3">
      <c r="A872" s="3">
        <v>846</v>
      </c>
      <c r="B872" s="3">
        <v>1.0911632465862968</v>
      </c>
      <c r="C872" s="3">
        <v>-2.4632465862968189E-3</v>
      </c>
    </row>
    <row r="873" spans="1:3" x14ac:dyDescent="0.3">
      <c r="A873" s="3">
        <v>847</v>
      </c>
      <c r="B873" s="3">
        <v>1.0940483889697405</v>
      </c>
      <c r="C873" s="3">
        <v>2.6516110302594598E-3</v>
      </c>
    </row>
    <row r="874" spans="1:3" x14ac:dyDescent="0.3">
      <c r="A874" s="3">
        <v>848</v>
      </c>
      <c r="B874" s="3">
        <v>1.1004707448178839</v>
      </c>
      <c r="C874" s="3">
        <v>-5.7074481788377263E-4</v>
      </c>
    </row>
    <row r="875" spans="1:3" x14ac:dyDescent="0.3">
      <c r="A875" s="3">
        <v>849</v>
      </c>
      <c r="B875" s="3">
        <v>1.1030513795324766</v>
      </c>
      <c r="C875" s="3">
        <v>-2.4513795324765386E-3</v>
      </c>
    </row>
    <row r="876" spans="1:3" x14ac:dyDescent="0.3">
      <c r="A876" s="3">
        <v>850</v>
      </c>
      <c r="B876" s="3">
        <v>1.1036398188367231</v>
      </c>
      <c r="C876" s="3">
        <v>9.1601811632768815E-3</v>
      </c>
    </row>
    <row r="877" spans="1:3" x14ac:dyDescent="0.3">
      <c r="A877" s="3">
        <v>851</v>
      </c>
      <c r="B877" s="3">
        <v>1.113461775547979</v>
      </c>
      <c r="C877" s="3">
        <v>8.9382244520210818E-3</v>
      </c>
    </row>
    <row r="878" spans="1:3" x14ac:dyDescent="0.3">
      <c r="A878" s="3">
        <v>852</v>
      </c>
      <c r="B878" s="3">
        <v>1.121176598617154</v>
      </c>
      <c r="C878" s="3">
        <v>1.5234013828460125E-3</v>
      </c>
    </row>
    <row r="879" spans="1:3" x14ac:dyDescent="0.3">
      <c r="A879" s="3">
        <v>853</v>
      </c>
      <c r="B879" s="3">
        <v>1.1214536332013423</v>
      </c>
      <c r="C879" s="3">
        <v>1.9463667986576727E-3</v>
      </c>
    </row>
    <row r="880" spans="1:3" x14ac:dyDescent="0.3">
      <c r="A880" s="3">
        <v>854</v>
      </c>
      <c r="B880" s="3">
        <v>1.1220494981122466</v>
      </c>
      <c r="C880" s="3">
        <v>5.5050188775340736E-4</v>
      </c>
    </row>
    <row r="881" spans="1:3" x14ac:dyDescent="0.3">
      <c r="A881" s="3">
        <v>855</v>
      </c>
      <c r="B881" s="3">
        <v>1.1214067036162563</v>
      </c>
      <c r="C881" s="3">
        <v>-1.6067036162563664E-3</v>
      </c>
    </row>
    <row r="882" spans="1:3" x14ac:dyDescent="0.3">
      <c r="A882" s="3">
        <v>856</v>
      </c>
      <c r="B882" s="3">
        <v>1.1191578522741943</v>
      </c>
      <c r="C882" s="3">
        <v>-6.3578522741942756E-3</v>
      </c>
    </row>
    <row r="883" spans="1:3" x14ac:dyDescent="0.3">
      <c r="A883" s="3">
        <v>857</v>
      </c>
      <c r="B883" s="3">
        <v>1.113527453918526</v>
      </c>
      <c r="C883" s="3">
        <v>-1.227453918525967E-3</v>
      </c>
    </row>
    <row r="884" spans="1:3" x14ac:dyDescent="0.3">
      <c r="A884" s="3">
        <v>858</v>
      </c>
      <c r="B884" s="3">
        <v>1.1131202920096332</v>
      </c>
      <c r="C884" s="3">
        <v>-6.9202920096331777E-3</v>
      </c>
    </row>
    <row r="885" spans="1:3" x14ac:dyDescent="0.3">
      <c r="A885" s="3">
        <v>859</v>
      </c>
      <c r="B885" s="3">
        <v>1.108190785546296</v>
      </c>
      <c r="C885" s="3">
        <v>-2.8907855462960708E-3</v>
      </c>
    </row>
    <row r="886" spans="1:3" x14ac:dyDescent="0.3">
      <c r="A886" s="3">
        <v>860</v>
      </c>
      <c r="B886" s="3">
        <v>1.107469280992724</v>
      </c>
      <c r="C886" s="3">
        <v>8.3071900727604842E-4</v>
      </c>
    </row>
    <row r="887" spans="1:3" x14ac:dyDescent="0.3">
      <c r="A887" s="3">
        <v>861</v>
      </c>
      <c r="B887" s="3">
        <v>1.1098614655362302</v>
      </c>
      <c r="C887" s="3">
        <v>-1.2561465536230276E-2</v>
      </c>
    </row>
    <row r="888" spans="1:3" x14ac:dyDescent="0.3">
      <c r="A888" s="3">
        <v>862</v>
      </c>
      <c r="B888" s="3">
        <v>1.1010100635582389</v>
      </c>
      <c r="C888" s="3">
        <v>4.8993644176098528E-4</v>
      </c>
    </row>
    <row r="889" spans="1:3" x14ac:dyDescent="0.3">
      <c r="A889" s="3">
        <v>863</v>
      </c>
      <c r="B889" s="3">
        <v>1.1044053313880131</v>
      </c>
      <c r="C889" s="3">
        <v>-5.1053313880131679E-3</v>
      </c>
    </row>
    <row r="890" spans="1:3" x14ac:dyDescent="0.3">
      <c r="A890" s="3">
        <v>864</v>
      </c>
      <c r="B890" s="3">
        <v>1.1025953617712623</v>
      </c>
      <c r="C890" s="3">
        <v>-4.3953617712622073E-3</v>
      </c>
    </row>
    <row r="891" spans="1:3" x14ac:dyDescent="0.3">
      <c r="A891" s="3">
        <v>865</v>
      </c>
      <c r="B891" s="3">
        <v>1.1017266630718869</v>
      </c>
      <c r="C891" s="3">
        <v>-8.1266630718870303E-3</v>
      </c>
    </row>
    <row r="892" spans="1:3" x14ac:dyDescent="0.3">
      <c r="A892" s="3">
        <v>866</v>
      </c>
      <c r="B892" s="3">
        <v>1.0980204252337233</v>
      </c>
      <c r="C892" s="3">
        <v>-3.6204252337233012E-3</v>
      </c>
    </row>
    <row r="893" spans="1:3" x14ac:dyDescent="0.3">
      <c r="A893" s="3">
        <v>867</v>
      </c>
      <c r="B893" s="3">
        <v>1.098663024232948</v>
      </c>
      <c r="C893" s="3">
        <v>2.3369757670519409E-3</v>
      </c>
    </row>
    <row r="894" spans="1:3" x14ac:dyDescent="0.3">
      <c r="A894" s="3">
        <v>868</v>
      </c>
      <c r="B894" s="3">
        <v>1.1039544261929719</v>
      </c>
      <c r="C894" s="3">
        <v>-3.7544261929718381E-3</v>
      </c>
    </row>
    <row r="895" spans="1:3" x14ac:dyDescent="0.3">
      <c r="A895" s="3">
        <v>869</v>
      </c>
      <c r="B895" s="3">
        <v>1.1033094774948013</v>
      </c>
      <c r="C895" s="3">
        <v>-7.9094774948014201E-3</v>
      </c>
    </row>
    <row r="896" spans="1:3" x14ac:dyDescent="0.3">
      <c r="A896" s="3">
        <v>870</v>
      </c>
      <c r="B896" s="3">
        <v>1.0994725548090591</v>
      </c>
      <c r="C896" s="3">
        <v>-2.1725548090592017E-3</v>
      </c>
    </row>
    <row r="897" spans="1:3" x14ac:dyDescent="0.3">
      <c r="A897" s="3">
        <v>871</v>
      </c>
      <c r="B897" s="3">
        <v>1.1010009526346265</v>
      </c>
      <c r="C897" s="3">
        <v>-3.1009526346263971E-3</v>
      </c>
    </row>
    <row r="898" spans="1:3" x14ac:dyDescent="0.3">
      <c r="A898" s="3">
        <v>872</v>
      </c>
      <c r="B898" s="3">
        <v>1.1014656732391435</v>
      </c>
      <c r="C898" s="3">
        <v>-7.0656732391434218E-3</v>
      </c>
    </row>
    <row r="899" spans="1:3" x14ac:dyDescent="0.3">
      <c r="A899" s="3">
        <v>873</v>
      </c>
      <c r="B899" s="3">
        <v>1.0986570927849244</v>
      </c>
      <c r="C899" s="3">
        <v>-8.2570927849243692E-3</v>
      </c>
    </row>
    <row r="900" spans="1:3" x14ac:dyDescent="0.3">
      <c r="A900" s="3">
        <v>874</v>
      </c>
      <c r="B900" s="3">
        <v>1.095444617934362</v>
      </c>
      <c r="C900" s="3">
        <v>-5.0446179343619502E-3</v>
      </c>
    </row>
    <row r="901" spans="1:3" x14ac:dyDescent="0.3">
      <c r="A901" s="3">
        <v>875</v>
      </c>
      <c r="B901" s="3">
        <v>1.0954351748197539</v>
      </c>
      <c r="C901" s="3">
        <v>-8.0351748197540207E-3</v>
      </c>
    </row>
    <row r="902" spans="1:3" x14ac:dyDescent="0.3">
      <c r="A902" s="3">
        <v>876</v>
      </c>
      <c r="B902" s="3">
        <v>1.0930087431004218</v>
      </c>
      <c r="C902" s="3">
        <v>-5.9087431004218871E-3</v>
      </c>
    </row>
    <row r="903" spans="1:3" x14ac:dyDescent="0.3">
      <c r="A903" s="3">
        <v>877</v>
      </c>
      <c r="B903" s="3">
        <v>1.0927694520072431</v>
      </c>
      <c r="C903" s="3">
        <v>-6.2694520072430482E-3</v>
      </c>
    </row>
    <row r="904" spans="1:3" x14ac:dyDescent="0.3">
      <c r="A904" s="3">
        <v>878</v>
      </c>
      <c r="B904" s="3">
        <v>1.0922767742302764</v>
      </c>
      <c r="C904" s="3">
        <v>-3.1767742302764024E-3</v>
      </c>
    </row>
    <row r="905" spans="1:3" x14ac:dyDescent="0.3">
      <c r="A905" s="3">
        <v>879</v>
      </c>
      <c r="B905" s="3">
        <v>1.0943670834699155</v>
      </c>
      <c r="C905" s="3">
        <v>-9.9670834699154831E-3</v>
      </c>
    </row>
    <row r="906" spans="1:3" x14ac:dyDescent="0.3">
      <c r="A906" s="3">
        <v>880</v>
      </c>
      <c r="B906" s="3">
        <v>1.0905835109930422</v>
      </c>
      <c r="C906" s="3">
        <v>-4.6835109930420948E-3</v>
      </c>
    </row>
    <row r="907" spans="1:3" x14ac:dyDescent="0.3">
      <c r="A907" s="3">
        <v>881</v>
      </c>
      <c r="B907" s="3">
        <v>1.0918018864589356</v>
      </c>
      <c r="C907" s="3">
        <v>-1.0901886458935639E-2</v>
      </c>
    </row>
    <row r="908" spans="1:3" x14ac:dyDescent="0.3">
      <c r="A908" s="3">
        <v>882</v>
      </c>
      <c r="B908" s="3">
        <v>1.0877636312394725</v>
      </c>
      <c r="C908" s="3">
        <v>-7.7636312394724349E-3</v>
      </c>
    </row>
    <row r="909" spans="1:3" x14ac:dyDescent="0.3">
      <c r="A909" s="3">
        <v>883</v>
      </c>
      <c r="B909" s="3">
        <v>1.0870483022879589</v>
      </c>
      <c r="C909" s="3">
        <v>-5.3483022879587949E-3</v>
      </c>
    </row>
    <row r="910" spans="1:3" x14ac:dyDescent="0.3">
      <c r="A910" s="3">
        <v>884</v>
      </c>
      <c r="B910" s="3">
        <v>1.0883988063674175</v>
      </c>
      <c r="C910" s="3">
        <v>-6.9880636741759261E-4</v>
      </c>
    </row>
    <row r="911" spans="1:3" x14ac:dyDescent="0.3">
      <c r="A911" s="3">
        <v>885</v>
      </c>
      <c r="B911" s="3">
        <v>1.0932198525569614</v>
      </c>
      <c r="C911" s="3">
        <v>-8.1985255696137571E-4</v>
      </c>
    </row>
    <row r="912" spans="1:3" x14ac:dyDescent="0.3">
      <c r="A912" s="3">
        <v>886</v>
      </c>
      <c r="B912" s="3">
        <v>1.0970015653783367</v>
      </c>
      <c r="C912" s="3">
        <v>-1.2901565378336644E-2</v>
      </c>
    </row>
    <row r="913" spans="1:3" x14ac:dyDescent="0.3">
      <c r="A913" s="3">
        <v>887</v>
      </c>
      <c r="B913" s="3">
        <v>1.0903442172967963</v>
      </c>
      <c r="C913" s="3">
        <v>-1.304421729679639E-2</v>
      </c>
    </row>
    <row r="914" spans="1:3" x14ac:dyDescent="0.3">
      <c r="A914" s="3">
        <v>888</v>
      </c>
      <c r="B914" s="3">
        <v>1.084897248803284</v>
      </c>
      <c r="C914" s="3">
        <v>-5.4972488032840605E-3</v>
      </c>
    </row>
    <row r="915" spans="1:3" x14ac:dyDescent="0.3">
      <c r="A915" s="3">
        <v>889</v>
      </c>
      <c r="B915" s="3">
        <v>1.0865619333365246</v>
      </c>
      <c r="C915" s="3">
        <v>-1.4561933336524557E-2</v>
      </c>
    </row>
    <row r="916" spans="1:3" x14ac:dyDescent="0.3">
      <c r="A916" s="3">
        <v>890</v>
      </c>
      <c r="B916" s="3">
        <v>1.0805859326099307</v>
      </c>
      <c r="C916" s="3">
        <v>-7.885932609930757E-3</v>
      </c>
    </row>
    <row r="917" spans="1:3" x14ac:dyDescent="0.3">
      <c r="A917" s="3">
        <v>891</v>
      </c>
      <c r="B917" s="3">
        <v>1.0811609893628282</v>
      </c>
      <c r="C917" s="3">
        <v>-1.1260989362828155E-2</v>
      </c>
    </row>
    <row r="918" spans="1:3" x14ac:dyDescent="0.3">
      <c r="A918" s="3">
        <v>892</v>
      </c>
      <c r="B918" s="3">
        <v>1.0788832117743763</v>
      </c>
      <c r="C918" s="3">
        <v>-8.9832117743762208E-3</v>
      </c>
    </row>
    <row r="919" spans="1:3" x14ac:dyDescent="0.3">
      <c r="A919" s="3">
        <v>893</v>
      </c>
      <c r="B919" s="3">
        <v>1.0788874671830229</v>
      </c>
      <c r="C919" s="3">
        <v>-4.0874671830228859E-3</v>
      </c>
    </row>
    <row r="920" spans="1:3" x14ac:dyDescent="0.3">
      <c r="A920" s="3">
        <v>894</v>
      </c>
      <c r="B920" s="3">
        <v>1.082818444653866</v>
      </c>
      <c r="C920" s="3">
        <v>-7.6184446538660744E-3</v>
      </c>
    </row>
    <row r="921" spans="1:3" x14ac:dyDescent="0.3">
      <c r="A921" s="3">
        <v>895</v>
      </c>
      <c r="B921" s="3">
        <v>1.0831369077483397</v>
      </c>
      <c r="C921" s="3">
        <v>-1.033690774833973E-2</v>
      </c>
    </row>
    <row r="922" spans="1:3" x14ac:dyDescent="0.3">
      <c r="A922" s="3">
        <v>896</v>
      </c>
      <c r="B922" s="3">
        <v>1.0812234394823539</v>
      </c>
      <c r="C922" s="3">
        <v>-1.7123439482353842E-2</v>
      </c>
    </row>
    <row r="923" spans="1:3" x14ac:dyDescent="0.3">
      <c r="A923" s="3">
        <v>897</v>
      </c>
      <c r="B923" s="3">
        <v>1.0742297580729541</v>
      </c>
      <c r="C923" s="3">
        <v>-8.7297580729541746E-3</v>
      </c>
    </row>
    <row r="924" spans="1:3" x14ac:dyDescent="0.3">
      <c r="A924" s="3">
        <v>898</v>
      </c>
      <c r="B924" s="3">
        <v>1.0753530951960948</v>
      </c>
      <c r="C924" s="3">
        <v>-6.3530951960948379E-3</v>
      </c>
    </row>
    <row r="925" spans="1:3" x14ac:dyDescent="0.3">
      <c r="A925" s="3">
        <v>899</v>
      </c>
      <c r="B925" s="3">
        <v>1.0781369048949647</v>
      </c>
      <c r="C925" s="3">
        <v>-1.0436904894964627E-2</v>
      </c>
    </row>
    <row r="926" spans="1:3" x14ac:dyDescent="0.3">
      <c r="A926" s="3">
        <v>900</v>
      </c>
      <c r="B926" s="3">
        <v>1.0770939582072283</v>
      </c>
      <c r="C926" s="3">
        <v>-1.1193958207228238E-2</v>
      </c>
    </row>
    <row r="927" spans="1:3" x14ac:dyDescent="0.3">
      <c r="A927" s="3">
        <v>901</v>
      </c>
      <c r="B927" s="3">
        <v>1.0756593052686789</v>
      </c>
      <c r="C927" s="3">
        <v>-9.8593052686788418E-3</v>
      </c>
    </row>
    <row r="928" spans="1:3" x14ac:dyDescent="0.3">
      <c r="A928" s="3">
        <v>902</v>
      </c>
      <c r="B928" s="3">
        <v>1.0755755833120555</v>
      </c>
      <c r="C928" s="3">
        <v>-1.037558331205557E-2</v>
      </c>
    </row>
    <row r="929" spans="1:3" x14ac:dyDescent="0.3">
      <c r="A929" s="3">
        <v>903</v>
      </c>
      <c r="B929" s="3">
        <v>1.075086913318944</v>
      </c>
      <c r="C929" s="3">
        <v>-1.6086913318944074E-2</v>
      </c>
    </row>
    <row r="930" spans="1:3" x14ac:dyDescent="0.3">
      <c r="A930" s="3">
        <v>904</v>
      </c>
      <c r="B930" s="3">
        <v>1.0701008522751696</v>
      </c>
      <c r="C930" s="3">
        <v>-1.3100852275169661E-2</v>
      </c>
    </row>
    <row r="931" spans="1:3" x14ac:dyDescent="0.3">
      <c r="A931" s="3">
        <v>905</v>
      </c>
      <c r="B931" s="3">
        <v>1.0684944360060571</v>
      </c>
      <c r="C931" s="3">
        <v>-1.8494436006057047E-2</v>
      </c>
    </row>
    <row r="932" spans="1:3" x14ac:dyDescent="0.3">
      <c r="A932" s="3">
        <v>906</v>
      </c>
      <c r="B932" s="3">
        <v>1.0628448849742247</v>
      </c>
      <c r="C932" s="3">
        <v>-6.9448849742246299E-3</v>
      </c>
    </row>
    <row r="933" spans="1:3" x14ac:dyDescent="0.3">
      <c r="A933" s="3">
        <v>907</v>
      </c>
      <c r="B933" s="3">
        <v>1.0675874354251096</v>
      </c>
      <c r="C933" s="3">
        <v>-1.0587435425109648E-2</v>
      </c>
    </row>
    <row r="934" spans="1:3" x14ac:dyDescent="0.3">
      <c r="A934" s="3">
        <v>908</v>
      </c>
      <c r="B934" s="3">
        <v>1.0684440432934925</v>
      </c>
      <c r="C934" s="3">
        <v>-2.0844043293492431E-2</v>
      </c>
    </row>
    <row r="935" spans="1:3" x14ac:dyDescent="0.3">
      <c r="A935" s="3">
        <v>909</v>
      </c>
      <c r="B935" s="3">
        <v>1.0609040845380884</v>
      </c>
      <c r="C935" s="3">
        <v>-1.4404084538088391E-2</v>
      </c>
    </row>
    <row r="936" spans="1:3" x14ac:dyDescent="0.3">
      <c r="A936" s="3">
        <v>910</v>
      </c>
      <c r="B936" s="3">
        <v>1.0600294262909549</v>
      </c>
      <c r="C936" s="3">
        <v>-9.7294262909548568E-3</v>
      </c>
    </row>
    <row r="937" spans="1:3" x14ac:dyDescent="0.3">
      <c r="A937" s="3">
        <v>911</v>
      </c>
      <c r="B937" s="3">
        <v>1.0630537284303336</v>
      </c>
      <c r="C937" s="3">
        <v>-8.2537284303336733E-3</v>
      </c>
    </row>
    <row r="938" spans="1:3" x14ac:dyDescent="0.3">
      <c r="A938" s="3">
        <v>912</v>
      </c>
      <c r="B938" s="3">
        <v>1.0666663870431328</v>
      </c>
      <c r="C938" s="3">
        <v>-8.0663870431327833E-3</v>
      </c>
    </row>
    <row r="939" spans="1:3" x14ac:dyDescent="0.3">
      <c r="A939" s="3">
        <v>913</v>
      </c>
      <c r="B939" s="3">
        <v>1.069732539507293</v>
      </c>
      <c r="C939" s="3">
        <v>-1.3232539507292973E-2</v>
      </c>
    </row>
    <row r="940" spans="1:3" x14ac:dyDescent="0.3">
      <c r="A940" s="3">
        <v>914</v>
      </c>
      <c r="B940" s="3">
        <v>1.0680567196009774</v>
      </c>
      <c r="C940" s="3">
        <v>-7.7567196009773465E-3</v>
      </c>
    </row>
    <row r="941" spans="1:3" x14ac:dyDescent="0.3">
      <c r="A941" s="3">
        <v>915</v>
      </c>
      <c r="B941" s="3">
        <v>1.0711272111722998</v>
      </c>
      <c r="C941" s="3">
        <v>-9.4272111722997209E-3</v>
      </c>
    </row>
    <row r="942" spans="1:3" x14ac:dyDescent="0.3">
      <c r="A942" s="3">
        <v>916</v>
      </c>
      <c r="B942" s="3">
        <v>1.0722433651074395</v>
      </c>
      <c r="C942" s="3">
        <v>-1.964336510743947E-2</v>
      </c>
    </row>
    <row r="943" spans="1:3" x14ac:dyDescent="0.3">
      <c r="A943" s="3">
        <v>917</v>
      </c>
      <c r="B943" s="3">
        <v>1.0649372288085928</v>
      </c>
      <c r="C943" s="3">
        <v>-1.4037228808592817E-2</v>
      </c>
    </row>
    <row r="944" spans="1:3" x14ac:dyDescent="0.3">
      <c r="A944" s="3">
        <v>918</v>
      </c>
      <c r="B944" s="3">
        <v>1.0635808813180714</v>
      </c>
      <c r="C944" s="3">
        <v>-7.7808813180713088E-3</v>
      </c>
    </row>
    <row r="945" spans="1:3" x14ac:dyDescent="0.3">
      <c r="A945" s="3">
        <v>919</v>
      </c>
      <c r="B945" s="3">
        <v>1.0674912452599847</v>
      </c>
      <c r="C945" s="3">
        <v>-9.9912452599846269E-3</v>
      </c>
    </row>
    <row r="946" spans="1:3" x14ac:dyDescent="0.3">
      <c r="A946" s="3">
        <v>920</v>
      </c>
      <c r="B946" s="3">
        <v>1.0688493191825308</v>
      </c>
      <c r="C946" s="3">
        <v>-1.5349319182530685E-2</v>
      </c>
    </row>
    <row r="947" spans="1:3" x14ac:dyDescent="0.3">
      <c r="A947" s="3">
        <v>921</v>
      </c>
      <c r="B947" s="3">
        <v>1.0656482580326361</v>
      </c>
      <c r="C947" s="3">
        <v>-7.7482580326360129E-3</v>
      </c>
    </row>
    <row r="948" spans="1:3" x14ac:dyDescent="0.3">
      <c r="A948" s="3">
        <v>922</v>
      </c>
      <c r="B948" s="3">
        <v>1.0691952818441863</v>
      </c>
      <c r="C948" s="3">
        <v>-9.895281844186421E-3</v>
      </c>
    </row>
    <row r="949" spans="1:3" x14ac:dyDescent="0.3">
      <c r="A949" s="3">
        <v>923</v>
      </c>
      <c r="B949" s="3">
        <v>1.0703044874677823</v>
      </c>
      <c r="C949" s="3">
        <v>-3.5044874677823135E-3</v>
      </c>
    </row>
    <row r="950" spans="1:3" x14ac:dyDescent="0.3">
      <c r="A950" s="3">
        <v>924</v>
      </c>
      <c r="B950" s="3">
        <v>1.0763503297470021</v>
      </c>
      <c r="C950" s="3">
        <v>-1.7550329747002102E-2</v>
      </c>
    </row>
    <row r="951" spans="1:3" x14ac:dyDescent="0.3">
      <c r="A951" s="3">
        <v>925</v>
      </c>
      <c r="B951" s="3">
        <v>1.0699165370375892</v>
      </c>
      <c r="C951" s="3">
        <v>-1.3616537037589138E-2</v>
      </c>
    </row>
    <row r="952" spans="1:3" x14ac:dyDescent="0.3">
      <c r="A952" s="3">
        <v>926</v>
      </c>
      <c r="B952" s="3">
        <v>1.0679371385559837</v>
      </c>
      <c r="C952" s="3">
        <v>-1.1937138555983662E-2</v>
      </c>
    </row>
    <row r="953" spans="1:3" x14ac:dyDescent="0.3">
      <c r="A953" s="3">
        <v>927</v>
      </c>
      <c r="B953" s="3">
        <v>1.0676699235962233</v>
      </c>
      <c r="C953" s="3">
        <v>-1.1269923596223252E-2</v>
      </c>
    </row>
    <row r="954" spans="1:3" x14ac:dyDescent="0.3">
      <c r="A954" s="3">
        <v>928</v>
      </c>
      <c r="B954" s="3">
        <v>1.0679831818979566</v>
      </c>
      <c r="C954" s="3">
        <v>-6.6831818979566915E-3</v>
      </c>
    </row>
    <row r="955" spans="1:3" x14ac:dyDescent="0.3">
      <c r="A955" s="3">
        <v>929</v>
      </c>
      <c r="B955" s="3">
        <v>1.0719225198758402</v>
      </c>
      <c r="C955" s="3">
        <v>-1.4322519875840101E-2</v>
      </c>
    </row>
    <row r="956" spans="1:3" x14ac:dyDescent="0.3">
      <c r="A956" s="3">
        <v>930</v>
      </c>
      <c r="B956" s="3">
        <v>1.0689450960612112</v>
      </c>
      <c r="C956" s="3">
        <v>-1.214509606121128E-2</v>
      </c>
    </row>
    <row r="957" spans="1:3" x14ac:dyDescent="0.3">
      <c r="A957" s="3">
        <v>931</v>
      </c>
      <c r="B957" s="3">
        <v>1.0683210615124754</v>
      </c>
      <c r="C957" s="3">
        <v>-6.3210615124753566E-3</v>
      </c>
    </row>
    <row r="958" spans="1:3" x14ac:dyDescent="0.3">
      <c r="A958" s="3">
        <v>932</v>
      </c>
      <c r="B958" s="3">
        <v>1.0724907238963546</v>
      </c>
      <c r="C958" s="3">
        <v>4.0927610364538403E-4</v>
      </c>
    </row>
    <row r="959" spans="1:3" x14ac:dyDescent="0.3">
      <c r="A959" s="3">
        <v>933</v>
      </c>
      <c r="B959" s="3">
        <v>1.0812504497556139</v>
      </c>
      <c r="C959" s="3">
        <v>-9.7504497556140102E-3</v>
      </c>
    </row>
    <row r="960" spans="1:3" x14ac:dyDescent="0.3">
      <c r="A960" s="3">
        <v>934</v>
      </c>
      <c r="B960" s="3">
        <v>1.0801353245646386</v>
      </c>
      <c r="C960" s="3">
        <v>-1.0235324564638493E-2</v>
      </c>
    </row>
    <row r="961" spans="1:3" x14ac:dyDescent="0.3">
      <c r="A961" s="3">
        <v>935</v>
      </c>
      <c r="B961" s="3">
        <v>1.0788871051569149</v>
      </c>
      <c r="C961" s="3">
        <v>-8.1871051569148978E-3</v>
      </c>
    </row>
    <row r="962" spans="1:3" x14ac:dyDescent="0.3">
      <c r="A962" s="3">
        <v>936</v>
      </c>
      <c r="B962" s="3">
        <v>1.0795266970167143</v>
      </c>
      <c r="C962" s="3">
        <v>-1.2926697016714339E-2</v>
      </c>
    </row>
    <row r="963" spans="1:3" x14ac:dyDescent="0.3">
      <c r="A963" s="3">
        <v>937</v>
      </c>
      <c r="B963" s="3">
        <v>1.0762233853686427</v>
      </c>
      <c r="C963" s="3">
        <v>-8.1233853686426549E-3</v>
      </c>
    </row>
    <row r="964" spans="1:3" x14ac:dyDescent="0.3">
      <c r="A964" s="3">
        <v>938</v>
      </c>
      <c r="B964" s="3">
        <v>1.0774351574623218</v>
      </c>
      <c r="C964" s="3">
        <v>-7.7351574623216734E-3</v>
      </c>
    </row>
    <row r="965" spans="1:3" x14ac:dyDescent="0.3">
      <c r="A965" s="3">
        <v>939</v>
      </c>
      <c r="B965" s="3">
        <v>1.0787067670003889</v>
      </c>
      <c r="C965" s="3">
        <v>9.1932329996111672E-3</v>
      </c>
    </row>
    <row r="966" spans="1:3" x14ac:dyDescent="0.3">
      <c r="A966" s="3">
        <v>940</v>
      </c>
      <c r="B966" s="3">
        <v>1.0933475363389378</v>
      </c>
      <c r="C966" s="3">
        <v>-8.7475363389377669E-3</v>
      </c>
    </row>
    <row r="967" spans="1:3" x14ac:dyDescent="0.3">
      <c r="A967" s="3">
        <v>941</v>
      </c>
      <c r="B967" s="3">
        <v>1.0906871923907091</v>
      </c>
      <c r="C967" s="3">
        <v>-5.6871923907091393E-3</v>
      </c>
    </row>
    <row r="968" spans="1:3" x14ac:dyDescent="0.3">
      <c r="A968" s="3">
        <v>942</v>
      </c>
      <c r="B968" s="3">
        <v>1.0910738254550401</v>
      </c>
      <c r="C968" s="3">
        <v>-3.7382545504005549E-4</v>
      </c>
    </row>
    <row r="969" spans="1:3" x14ac:dyDescent="0.3">
      <c r="A969" s="3">
        <v>943</v>
      </c>
      <c r="B969" s="3">
        <v>1.0956461843586882</v>
      </c>
      <c r="C969" s="3">
        <v>-1.8461843586881077E-3</v>
      </c>
    </row>
    <row r="970" spans="1:3" x14ac:dyDescent="0.3">
      <c r="A970" s="3">
        <v>944</v>
      </c>
      <c r="B970" s="3">
        <v>1.0981368719896407</v>
      </c>
      <c r="C970" s="3">
        <v>-7.2368719896407363E-3</v>
      </c>
    </row>
    <row r="971" spans="1:3" x14ac:dyDescent="0.3">
      <c r="A971" s="3">
        <v>945</v>
      </c>
      <c r="B971" s="3">
        <v>1.0958222824579684</v>
      </c>
      <c r="C971" s="3">
        <v>-7.1222824579684207E-3</v>
      </c>
    </row>
    <row r="972" spans="1:3" x14ac:dyDescent="0.3">
      <c r="A972" s="3">
        <v>946</v>
      </c>
      <c r="B972" s="3">
        <v>1.0940656171140477</v>
      </c>
      <c r="C972" s="3">
        <v>-3.6656171140476701E-3</v>
      </c>
    </row>
    <row r="973" spans="1:3" x14ac:dyDescent="0.3">
      <c r="A973" s="3">
        <v>947</v>
      </c>
      <c r="B973" s="3">
        <v>1.0954242195920438</v>
      </c>
      <c r="C973" s="3">
        <v>-1.5242195920437407E-3</v>
      </c>
    </row>
    <row r="974" spans="1:3" x14ac:dyDescent="0.3">
      <c r="A974" s="3">
        <v>948</v>
      </c>
      <c r="B974" s="3">
        <v>1.0982302531151729</v>
      </c>
      <c r="C974" s="3">
        <v>-2.9302531151729205E-3</v>
      </c>
    </row>
    <row r="975" spans="1:3" x14ac:dyDescent="0.3">
      <c r="A975" s="3">
        <v>949</v>
      </c>
      <c r="B975" s="3">
        <v>1.0993597119769689</v>
      </c>
      <c r="C975" s="3">
        <v>-3.5971197696893498E-4</v>
      </c>
    </row>
    <row r="976" spans="1:3" x14ac:dyDescent="0.3">
      <c r="A976" s="3">
        <v>950</v>
      </c>
      <c r="B976" s="3">
        <v>1.1023464465504214</v>
      </c>
      <c r="C976" s="3">
        <v>-5.5464465504213578E-3</v>
      </c>
    </row>
    <row r="977" spans="1:3" x14ac:dyDescent="0.3">
      <c r="A977" s="3">
        <v>951</v>
      </c>
      <c r="B977" s="3">
        <v>1.1005795781307406</v>
      </c>
      <c r="C977" s="3">
        <v>-1.1979578130740576E-2</v>
      </c>
    </row>
    <row r="978" spans="1:3" x14ac:dyDescent="0.3">
      <c r="A978" s="3">
        <v>952</v>
      </c>
      <c r="B978" s="3">
        <v>1.0939992539221377</v>
      </c>
      <c r="C978" s="3">
        <v>-5.8992539221376372E-3</v>
      </c>
    </row>
    <row r="979" spans="1:3" x14ac:dyDescent="0.3">
      <c r="A979" s="3">
        <v>953</v>
      </c>
      <c r="B979" s="3">
        <v>1.0935949505777955</v>
      </c>
      <c r="C979" s="3">
        <v>-9.9949505777956471E-3</v>
      </c>
    </row>
    <row r="980" spans="1:3" x14ac:dyDescent="0.3">
      <c r="A980" s="3">
        <v>954</v>
      </c>
      <c r="B980" s="3">
        <v>1.0899480430537929</v>
      </c>
      <c r="C980" s="3">
        <v>-1.0448043053792988E-2</v>
      </c>
    </row>
    <row r="981" spans="1:3" x14ac:dyDescent="0.3">
      <c r="A981" s="3">
        <v>955</v>
      </c>
      <c r="B981" s="3">
        <v>1.0866520101728827</v>
      </c>
      <c r="C981" s="3">
        <v>-1.0452010172882664E-2</v>
      </c>
    </row>
    <row r="982" spans="1:3" x14ac:dyDescent="0.3">
      <c r="A982" s="3">
        <v>956</v>
      </c>
      <c r="B982" s="3">
        <v>1.0839852858482526</v>
      </c>
      <c r="C982" s="3">
        <v>-4.7852858482526628E-3</v>
      </c>
    </row>
    <row r="983" spans="1:3" x14ac:dyDescent="0.3">
      <c r="A983" s="3">
        <v>957</v>
      </c>
      <c r="B983" s="3">
        <v>1.0863859470354942</v>
      </c>
      <c r="C983" s="3">
        <v>-1.0285947035494125E-2</v>
      </c>
    </row>
    <row r="984" spans="1:3" x14ac:dyDescent="0.3">
      <c r="A984" s="3">
        <v>958</v>
      </c>
      <c r="B984" s="3">
        <v>1.0838795364318246</v>
      </c>
      <c r="C984" s="3">
        <v>-7.7795364318244964E-3</v>
      </c>
    </row>
    <row r="985" spans="1:3" x14ac:dyDescent="0.3">
      <c r="A985" s="3">
        <v>959</v>
      </c>
      <c r="B985" s="3">
        <v>1.0838919226771881</v>
      </c>
      <c r="C985" s="3">
        <v>-4.6919226771882094E-3</v>
      </c>
    </row>
    <row r="986" spans="1:3" x14ac:dyDescent="0.3">
      <c r="A986" s="3">
        <v>960</v>
      </c>
      <c r="B986" s="3">
        <v>1.0863742848423468</v>
      </c>
      <c r="C986" s="3">
        <v>9.2571515765316192E-4</v>
      </c>
    </row>
    <row r="987" spans="1:3" x14ac:dyDescent="0.3">
      <c r="A987" s="3">
        <v>961</v>
      </c>
      <c r="B987" s="3">
        <v>1.0928863589714961</v>
      </c>
      <c r="C987" s="3">
        <v>6.2136410285038579E-3</v>
      </c>
    </row>
    <row r="988" spans="1:3" x14ac:dyDescent="0.3">
      <c r="A988" s="3">
        <v>962</v>
      </c>
      <c r="B988" s="3">
        <v>1.1023814211310561</v>
      </c>
      <c r="C988" s="3">
        <v>-1.2981421131056159E-2</v>
      </c>
    </row>
    <row r="989" spans="1:3" x14ac:dyDescent="0.3">
      <c r="A989" s="3">
        <v>963</v>
      </c>
      <c r="B989" s="3">
        <v>1.0946007530131532</v>
      </c>
      <c r="C989" s="3">
        <v>-2.400753013153123E-3</v>
      </c>
    </row>
    <row r="990" spans="1:3" x14ac:dyDescent="0.3">
      <c r="A990" s="3">
        <v>964</v>
      </c>
      <c r="B990" s="3">
        <v>1.0968996248964058</v>
      </c>
      <c r="C990" s="3">
        <v>1.1003751035942866E-3</v>
      </c>
    </row>
    <row r="991" spans="1:3" x14ac:dyDescent="0.3">
      <c r="A991" s="3">
        <v>965</v>
      </c>
      <c r="B991" s="3">
        <v>1.1015287509640357</v>
      </c>
      <c r="C991" s="3">
        <v>-7.72875096403558E-3</v>
      </c>
    </row>
    <row r="992" spans="1:3" x14ac:dyDescent="0.3">
      <c r="A992" s="3">
        <v>966</v>
      </c>
      <c r="B992" s="3">
        <v>1.0981569083058511</v>
      </c>
      <c r="C992" s="3">
        <v>2.6430916941488913E-3</v>
      </c>
    </row>
    <row r="993" spans="1:3" x14ac:dyDescent="0.3">
      <c r="A993" s="3">
        <v>967</v>
      </c>
      <c r="B993" s="3">
        <v>1.103809155711337</v>
      </c>
      <c r="C993" s="3">
        <v>-2.8091557113369969E-3</v>
      </c>
    </row>
    <row r="994" spans="1:3" x14ac:dyDescent="0.3">
      <c r="A994" s="3">
        <v>968</v>
      </c>
      <c r="B994" s="3">
        <v>1.1039509084525643</v>
      </c>
      <c r="C994" s="3">
        <v>-3.2509084525642606E-3</v>
      </c>
    </row>
    <row r="995" spans="1:3" x14ac:dyDescent="0.3">
      <c r="A995" s="3">
        <v>969</v>
      </c>
      <c r="B995" s="3">
        <v>1.1037336593029019</v>
      </c>
      <c r="C995" s="3">
        <v>4.663406970981665E-4</v>
      </c>
    </row>
    <row r="996" spans="1:3" x14ac:dyDescent="0.3">
      <c r="A996" s="3">
        <v>970</v>
      </c>
      <c r="B996" s="3">
        <v>1.1065492862508919</v>
      </c>
      <c r="C996" s="3">
        <v>3.750713749108181E-3</v>
      </c>
    </row>
    <row r="997" spans="1:3" x14ac:dyDescent="0.3">
      <c r="A997" s="3">
        <v>971</v>
      </c>
      <c r="B997" s="3">
        <v>1.1114516398217544</v>
      </c>
      <c r="C997" s="3">
        <v>-5.5516398217543284E-3</v>
      </c>
    </row>
    <row r="998" spans="1:3" x14ac:dyDescent="0.3">
      <c r="A998" s="3">
        <v>972</v>
      </c>
      <c r="B998" s="3">
        <v>1.1079211722303206</v>
      </c>
      <c r="C998" s="3">
        <v>-4.3211722303206912E-3</v>
      </c>
    </row>
    <row r="999" spans="1:3" x14ac:dyDescent="0.3">
      <c r="A999" s="3">
        <v>973</v>
      </c>
      <c r="B999" s="3">
        <v>1.1060954200887909</v>
      </c>
      <c r="C999" s="3">
        <v>-7.0595420088790828E-2</v>
      </c>
    </row>
    <row r="1000" spans="1:3" x14ac:dyDescent="0.3">
      <c r="A1000" s="3">
        <v>974</v>
      </c>
      <c r="B1000" s="3">
        <v>1.0513149597535507</v>
      </c>
      <c r="C1000" s="3">
        <v>4.3385040246449291E-2</v>
      </c>
    </row>
    <row r="1001" spans="1:3" x14ac:dyDescent="0.3">
      <c r="A1001" s="3">
        <v>975</v>
      </c>
      <c r="B1001" s="3">
        <v>1.0989611116631814</v>
      </c>
      <c r="C1001" s="3">
        <v>-6.861111663181374E-3</v>
      </c>
    </row>
    <row r="1002" spans="1:3" x14ac:dyDescent="0.3">
      <c r="A1002" s="3">
        <v>976</v>
      </c>
      <c r="B1002" s="3">
        <v>1.096596337910241</v>
      </c>
      <c r="C1002" s="3">
        <v>-2.2963379102409753E-3</v>
      </c>
    </row>
    <row r="1003" spans="1:3" x14ac:dyDescent="0.3">
      <c r="A1003" s="3">
        <v>977</v>
      </c>
      <c r="B1003" s="3">
        <v>1.0985715163789367</v>
      </c>
      <c r="C1003" s="3">
        <v>-4.471516378936613E-3</v>
      </c>
    </row>
    <row r="1004" spans="1:3" x14ac:dyDescent="0.3">
      <c r="A1004" s="3">
        <v>978</v>
      </c>
      <c r="B1004" s="3">
        <v>1.0984002593109106</v>
      </c>
      <c r="C1004" s="3">
        <v>-3.5002593109105806E-3</v>
      </c>
    </row>
    <row r="1005" spans="1:3" x14ac:dyDescent="0.3">
      <c r="A1005" s="3">
        <v>979</v>
      </c>
      <c r="B1005" s="3">
        <v>1.0990513485698934</v>
      </c>
      <c r="C1005" s="3">
        <v>-5.9513485698934332E-3</v>
      </c>
    </row>
    <row r="1006" spans="1:3" x14ac:dyDescent="0.3">
      <c r="A1006" s="3">
        <v>980</v>
      </c>
      <c r="B1006" s="3">
        <v>1.097602552251155</v>
      </c>
      <c r="C1006" s="3">
        <v>-5.0255225115503066E-4</v>
      </c>
    </row>
    <row r="1007" spans="1:3" x14ac:dyDescent="0.3">
      <c r="A1007" s="3">
        <v>981</v>
      </c>
      <c r="B1007" s="3">
        <v>1.1008233406868664</v>
      </c>
      <c r="C1007" s="3">
        <v>-3.8233406868664055E-3</v>
      </c>
    </row>
    <row r="1008" spans="1:3" x14ac:dyDescent="0.3">
      <c r="A1008" s="3">
        <v>982</v>
      </c>
      <c r="B1008" s="3">
        <v>1.1007340808788173</v>
      </c>
      <c r="C1008" s="3">
        <v>-5.834080878817316E-3</v>
      </c>
    </row>
    <row r="1009" spans="1:3" x14ac:dyDescent="0.3">
      <c r="A1009" s="3">
        <v>983</v>
      </c>
      <c r="B1009" s="3">
        <v>1.0990591002937238</v>
      </c>
      <c r="C1009" s="3">
        <v>-4.2591002937237832E-3</v>
      </c>
    </row>
    <row r="1010" spans="1:3" x14ac:dyDescent="0.3">
      <c r="A1010" s="3">
        <v>984</v>
      </c>
      <c r="B1010" s="3">
        <v>1.0989797148411953</v>
      </c>
      <c r="C1010" s="3">
        <v>-1.1579714841195354E-2</v>
      </c>
    </row>
    <row r="1011" spans="1:3" x14ac:dyDescent="0.3">
      <c r="A1011" s="3">
        <v>985</v>
      </c>
      <c r="B1011" s="3">
        <v>1.0930213726321312</v>
      </c>
      <c r="C1011" s="3">
        <v>-4.9213726321311047E-3</v>
      </c>
    </row>
    <row r="1012" spans="1:3" x14ac:dyDescent="0.3">
      <c r="A1012" s="3">
        <v>986</v>
      </c>
      <c r="B1012" s="3">
        <v>1.0935888407197849</v>
      </c>
      <c r="C1012" s="3">
        <v>-6.1888407197849826E-3</v>
      </c>
    </row>
    <row r="1013" spans="1:3" x14ac:dyDescent="0.3">
      <c r="A1013" s="3">
        <v>987</v>
      </c>
      <c r="B1013" s="3">
        <v>1.0929999070336456</v>
      </c>
      <c r="C1013" s="3">
        <v>-3.2999070336456882E-3</v>
      </c>
    </row>
    <row r="1014" spans="1:3" x14ac:dyDescent="0.3">
      <c r="A1014" s="3">
        <v>988</v>
      </c>
      <c r="B1014" s="3">
        <v>1.0948524679960092</v>
      </c>
      <c r="C1014" s="3">
        <v>-6.7524679960091483E-3</v>
      </c>
    </row>
    <row r="1015" spans="1:3" x14ac:dyDescent="0.3">
      <c r="A1015" s="3">
        <v>989</v>
      </c>
      <c r="B1015" s="3">
        <v>1.0935618030963166</v>
      </c>
      <c r="C1015" s="3">
        <v>-8.4618030963166113E-3</v>
      </c>
    </row>
    <row r="1016" spans="1:3" x14ac:dyDescent="0.3">
      <c r="A1016" s="3">
        <v>990</v>
      </c>
      <c r="B1016" s="3">
        <v>1.0911581544594955</v>
      </c>
      <c r="C1016" s="3">
        <v>-2.8581544594954433E-3</v>
      </c>
    </row>
    <row r="1017" spans="1:3" x14ac:dyDescent="0.3">
      <c r="A1017" s="3">
        <v>991</v>
      </c>
      <c r="B1017" s="3">
        <v>1.0937280841742363</v>
      </c>
      <c r="C1017" s="3">
        <v>-9.1280841742362728E-3</v>
      </c>
    </row>
    <row r="1018" spans="1:3" x14ac:dyDescent="0.3">
      <c r="A1018" s="3">
        <v>992</v>
      </c>
      <c r="B1018" s="3">
        <v>1.0907400500712261</v>
      </c>
      <c r="C1018" s="3">
        <v>-5.5400500712261547E-3</v>
      </c>
    </row>
    <row r="1019" spans="1:3" x14ac:dyDescent="0.3">
      <c r="A1019" s="3">
        <v>993</v>
      </c>
      <c r="B1019" s="3">
        <v>1.0912360474887677</v>
      </c>
      <c r="C1019" s="3">
        <v>-7.9360474887677501E-3</v>
      </c>
    </row>
    <row r="1020" spans="1:3" x14ac:dyDescent="0.3">
      <c r="A1020" s="3">
        <v>994</v>
      </c>
      <c r="B1020" s="3">
        <v>1.0896948886433953</v>
      </c>
      <c r="C1020" s="3">
        <v>-5.6948886433951795E-3</v>
      </c>
    </row>
    <row r="1021" spans="1:3" x14ac:dyDescent="0.3">
      <c r="A1021" s="3">
        <v>995</v>
      </c>
      <c r="B1021" s="3">
        <v>1.0902611553837187</v>
      </c>
      <c r="C1021" s="3">
        <v>-8.6611553837188104E-3</v>
      </c>
    </row>
    <row r="1022" spans="1:3" x14ac:dyDescent="0.3">
      <c r="A1022" s="3">
        <v>996</v>
      </c>
      <c r="B1022" s="3">
        <v>1.0883240340111981</v>
      </c>
      <c r="C1022" s="3">
        <v>-1.124034011198205E-3</v>
      </c>
    </row>
    <row r="1023" spans="1:3" x14ac:dyDescent="0.3">
      <c r="A1023" s="3">
        <v>997</v>
      </c>
      <c r="B1023" s="3">
        <v>1.0928316101831537</v>
      </c>
      <c r="C1023" s="3">
        <v>-1.4431610183153643E-2</v>
      </c>
    </row>
    <row r="1024" spans="1:3" x14ac:dyDescent="0.3">
      <c r="A1024" s="3">
        <v>998</v>
      </c>
      <c r="B1024" s="3">
        <v>1.085742589810496</v>
      </c>
      <c r="C1024" s="3">
        <v>-1.1642589810495929E-2</v>
      </c>
    </row>
    <row r="1025" spans="1:3" x14ac:dyDescent="0.3">
      <c r="A1025" s="3">
        <v>999</v>
      </c>
      <c r="B1025" s="3">
        <v>1.0823095829463207</v>
      </c>
      <c r="C1025" s="3">
        <v>-6.9095829463208247E-3</v>
      </c>
    </row>
    <row r="1026" spans="1:3" x14ac:dyDescent="0.3">
      <c r="A1026" s="3">
        <v>1000</v>
      </c>
      <c r="B1026" s="3">
        <v>1.0833275300760741</v>
      </c>
      <c r="C1026" s="3">
        <v>-6.2275300760741281E-3</v>
      </c>
    </row>
    <row r="1027" spans="1:3" x14ac:dyDescent="0.3">
      <c r="A1027" s="3">
        <v>1001</v>
      </c>
      <c r="B1027" s="3">
        <v>1.0846790023617836</v>
      </c>
      <c r="C1027" s="3">
        <v>-7.079002361783715E-3</v>
      </c>
    </row>
    <row r="1028" spans="1:3" x14ac:dyDescent="0.3">
      <c r="A1028" s="3">
        <v>1002</v>
      </c>
      <c r="B1028" s="3">
        <v>1.0850844746152768</v>
      </c>
      <c r="C1028" s="3">
        <v>-6.8844746152767478E-3</v>
      </c>
    </row>
    <row r="1029" spans="1:3" x14ac:dyDescent="0.3">
      <c r="A1029" s="3">
        <v>1003</v>
      </c>
      <c r="B1029" s="3">
        <v>1.0855725366928672</v>
      </c>
      <c r="C1029" s="3">
        <v>-8.4725366928672941E-3</v>
      </c>
    </row>
    <row r="1030" spans="1:3" x14ac:dyDescent="0.3">
      <c r="A1030" s="3">
        <v>1004</v>
      </c>
      <c r="B1030" s="3">
        <v>1.0846892344049668</v>
      </c>
      <c r="C1030" s="3">
        <v>-1.3789234404966821E-2</v>
      </c>
    </row>
    <row r="1031" spans="1:3" x14ac:dyDescent="0.3">
      <c r="A1031" s="3">
        <v>1005</v>
      </c>
      <c r="B1031" s="3">
        <v>1.0797059166567371</v>
      </c>
      <c r="C1031" s="3">
        <v>-7.205916656737088E-3</v>
      </c>
    </row>
    <row r="1032" spans="1:3" x14ac:dyDescent="0.3">
      <c r="A1032" s="3">
        <v>1006</v>
      </c>
      <c r="B1032" s="3">
        <v>1.0809929366663713</v>
      </c>
      <c r="C1032" s="3">
        <v>-3.8929366663713605E-3</v>
      </c>
    </row>
    <row r="1033" spans="1:3" x14ac:dyDescent="0.3">
      <c r="A1033" s="3">
        <v>1007</v>
      </c>
      <c r="B1033" s="3">
        <v>1.0846698708806364</v>
      </c>
      <c r="C1033" s="3">
        <v>-7.2698708806364642E-3</v>
      </c>
    </row>
    <row r="1034" spans="1:3" x14ac:dyDescent="0.3">
      <c r="A1034" s="3">
        <v>1008</v>
      </c>
      <c r="B1034" s="3">
        <v>1.0849136290983168</v>
      </c>
      <c r="C1034" s="3">
        <v>-7.2136290983166873E-3</v>
      </c>
    </row>
    <row r="1035" spans="1:3" x14ac:dyDescent="0.3">
      <c r="A1035" s="3">
        <v>1009</v>
      </c>
      <c r="B1035" s="3">
        <v>1.0851705624899362</v>
      </c>
      <c r="C1035" s="3">
        <v>-4.8705624899361144E-3</v>
      </c>
    </row>
    <row r="1036" spans="1:3" x14ac:dyDescent="0.3">
      <c r="A1036" s="3">
        <v>1010</v>
      </c>
      <c r="B1036" s="3">
        <v>1.0872623496691196</v>
      </c>
      <c r="C1036" s="3">
        <v>-5.562349669119504E-3</v>
      </c>
    </row>
    <row r="1037" spans="1:3" x14ac:dyDescent="0.3">
      <c r="A1037" s="3">
        <v>1011</v>
      </c>
      <c r="B1037" s="3">
        <v>1.088387571076737</v>
      </c>
      <c r="C1037" s="3">
        <v>-6.087571076736964E-3</v>
      </c>
    </row>
    <row r="1038" spans="1:3" x14ac:dyDescent="0.3">
      <c r="A1038" s="3">
        <v>1012</v>
      </c>
      <c r="B1038" s="3">
        <v>1.0888781459118595</v>
      </c>
      <c r="C1038" s="3">
        <v>-7.0781459118594015E-3</v>
      </c>
    </row>
    <row r="1039" spans="1:3" x14ac:dyDescent="0.3">
      <c r="A1039" s="3">
        <v>1013</v>
      </c>
      <c r="B1039" s="3">
        <v>1.0884804749071555</v>
      </c>
      <c r="C1039" s="3">
        <v>-3.7804749071554955E-3</v>
      </c>
    </row>
    <row r="1040" spans="1:3" x14ac:dyDescent="0.3">
      <c r="A1040" s="3">
        <v>1014</v>
      </c>
      <c r="B1040" s="3">
        <v>1.090815086271326</v>
      </c>
      <c r="C1040" s="3">
        <v>-6.4150862713259205E-3</v>
      </c>
    </row>
    <row r="1041" spans="1:3" x14ac:dyDescent="0.3">
      <c r="A1041" s="3">
        <v>1015</v>
      </c>
      <c r="B1041" s="3">
        <v>1.0905701915826742</v>
      </c>
      <c r="C1041" s="3">
        <v>-6.9701915826743122E-3</v>
      </c>
    </row>
    <row r="1042" spans="1:3" x14ac:dyDescent="0.3">
      <c r="A1042" s="3">
        <v>1016</v>
      </c>
      <c r="B1042" s="3">
        <v>1.0899370229497238</v>
      </c>
      <c r="C1042" s="3">
        <v>-9.6370229497237947E-3</v>
      </c>
    </row>
    <row r="1043" spans="1:3" x14ac:dyDescent="0.3">
      <c r="A1043" s="3">
        <v>1017</v>
      </c>
      <c r="B1043" s="3">
        <v>1.0872826165233422</v>
      </c>
      <c r="C1043" s="3">
        <v>-3.5826165233421303E-3</v>
      </c>
    </row>
    <row r="1044" spans="1:3" x14ac:dyDescent="0.3">
      <c r="A1044" s="3">
        <v>1018</v>
      </c>
      <c r="B1044" s="3">
        <v>1.0900163452612717</v>
      </c>
      <c r="C1044" s="3">
        <v>-4.6163452612717482E-3</v>
      </c>
    </row>
    <row r="1045" spans="1:3" x14ac:dyDescent="0.3">
      <c r="A1045" s="3">
        <v>1019</v>
      </c>
      <c r="B1045" s="3">
        <v>1.0913698863152674</v>
      </c>
      <c r="C1045" s="3">
        <v>-5.8698863152675251E-3</v>
      </c>
    </row>
    <row r="1046" spans="1:3" x14ac:dyDescent="0.3">
      <c r="A1046" s="3">
        <v>1020</v>
      </c>
      <c r="B1046" s="3">
        <v>1.0914609177418542</v>
      </c>
      <c r="C1046" s="3">
        <v>-1.7609177418542732E-3</v>
      </c>
    </row>
    <row r="1047" spans="1:3" x14ac:dyDescent="0.3">
      <c r="A1047" s="3">
        <v>1021</v>
      </c>
      <c r="B1047" s="3">
        <v>1.094844403771029</v>
      </c>
      <c r="C1047" s="3">
        <v>-2.4440377102896704E-4</v>
      </c>
    </row>
    <row r="1048" spans="1:3" x14ac:dyDescent="0.3">
      <c r="A1048" s="3">
        <v>1022</v>
      </c>
      <c r="B1048" s="3">
        <v>1.0987826232324092</v>
      </c>
      <c r="C1048" s="3">
        <v>-5.0826232324092668E-3</v>
      </c>
    </row>
    <row r="1049" spans="1:3" x14ac:dyDescent="0.3">
      <c r="A1049" s="3">
        <v>1023</v>
      </c>
      <c r="B1049" s="3">
        <v>1.0980700989820427</v>
      </c>
      <c r="C1049" s="3">
        <v>-5.4700989820426482E-3</v>
      </c>
    </row>
    <row r="1050" spans="1:3" x14ac:dyDescent="0.3">
      <c r="A1050" s="3">
        <v>1024</v>
      </c>
      <c r="B1050" s="3">
        <v>1.0972029601853495</v>
      </c>
      <c r="C1050" s="3">
        <v>-4.8029601853494253E-3</v>
      </c>
    </row>
    <row r="1051" spans="1:3" x14ac:dyDescent="0.3">
      <c r="A1051" s="3">
        <v>1025</v>
      </c>
      <c r="B1051" s="3">
        <v>1.0970397366395022</v>
      </c>
      <c r="C1051" s="3">
        <v>-2.4397366395021436E-3</v>
      </c>
    </row>
    <row r="1052" spans="1:3" x14ac:dyDescent="0.3">
      <c r="A1052" s="3">
        <v>1026</v>
      </c>
      <c r="B1052" s="3">
        <v>1.0988053388354941</v>
      </c>
      <c r="C1052" s="3">
        <v>-1.0705338835494072E-2</v>
      </c>
    </row>
    <row r="1053" spans="1:3" x14ac:dyDescent="0.3">
      <c r="A1053" s="3">
        <v>1027</v>
      </c>
      <c r="B1053" s="3">
        <v>1.0935758286044328</v>
      </c>
      <c r="C1053" s="3">
        <v>-4.8758286044328081E-3</v>
      </c>
    </row>
    <row r="1054" spans="1:3" x14ac:dyDescent="0.3">
      <c r="A1054" s="3">
        <v>1028</v>
      </c>
      <c r="B1054" s="3">
        <v>1.0940702174620234</v>
      </c>
      <c r="C1054" s="3">
        <v>-6.9702174620234203E-3</v>
      </c>
    </row>
    <row r="1055" spans="1:3" x14ac:dyDescent="0.3">
      <c r="A1055" s="3">
        <v>1029</v>
      </c>
      <c r="B1055" s="3">
        <v>1.0927606637300471</v>
      </c>
      <c r="C1055" s="3">
        <v>-6.260663730047078E-3</v>
      </c>
    </row>
    <row r="1056" spans="1:3" x14ac:dyDescent="0.3">
      <c r="A1056" s="3">
        <v>1030</v>
      </c>
      <c r="B1056" s="3">
        <v>1.0922812584415569</v>
      </c>
      <c r="C1056" s="3">
        <v>-4.8125844155677555E-4</v>
      </c>
    </row>
    <row r="1057" spans="1:3" x14ac:dyDescent="0.3">
      <c r="A1057" s="3">
        <v>1031</v>
      </c>
      <c r="B1057" s="3">
        <v>1.0965384542014605</v>
      </c>
      <c r="C1057" s="3">
        <v>-1.0538454201460379E-2</v>
      </c>
    </row>
    <row r="1058" spans="1:3" x14ac:dyDescent="0.3">
      <c r="A1058" s="3">
        <v>1032</v>
      </c>
      <c r="B1058" s="3">
        <v>1.0918684741150344</v>
      </c>
      <c r="C1058" s="3">
        <v>-1.1368474115034388E-2</v>
      </c>
    </row>
    <row r="1059" spans="1:3" x14ac:dyDescent="0.3">
      <c r="A1059" s="3">
        <v>1033</v>
      </c>
      <c r="B1059" s="3">
        <v>1.0874674064529697</v>
      </c>
      <c r="C1059" s="3">
        <v>-3.8674064529697905E-3</v>
      </c>
    </row>
    <row r="1060" spans="1:3" x14ac:dyDescent="0.3">
      <c r="A1060" s="3">
        <v>1034</v>
      </c>
      <c r="B1060" s="3">
        <v>1.089944071178873</v>
      </c>
      <c r="C1060" s="3">
        <v>-6.9440711788730791E-3</v>
      </c>
    </row>
    <row r="1061" spans="1:3" x14ac:dyDescent="0.3">
      <c r="A1061" s="3">
        <v>1035</v>
      </c>
      <c r="B1061" s="3">
        <v>1.0894405346210454</v>
      </c>
      <c r="C1061" s="3">
        <v>-6.840534621045391E-3</v>
      </c>
    </row>
    <row r="1062" spans="1:3" x14ac:dyDescent="0.3">
      <c r="A1062" s="3">
        <v>1036</v>
      </c>
      <c r="B1062" s="3">
        <v>1.0891299376517189</v>
      </c>
      <c r="C1062" s="3">
        <v>-1.0429937651718957E-2</v>
      </c>
    </row>
    <row r="1063" spans="1:3" x14ac:dyDescent="0.3">
      <c r="A1063" s="3">
        <v>1037</v>
      </c>
      <c r="B1063" s="3">
        <v>1.0859917066019258</v>
      </c>
      <c r="C1063" s="3">
        <v>-6.691706601925862E-3</v>
      </c>
    </row>
    <row r="1064" spans="1:3" x14ac:dyDescent="0.3">
      <c r="A1064" s="3">
        <v>1038</v>
      </c>
      <c r="B1064" s="3">
        <v>1.0864754176917093</v>
      </c>
      <c r="C1064" s="3">
        <v>-1.2175417691709267E-2</v>
      </c>
    </row>
    <row r="1065" spans="1:3" x14ac:dyDescent="0.3">
      <c r="A1065" s="3">
        <v>1039</v>
      </c>
      <c r="B1065" s="3">
        <v>1.082440513683312</v>
      </c>
      <c r="C1065" s="3">
        <v>-5.6405136833119762E-3</v>
      </c>
    </row>
    <row r="1066" spans="1:3" x14ac:dyDescent="0.3">
      <c r="A1066" s="3">
        <v>1040</v>
      </c>
      <c r="B1066" s="3">
        <v>1.0844563989768172</v>
      </c>
      <c r="C1066" s="3">
        <v>-9.5639897681731867E-4</v>
      </c>
    </row>
    <row r="1067" spans="1:3" x14ac:dyDescent="0.3">
      <c r="A1067" s="3">
        <v>1041</v>
      </c>
      <c r="B1067" s="3">
        <v>1.0898257246689151</v>
      </c>
      <c r="C1067" s="3">
        <v>-6.3257246689152336E-3</v>
      </c>
    </row>
    <row r="1068" spans="1:3" x14ac:dyDescent="0.3">
      <c r="A1068" s="3">
        <v>1042</v>
      </c>
      <c r="B1068" s="3">
        <v>1.0898299433009371</v>
      </c>
      <c r="C1068" s="3">
        <v>-6.3299433009371686E-3</v>
      </c>
    </row>
    <row r="1069" spans="1:3" x14ac:dyDescent="0.3">
      <c r="A1069" s="3">
        <v>1043</v>
      </c>
      <c r="B1069" s="3">
        <v>1.0898530542359985</v>
      </c>
      <c r="C1069" s="3">
        <v>-4.0530542359984434E-3</v>
      </c>
    </row>
    <row r="1070" spans="1:3" x14ac:dyDescent="0.3">
      <c r="A1070" s="3">
        <v>1044</v>
      </c>
      <c r="B1070" s="3">
        <v>1.0917027404147219</v>
      </c>
      <c r="C1070" s="3">
        <v>-6.2027404147220189E-3</v>
      </c>
    </row>
    <row r="1071" spans="1:3" x14ac:dyDescent="0.3">
      <c r="A1071" s="3">
        <v>1045</v>
      </c>
      <c r="B1071" s="3">
        <v>1.0914599648870038</v>
      </c>
      <c r="C1071" s="3">
        <v>-1.7259964887003765E-2</v>
      </c>
    </row>
    <row r="1072" spans="1:3" x14ac:dyDescent="0.3">
      <c r="A1072" s="3">
        <v>1046</v>
      </c>
      <c r="B1072" s="3">
        <v>1.0823805071065145</v>
      </c>
      <c r="C1072" s="3">
        <v>-9.9805071065144357E-3</v>
      </c>
    </row>
    <row r="1073" spans="1:3" x14ac:dyDescent="0.3">
      <c r="A1073" s="3">
        <v>1047</v>
      </c>
      <c r="B1073" s="3">
        <v>1.0809393208782441</v>
      </c>
      <c r="C1073" s="3">
        <v>-1.6739320878244035E-2</v>
      </c>
    </row>
    <row r="1074" spans="1:3" x14ac:dyDescent="0.3">
      <c r="A1074" s="3">
        <v>1048</v>
      </c>
      <c r="B1074" s="3">
        <v>1.0743069927940583</v>
      </c>
      <c r="C1074" s="3">
        <v>-1.2106992794058247E-2</v>
      </c>
    </row>
    <row r="1075" spans="1:3" x14ac:dyDescent="0.3">
      <c r="A1075" s="3">
        <v>1049</v>
      </c>
      <c r="B1075" s="3">
        <v>1.0726977521339529</v>
      </c>
      <c r="C1075" s="3">
        <v>-1.0997752133952821E-2</v>
      </c>
    </row>
    <row r="1076" spans="1:3" x14ac:dyDescent="0.3">
      <c r="A1076" s="3">
        <v>1050</v>
      </c>
      <c r="B1076" s="3">
        <v>1.0722686762988833</v>
      </c>
      <c r="C1076" s="3">
        <v>-5.1686762988834012E-3</v>
      </c>
    </row>
    <row r="1077" spans="1:3" x14ac:dyDescent="0.3">
      <c r="A1077" s="3">
        <v>1051</v>
      </c>
      <c r="B1077" s="3">
        <v>1.0766048476956274</v>
      </c>
      <c r="C1077" s="3">
        <v>-1.2304847695627341E-2</v>
      </c>
    </row>
    <row r="1078" spans="1:3" x14ac:dyDescent="0.3">
      <c r="A1078" s="3">
        <v>1052</v>
      </c>
      <c r="B1078" s="3">
        <v>1.0743477809506434</v>
      </c>
      <c r="C1078" s="3">
        <v>-8.9477809506435246E-3</v>
      </c>
    </row>
    <row r="1079" spans="1:3" x14ac:dyDescent="0.3">
      <c r="A1079" s="3">
        <v>1053</v>
      </c>
      <c r="B1079" s="3">
        <v>1.0752528810280246</v>
      </c>
      <c r="C1079" s="3">
        <v>-9.8528810280247292E-3</v>
      </c>
    </row>
    <row r="1080" spans="1:3" x14ac:dyDescent="0.3">
      <c r="A1080" s="3">
        <v>1054</v>
      </c>
      <c r="B1080" s="3">
        <v>1.075242499542278</v>
      </c>
      <c r="C1080" s="3">
        <v>-5.3424995422779453E-3</v>
      </c>
    </row>
    <row r="1081" spans="1:3" x14ac:dyDescent="0.3">
      <c r="A1081" s="3">
        <v>1055</v>
      </c>
      <c r="B1081" s="3">
        <v>1.0788652450941416</v>
      </c>
      <c r="C1081" s="3">
        <v>-9.1652450941415164E-3</v>
      </c>
    </row>
    <row r="1082" spans="1:3" x14ac:dyDescent="0.3">
      <c r="A1082" s="3">
        <v>1056</v>
      </c>
      <c r="B1082" s="3">
        <v>1.0787014443355751</v>
      </c>
      <c r="C1082" s="3">
        <v>-5.8014443355751677E-3</v>
      </c>
    </row>
    <row r="1083" spans="1:3" x14ac:dyDescent="0.3">
      <c r="A1083" s="3">
        <v>1057</v>
      </c>
      <c r="B1083" s="3">
        <v>1.0812905745160599</v>
      </c>
      <c r="C1083" s="3">
        <v>-1.2090574516059993E-2</v>
      </c>
    </row>
    <row r="1084" spans="1:3" x14ac:dyDescent="0.3">
      <c r="A1084" s="3">
        <v>1058</v>
      </c>
      <c r="B1084" s="3">
        <v>1.0783121987142694</v>
      </c>
      <c r="C1084" s="3">
        <v>-6.412198714269346E-3</v>
      </c>
    </row>
    <row r="1085" spans="1:3" x14ac:dyDescent="0.3">
      <c r="A1085" s="3">
        <v>1059</v>
      </c>
      <c r="B1085" s="3">
        <v>1.0804970400341241</v>
      </c>
      <c r="C1085" s="3">
        <v>-1.3997040034124053E-2</v>
      </c>
    </row>
    <row r="1086" spans="1:3" x14ac:dyDescent="0.3">
      <c r="A1086" s="3">
        <v>1060</v>
      </c>
      <c r="B1086" s="3">
        <v>1.0761397607265575</v>
      </c>
      <c r="C1086" s="3">
        <v>-5.2397607265575186E-3</v>
      </c>
    </row>
    <row r="1087" spans="1:3" x14ac:dyDescent="0.3">
      <c r="A1087" s="3">
        <v>1061</v>
      </c>
      <c r="B1087" s="3">
        <v>1.0796911543480712</v>
      </c>
      <c r="C1087" s="3">
        <v>-7.1911543480711604E-3</v>
      </c>
    </row>
    <row r="1088" spans="1:3" x14ac:dyDescent="0.3">
      <c r="A1088" s="3">
        <v>1062</v>
      </c>
      <c r="B1088" s="3">
        <v>1.0809563730974681</v>
      </c>
      <c r="C1088" s="3">
        <v>-5.15637309746797E-3</v>
      </c>
    </row>
    <row r="1089" spans="1:3" x14ac:dyDescent="0.3">
      <c r="A1089" s="3">
        <v>1063</v>
      </c>
      <c r="B1089" s="3">
        <v>1.0836243960839669</v>
      </c>
      <c r="C1089" s="3">
        <v>-6.8243960839668993E-3</v>
      </c>
    </row>
    <row r="1090" spans="1:3" x14ac:dyDescent="0.3">
      <c r="A1090" s="3">
        <v>1064</v>
      </c>
      <c r="B1090" s="3">
        <v>1.0844319569417076</v>
      </c>
      <c r="C1090" s="3">
        <v>-9.2319569417076419E-3</v>
      </c>
    </row>
    <row r="1091" spans="1:3" x14ac:dyDescent="0.3">
      <c r="A1091" s="3">
        <v>1065</v>
      </c>
      <c r="B1091" s="3">
        <v>1.0831559442878089</v>
      </c>
      <c r="C1091" s="3">
        <v>-8.6559442878089143E-3</v>
      </c>
    </row>
    <row r="1092" spans="1:3" x14ac:dyDescent="0.3">
      <c r="A1092" s="3">
        <v>1066</v>
      </c>
      <c r="B1092" s="3">
        <v>1.0825974976184307</v>
      </c>
      <c r="C1092" s="3">
        <v>-4.497497618430657E-3</v>
      </c>
    </row>
    <row r="1093" spans="1:3" x14ac:dyDescent="0.3">
      <c r="A1093" s="3">
        <v>1067</v>
      </c>
      <c r="B1093" s="3">
        <v>1.0854875997728908</v>
      </c>
      <c r="C1093" s="3">
        <v>-8.5875997728908082E-3</v>
      </c>
    </row>
    <row r="1094" spans="1:3" x14ac:dyDescent="0.3">
      <c r="A1094" s="3">
        <v>1068</v>
      </c>
      <c r="B1094" s="3">
        <v>1.0845177647533966</v>
      </c>
      <c r="C1094" s="3">
        <v>-5.7177647533965814E-3</v>
      </c>
    </row>
    <row r="1095" spans="1:3" x14ac:dyDescent="0.3">
      <c r="A1095" s="3">
        <v>1069</v>
      </c>
      <c r="B1095" s="3">
        <v>1.0860589731237273</v>
      </c>
      <c r="C1095" s="3">
        <v>-4.2589731237272499E-3</v>
      </c>
    </row>
    <row r="1096" spans="1:3" x14ac:dyDescent="0.3">
      <c r="A1096" s="3">
        <v>1070</v>
      </c>
      <c r="B1096" s="3">
        <v>1.0884662188610268</v>
      </c>
      <c r="C1096" s="3">
        <v>-2.6621886102673464E-4</v>
      </c>
    </row>
    <row r="1097" spans="1:3" x14ac:dyDescent="0.3">
      <c r="A1097" s="3">
        <v>1071</v>
      </c>
      <c r="B1097" s="3">
        <v>1.0936177532319893</v>
      </c>
      <c r="C1097" s="3">
        <v>-7.1177532319892656E-3</v>
      </c>
    </row>
    <row r="1098" spans="1:3" x14ac:dyDescent="0.3">
      <c r="A1098" s="3">
        <v>1072</v>
      </c>
      <c r="B1098" s="3">
        <v>1.0922567344433098</v>
      </c>
      <c r="C1098" s="3">
        <v>-5.2567344433098739E-3</v>
      </c>
    </row>
    <row r="1099" spans="1:3" x14ac:dyDescent="0.3">
      <c r="A1099" s="3">
        <v>1073</v>
      </c>
      <c r="B1099" s="3">
        <v>1.0926820339002248</v>
      </c>
      <c r="C1099" s="3">
        <v>-7.1820339002248712E-3</v>
      </c>
    </row>
    <row r="1100" spans="1:3" x14ac:dyDescent="0.3">
      <c r="A1100" s="3">
        <v>1074</v>
      </c>
      <c r="B1100" s="3">
        <v>1.0914695241383072</v>
      </c>
      <c r="C1100" s="3">
        <v>-6.0695241383073029E-3</v>
      </c>
    </row>
    <row r="1101" spans="1:3" x14ac:dyDescent="0.3">
      <c r="A1101" s="3">
        <v>1075</v>
      </c>
      <c r="B1101" s="3">
        <v>1.0913918138574668</v>
      </c>
      <c r="C1101" s="3">
        <v>-9.2918138574666909E-3</v>
      </c>
    </row>
    <row r="1102" spans="1:3" x14ac:dyDescent="0.3">
      <c r="A1102" s="3">
        <v>1076</v>
      </c>
      <c r="B1102" s="3">
        <v>1.0887328079507987</v>
      </c>
      <c r="C1102" s="3">
        <v>-7.4328079507988143E-3</v>
      </c>
    </row>
    <row r="1103" spans="1:3" x14ac:dyDescent="0.3">
      <c r="A1103" s="3">
        <v>1077</v>
      </c>
      <c r="B1103" s="3">
        <v>1.0880912634594073</v>
      </c>
      <c r="C1103" s="3">
        <v>-3.5912634594073012E-3</v>
      </c>
    </row>
    <row r="1104" spans="1:3" x14ac:dyDescent="0.3">
      <c r="A1104" s="3">
        <v>1078</v>
      </c>
      <c r="B1104" s="3">
        <v>1.0906538828364964</v>
      </c>
      <c r="C1104" s="3">
        <v>-4.8538828364963482E-3</v>
      </c>
    </row>
    <row r="1105" spans="1:3" x14ac:dyDescent="0.3">
      <c r="A1105" s="3">
        <v>1079</v>
      </c>
      <c r="B1105" s="3">
        <v>1.0916944943089986</v>
      </c>
      <c r="C1105" s="3">
        <v>-6.1944943089986548E-3</v>
      </c>
    </row>
    <row r="1106" spans="1:3" x14ac:dyDescent="0.3">
      <c r="A1106" s="3">
        <v>1080</v>
      </c>
      <c r="B1106" s="3">
        <v>1.0914634142802966</v>
      </c>
      <c r="C1106" s="3">
        <v>-1.1463414280296513E-2</v>
      </c>
    </row>
    <row r="1107" spans="1:3" x14ac:dyDescent="0.3">
      <c r="A1107" s="3">
        <v>1081</v>
      </c>
      <c r="B1107" s="3">
        <v>1.0870449331224257</v>
      </c>
      <c r="C1107" s="3">
        <v>-3.844933122425731E-3</v>
      </c>
    </row>
    <row r="1108" spans="1:3" x14ac:dyDescent="0.3">
      <c r="A1108" s="3">
        <v>1082</v>
      </c>
      <c r="B1108" s="3">
        <v>1.0896209906496448</v>
      </c>
      <c r="C1108" s="3">
        <v>-5.5209906496447303E-3</v>
      </c>
    </row>
    <row r="1109" spans="1:3" x14ac:dyDescent="0.3">
      <c r="A1109" s="3">
        <v>1083</v>
      </c>
      <c r="B1109" s="3">
        <v>1.0903237054208499</v>
      </c>
      <c r="C1109" s="3">
        <v>-1.2370542084982894E-4</v>
      </c>
    </row>
    <row r="1110" spans="1:3" x14ac:dyDescent="0.3">
      <c r="A1110" s="3">
        <v>1084</v>
      </c>
      <c r="B1110" s="3">
        <v>1.0952398412134829</v>
      </c>
      <c r="C1110" s="3">
        <v>-7.4398412134828451E-3</v>
      </c>
    </row>
    <row r="1111" spans="1:3" x14ac:dyDescent="0.3">
      <c r="A1111" s="3">
        <v>1085</v>
      </c>
      <c r="B1111" s="3">
        <v>1.0933088279635947</v>
      </c>
      <c r="C1111" s="3">
        <v>-6.5088279635947544E-3</v>
      </c>
    </row>
    <row r="1112" spans="1:3" x14ac:dyDescent="0.3">
      <c r="A1112" s="3">
        <v>1086</v>
      </c>
      <c r="B1112" s="3">
        <v>1.0925272357377769</v>
      </c>
      <c r="C1112" s="3">
        <v>-3.7272357377768905E-3</v>
      </c>
    </row>
    <row r="1113" spans="1:3" x14ac:dyDescent="0.3">
      <c r="A1113" s="3">
        <v>1087</v>
      </c>
      <c r="B1113" s="3">
        <v>1.0941280373984605</v>
      </c>
      <c r="C1113" s="3">
        <v>-1.4128037398460469E-2</v>
      </c>
    </row>
    <row r="1114" spans="1:3" x14ac:dyDescent="0.3">
      <c r="A1114" s="3">
        <v>1088</v>
      </c>
      <c r="B1114" s="3">
        <v>1.0870462129621374</v>
      </c>
      <c r="C1114" s="3">
        <v>-1.0746212962137403E-2</v>
      </c>
    </row>
    <row r="1115" spans="1:3" x14ac:dyDescent="0.3">
      <c r="A1115" s="3">
        <v>1089</v>
      </c>
      <c r="B1115" s="3">
        <v>1.0840833151113405</v>
      </c>
      <c r="C1115" s="3">
        <v>-1.0183315111340407E-2</v>
      </c>
    </row>
    <row r="1116" spans="1:3" x14ac:dyDescent="0.3">
      <c r="A1116" s="3">
        <v>1090</v>
      </c>
      <c r="B1116" s="3">
        <v>1.0821252856632082</v>
      </c>
      <c r="C1116" s="3">
        <v>-1.4252856632082089E-3</v>
      </c>
    </row>
    <row r="1117" spans="1:3" x14ac:dyDescent="0.3">
      <c r="A1117" s="3">
        <v>1091</v>
      </c>
      <c r="B1117" s="3">
        <v>1.08758273816314</v>
      </c>
      <c r="C1117" s="3">
        <v>-1.4082738163140096E-2</v>
      </c>
    </row>
    <row r="1118" spans="1:3" x14ac:dyDescent="0.3">
      <c r="A1118" s="3">
        <v>1092</v>
      </c>
      <c r="B1118" s="3">
        <v>1.081779667073193</v>
      </c>
      <c r="C1118" s="3">
        <v>-1.177966707319289E-2</v>
      </c>
    </row>
    <row r="1119" spans="1:3" x14ac:dyDescent="0.3">
      <c r="A1119" s="3">
        <v>1093</v>
      </c>
      <c r="B1119" s="3">
        <v>1.0789931166818456</v>
      </c>
      <c r="C1119" s="3">
        <v>-5.5931166818457001E-3</v>
      </c>
    </row>
    <row r="1120" spans="1:3" x14ac:dyDescent="0.3">
      <c r="A1120" s="3">
        <v>1094</v>
      </c>
      <c r="B1120" s="3">
        <v>1.0817049007907968</v>
      </c>
      <c r="C1120" s="3">
        <v>-7.9049007907967539E-3</v>
      </c>
    </row>
    <row r="1121" spans="1:3" x14ac:dyDescent="0.3">
      <c r="A1121" s="3">
        <v>1095</v>
      </c>
      <c r="B1121" s="3">
        <v>1.0820122771694649</v>
      </c>
      <c r="C1121" s="3">
        <v>-7.8122771694648652E-3</v>
      </c>
    </row>
    <row r="1122" spans="1:3" x14ac:dyDescent="0.3">
      <c r="A1122" s="3">
        <v>1096</v>
      </c>
      <c r="B1122" s="3">
        <v>1.0823454266832899</v>
      </c>
      <c r="C1122" s="3">
        <v>-1.2345426683289862E-2</v>
      </c>
    </row>
    <row r="1123" spans="1:3" x14ac:dyDescent="0.3">
      <c r="A1123" s="3">
        <v>1097</v>
      </c>
      <c r="B1123" s="3">
        <v>1.0789688556597901</v>
      </c>
      <c r="C1123" s="3">
        <v>-9.8688556597901211E-3</v>
      </c>
    </row>
    <row r="1124" spans="1:3" x14ac:dyDescent="0.3">
      <c r="A1124" s="3">
        <v>1098</v>
      </c>
      <c r="B1124" s="3">
        <v>1.0782492064232712</v>
      </c>
      <c r="C1124" s="3">
        <v>-5.0492064232712242E-3</v>
      </c>
    </row>
    <row r="1125" spans="1:3" x14ac:dyDescent="0.3">
      <c r="A1125" s="3">
        <v>1099</v>
      </c>
      <c r="B1125" s="3">
        <v>1.0815325773342928</v>
      </c>
      <c r="C1125" s="3">
        <v>-1.0232577334292836E-2</v>
      </c>
    </row>
    <row r="1126" spans="1:3" x14ac:dyDescent="0.3">
      <c r="A1126" s="3">
        <v>1100</v>
      </c>
      <c r="B1126" s="3">
        <v>1.0799987757484626</v>
      </c>
      <c r="C1126" s="3">
        <v>-1.209877574846252E-2</v>
      </c>
    </row>
    <row r="1127" spans="1:3" x14ac:dyDescent="0.3">
      <c r="A1127" s="3">
        <v>1101</v>
      </c>
      <c r="B1127" s="3">
        <v>1.077279848698891</v>
      </c>
      <c r="C1127" s="3">
        <v>-7.0798486988910003E-3</v>
      </c>
    </row>
    <row r="1128" spans="1:3" x14ac:dyDescent="0.3">
      <c r="A1128" s="3">
        <v>1102</v>
      </c>
      <c r="B1128" s="3">
        <v>1.0791252163279872</v>
      </c>
      <c r="C1128" s="3">
        <v>-7.8252163279872722E-3</v>
      </c>
    </row>
    <row r="1129" spans="1:3" x14ac:dyDescent="0.3">
      <c r="A1129" s="3">
        <v>1103</v>
      </c>
      <c r="B1129" s="3">
        <v>1.0799966087979487</v>
      </c>
      <c r="C1129" s="3">
        <v>-6.1966087979485884E-3</v>
      </c>
    </row>
    <row r="1130" spans="1:3" x14ac:dyDescent="0.3">
      <c r="A1130" s="3">
        <v>1104</v>
      </c>
      <c r="B1130" s="3">
        <v>1.0820143476731294</v>
      </c>
      <c r="C1130" s="3">
        <v>-7.6143476731294069E-3</v>
      </c>
    </row>
    <row r="1131" spans="1:3" x14ac:dyDescent="0.3">
      <c r="A1131" s="3">
        <v>1105</v>
      </c>
      <c r="B1131" s="3">
        <v>1.0824990252337858</v>
      </c>
      <c r="C1131" s="3">
        <v>-3.8990252337858244E-3</v>
      </c>
    </row>
    <row r="1132" spans="1:3" x14ac:dyDescent="0.3">
      <c r="A1132" s="3">
        <v>1106</v>
      </c>
      <c r="B1132" s="3">
        <v>1.0858849420573555</v>
      </c>
      <c r="C1132" s="3">
        <v>-4.884942057355568E-3</v>
      </c>
    </row>
    <row r="1133" spans="1:3" x14ac:dyDescent="0.3">
      <c r="A1133" s="3">
        <v>1107</v>
      </c>
      <c r="B1133" s="3">
        <v>1.0878143577602479</v>
      </c>
      <c r="C1133" s="3">
        <v>-4.2143577602480331E-3</v>
      </c>
    </row>
    <row r="1134" spans="1:3" x14ac:dyDescent="0.3">
      <c r="A1134" s="3">
        <v>1108</v>
      </c>
      <c r="B1134" s="3">
        <v>1.0899182169482671</v>
      </c>
      <c r="C1134" s="3">
        <v>-7.7182169482670204E-3</v>
      </c>
    </row>
    <row r="1135" spans="1:3" x14ac:dyDescent="0.3">
      <c r="A1135" s="3">
        <v>1109</v>
      </c>
      <c r="B1135" s="3">
        <v>1.0887988902120489</v>
      </c>
      <c r="C1135" s="3">
        <v>-7.5988902120489588E-3</v>
      </c>
    </row>
    <row r="1136" spans="1:3" x14ac:dyDescent="0.3">
      <c r="A1136" s="3">
        <v>1110</v>
      </c>
      <c r="B1136" s="3">
        <v>1.0880045676692272</v>
      </c>
      <c r="C1136" s="3">
        <v>-5.004567669227189E-3</v>
      </c>
    </row>
    <row r="1137" spans="1:3" x14ac:dyDescent="0.3">
      <c r="A1137" s="3">
        <v>1111</v>
      </c>
      <c r="B1137" s="3">
        <v>1.089447976446793</v>
      </c>
      <c r="C1137" s="3">
        <v>-2.9479764467930103E-3</v>
      </c>
    </row>
    <row r="1138" spans="1:3" x14ac:dyDescent="0.3">
      <c r="A1138" s="3">
        <v>1112</v>
      </c>
      <c r="B1138" s="3">
        <v>1.0922580834978257</v>
      </c>
      <c r="C1138" s="3">
        <v>-1.658083497825702E-3</v>
      </c>
    </row>
    <row r="1139" spans="1:3" x14ac:dyDescent="0.3">
      <c r="A1139" s="3">
        <v>1113</v>
      </c>
      <c r="B1139" s="3">
        <v>1.0955592580304956</v>
      </c>
      <c r="C1139" s="3">
        <v>-6.1592580304956623E-3</v>
      </c>
    </row>
    <row r="1140" spans="1:3" x14ac:dyDescent="0.3">
      <c r="A1140" s="3">
        <v>1114</v>
      </c>
      <c r="B1140" s="3">
        <v>1.0946035817425916</v>
      </c>
      <c r="C1140" s="3">
        <v>-4.9035817425917561E-3</v>
      </c>
    </row>
    <row r="1141" spans="1:3" x14ac:dyDescent="0.3">
      <c r="A1141" s="3">
        <v>1115</v>
      </c>
      <c r="B1141" s="3">
        <v>1.0948597765982828</v>
      </c>
      <c r="C1141" s="3">
        <v>-1.1597765982829245E-3</v>
      </c>
    </row>
    <row r="1142" spans="1:3" x14ac:dyDescent="0.3">
      <c r="A1142" s="3">
        <v>1116</v>
      </c>
      <c r="B1142" s="3">
        <v>1.0980722856224026</v>
      </c>
      <c r="C1142" s="3">
        <v>-8.4722856224026533E-3</v>
      </c>
    </row>
    <row r="1143" spans="1:3" x14ac:dyDescent="0.3">
      <c r="A1143" s="3">
        <v>1117</v>
      </c>
      <c r="B1143" s="3">
        <v>1.0947734240120539</v>
      </c>
      <c r="C1143" s="3">
        <v>-7.0734240120540193E-3</v>
      </c>
    </row>
    <row r="1144" spans="1:3" x14ac:dyDescent="0.3">
      <c r="A1144" s="3">
        <v>1118</v>
      </c>
      <c r="B1144" s="3">
        <v>1.0932619154652874</v>
      </c>
      <c r="C1144" s="3">
        <v>-4.3619154652874137E-3</v>
      </c>
    </row>
    <row r="1145" spans="1:3" x14ac:dyDescent="0.3">
      <c r="A1145" s="3">
        <v>1119</v>
      </c>
      <c r="B1145" s="3">
        <v>1.0942140757481615</v>
      </c>
      <c r="C1145" s="3">
        <v>-9.1140757481615875E-3</v>
      </c>
    </row>
    <row r="1146" spans="1:3" x14ac:dyDescent="0.3">
      <c r="A1146" s="3">
        <v>1120</v>
      </c>
      <c r="B1146" s="3">
        <v>1.0911507297205265</v>
      </c>
      <c r="C1146" s="3">
        <v>-7.2507297205264276E-3</v>
      </c>
    </row>
    <row r="1147" spans="1:3" x14ac:dyDescent="0.3">
      <c r="A1147" s="3">
        <v>1121</v>
      </c>
      <c r="B1147" s="3">
        <v>1.0901923136078344</v>
      </c>
      <c r="C1147" s="3">
        <v>-5.7923136078343873E-3</v>
      </c>
    </row>
    <row r="1148" spans="1:3" x14ac:dyDescent="0.3">
      <c r="A1148" s="3">
        <v>1122</v>
      </c>
      <c r="B1148" s="3">
        <v>1.0905821005329237</v>
      </c>
      <c r="C1148" s="3">
        <v>-4.8821005329235945E-3</v>
      </c>
    </row>
    <row r="1149" spans="1:3" x14ac:dyDescent="0.3">
      <c r="A1149" s="3">
        <v>1123</v>
      </c>
      <c r="B1149" s="3">
        <v>1.0916231073374025</v>
      </c>
      <c r="C1149" s="3">
        <v>-9.7231073374024479E-3</v>
      </c>
    </row>
    <row r="1150" spans="1:3" x14ac:dyDescent="0.3">
      <c r="A1150" s="3">
        <v>1124</v>
      </c>
      <c r="B1150" s="3">
        <v>1.0885679741096221</v>
      </c>
      <c r="C1150" s="3">
        <v>-7.0679741096222326E-3</v>
      </c>
    </row>
    <row r="1151" spans="1:3" x14ac:dyDescent="0.3">
      <c r="A1151" s="3">
        <v>1125</v>
      </c>
      <c r="B1151" s="3">
        <v>1.0882532720419018</v>
      </c>
      <c r="C1151" s="3">
        <v>-5.7532720419017913E-3</v>
      </c>
    </row>
    <row r="1152" spans="1:3" x14ac:dyDescent="0.3">
      <c r="A1152" s="3">
        <v>1126</v>
      </c>
      <c r="B1152" s="3">
        <v>1.0890446387056345</v>
      </c>
      <c r="C1152" s="3">
        <v>-9.9446387056345564E-3</v>
      </c>
    </row>
    <row r="1153" spans="1:3" x14ac:dyDescent="0.3">
      <c r="A1153" s="3">
        <v>1127</v>
      </c>
      <c r="B1153" s="3">
        <v>1.0863082828088557</v>
      </c>
      <c r="C1153" s="3">
        <v>4.4917171911442733E-3</v>
      </c>
    </row>
    <row r="1154" spans="1:3" x14ac:dyDescent="0.3">
      <c r="A1154" s="3">
        <v>1128</v>
      </c>
      <c r="B1154" s="3">
        <v>1.0957232406698054</v>
      </c>
      <c r="C1154" s="3">
        <v>-5.2324066980546924E-4</v>
      </c>
    </row>
    <row r="1155" spans="1:3" x14ac:dyDescent="0.3">
      <c r="A1155" s="3">
        <v>1129</v>
      </c>
      <c r="B1155" s="3">
        <v>1.0992423507600404</v>
      </c>
      <c r="C1155" s="3">
        <v>-6.2423507600404271E-3</v>
      </c>
    </row>
    <row r="1156" spans="1:3" x14ac:dyDescent="0.3">
      <c r="A1156" s="3">
        <v>1130</v>
      </c>
      <c r="B1156" s="3">
        <v>1.0975105508829397</v>
      </c>
      <c r="C1156" s="3">
        <v>-5.4105508829396243E-3</v>
      </c>
    </row>
    <row r="1157" spans="1:3" x14ac:dyDescent="0.3">
      <c r="A1157" s="3">
        <v>1131</v>
      </c>
      <c r="B1157" s="3">
        <v>1.0968033843386338</v>
      </c>
      <c r="C1157" s="3">
        <v>-5.0033843386336763E-3</v>
      </c>
    </row>
    <row r="1158" spans="1:3" x14ac:dyDescent="0.3">
      <c r="A1158" s="3">
        <v>1132</v>
      </c>
      <c r="B1158" s="3">
        <v>1.0965551239552047</v>
      </c>
      <c r="C1158" s="3">
        <v>-4.9551239552048099E-3</v>
      </c>
    </row>
    <row r="1159" spans="1:3" x14ac:dyDescent="0.3">
      <c r="A1159" s="3">
        <v>1133</v>
      </c>
      <c r="B1159" s="3">
        <v>1.0963913744569742</v>
      </c>
      <c r="C1159" s="3">
        <v>-3.2913744569742498E-3</v>
      </c>
    </row>
    <row r="1160" spans="1:3" x14ac:dyDescent="0.3">
      <c r="A1160" s="3">
        <v>1134</v>
      </c>
      <c r="B1160" s="3">
        <v>1.0975967882001627</v>
      </c>
      <c r="C1160" s="3">
        <v>1.6032117998372453E-3</v>
      </c>
    </row>
    <row r="1161" spans="1:3" x14ac:dyDescent="0.3">
      <c r="A1161" s="3">
        <v>1135</v>
      </c>
      <c r="B1161" s="3">
        <v>1.1025008015913127</v>
      </c>
      <c r="C1161" s="3">
        <v>-1.3008015913127391E-3</v>
      </c>
    </row>
    <row r="1162" spans="1:3" x14ac:dyDescent="0.3">
      <c r="A1162" s="3">
        <v>1136</v>
      </c>
      <c r="B1162" s="3">
        <v>1.1041103880584366</v>
      </c>
      <c r="C1162" s="3">
        <v>-7.0103880584366784E-3</v>
      </c>
    </row>
    <row r="1163" spans="1:3" x14ac:dyDescent="0.3">
      <c r="A1163" s="3">
        <v>1137</v>
      </c>
      <c r="B1163" s="3">
        <v>1.1008328478101443</v>
      </c>
      <c r="C1163" s="3">
        <v>1.9671521898556588E-3</v>
      </c>
    </row>
    <row r="1164" spans="1:3" x14ac:dyDescent="0.3">
      <c r="A1164" s="3">
        <v>1138</v>
      </c>
      <c r="B1164" s="3">
        <v>1.1054264469804</v>
      </c>
      <c r="C1164" s="3">
        <v>3.0735530195999949E-3</v>
      </c>
    </row>
    <row r="1165" spans="1:3" x14ac:dyDescent="0.3">
      <c r="A1165" s="3">
        <v>1139</v>
      </c>
      <c r="B1165" s="3">
        <v>1.1099925619348745</v>
      </c>
      <c r="C1165" s="3">
        <v>3.0074380651254895E-3</v>
      </c>
    </row>
    <row r="1166" spans="1:3" x14ac:dyDescent="0.3">
      <c r="A1166" s="3">
        <v>1140</v>
      </c>
      <c r="B1166" s="3">
        <v>1.1136274272851538</v>
      </c>
      <c r="C1166" s="3">
        <v>1.3725727148461431E-3</v>
      </c>
    </row>
    <row r="1167" spans="1:3" x14ac:dyDescent="0.3">
      <c r="A1167" s="3">
        <v>1141</v>
      </c>
      <c r="B1167" s="3">
        <v>1.1152525531088742</v>
      </c>
      <c r="C1167" s="3">
        <v>-4.0525531088742017E-3</v>
      </c>
    </row>
    <row r="1168" spans="1:3" x14ac:dyDescent="0.3">
      <c r="A1168" s="3">
        <v>1142</v>
      </c>
      <c r="B1168" s="3">
        <v>1.1122107572459294</v>
      </c>
      <c r="C1168" s="3">
        <v>6.7892427540705569E-3</v>
      </c>
    </row>
    <row r="1169" spans="1:3" x14ac:dyDescent="0.3">
      <c r="A1169" s="3">
        <v>1143</v>
      </c>
      <c r="B1169" s="3">
        <v>1.118493003086354</v>
      </c>
      <c r="C1169" s="3">
        <v>-2.3930030863539287E-3</v>
      </c>
    </row>
    <row r="1170" spans="1:3" x14ac:dyDescent="0.3">
      <c r="A1170" s="3">
        <v>1144</v>
      </c>
      <c r="B1170" s="3">
        <v>1.1161425543481489</v>
      </c>
      <c r="C1170" s="3">
        <v>2.2574456518511532E-3</v>
      </c>
    </row>
    <row r="1171" spans="1:3" x14ac:dyDescent="0.3">
      <c r="A1171" s="3">
        <v>1145</v>
      </c>
      <c r="B1171" s="3">
        <v>1.1180210523719454</v>
      </c>
      <c r="C1171" s="3">
        <v>-6.0210523719452791E-3</v>
      </c>
    </row>
    <row r="1172" spans="1:3" x14ac:dyDescent="0.3">
      <c r="A1172" s="3">
        <v>1146</v>
      </c>
      <c r="B1172" s="3">
        <v>1.1128625841731508</v>
      </c>
      <c r="C1172" s="3">
        <v>-5.1625841731508526E-3</v>
      </c>
    </row>
    <row r="1173" spans="1:3" x14ac:dyDescent="0.3">
      <c r="A1173" s="3">
        <v>1147</v>
      </c>
      <c r="B1173" s="3">
        <v>1.1094166164539596</v>
      </c>
      <c r="C1173" s="3">
        <v>-4.7166164539595989E-3</v>
      </c>
    </row>
    <row r="1174" spans="1:3" x14ac:dyDescent="0.3">
      <c r="A1174" s="3">
        <v>1148</v>
      </c>
      <c r="B1174" s="3">
        <v>1.1069847331847853</v>
      </c>
      <c r="C1174" s="3">
        <v>1.152668152146763E-4</v>
      </c>
    </row>
    <row r="1175" spans="1:3" x14ac:dyDescent="0.3">
      <c r="A1175" s="3">
        <v>1149</v>
      </c>
      <c r="B1175" s="3">
        <v>1.1089019804319924</v>
      </c>
      <c r="C1175" s="3">
        <v>-4.6019804319923363E-3</v>
      </c>
    </row>
    <row r="1176" spans="1:3" x14ac:dyDescent="0.3">
      <c r="A1176" s="3">
        <v>1150</v>
      </c>
      <c r="B1176" s="3">
        <v>1.1066382625252142</v>
      </c>
      <c r="C1176" s="3">
        <v>1.5617374747858292E-3</v>
      </c>
    </row>
    <row r="1177" spans="1:3" x14ac:dyDescent="0.3">
      <c r="A1177" s="3">
        <v>1151</v>
      </c>
      <c r="B1177" s="3">
        <v>1.1097848062924676</v>
      </c>
      <c r="C1177" s="3">
        <v>1.2151937075324248E-3</v>
      </c>
    </row>
    <row r="1178" spans="1:3" x14ac:dyDescent="0.3">
      <c r="A1178" s="3">
        <v>1152</v>
      </c>
      <c r="B1178" s="3">
        <v>1.1120243758431294</v>
      </c>
      <c r="C1178" s="3">
        <v>-3.7243758431293461E-3</v>
      </c>
    </row>
    <row r="1179" spans="1:3" x14ac:dyDescent="0.3">
      <c r="A1179" s="3">
        <v>1153</v>
      </c>
      <c r="B1179" s="3">
        <v>1.1098646169120847</v>
      </c>
      <c r="C1179" s="3">
        <v>-6.4646169120847752E-3</v>
      </c>
    </row>
    <row r="1180" spans="1:3" x14ac:dyDescent="0.3">
      <c r="A1180" s="3">
        <v>1154</v>
      </c>
      <c r="B1180" s="3">
        <v>1.1059354145305353</v>
      </c>
      <c r="C1180" s="3">
        <v>-4.0354145305352418E-3</v>
      </c>
    </row>
    <row r="1181" spans="1:3" x14ac:dyDescent="0.3">
      <c r="A1181" s="3">
        <v>1155</v>
      </c>
      <c r="B1181" s="3">
        <v>1.1047230055539119</v>
      </c>
      <c r="C1181" s="3">
        <v>-3.6230055539119288E-3</v>
      </c>
    </row>
    <row r="1182" spans="1:3" x14ac:dyDescent="0.3">
      <c r="A1182" s="3">
        <v>1156</v>
      </c>
      <c r="B1182" s="3">
        <v>1.1040637205818533</v>
      </c>
      <c r="C1182" s="3">
        <v>3.336279418146626E-3</v>
      </c>
    </row>
    <row r="1183" spans="1:3" x14ac:dyDescent="0.3">
      <c r="A1183" s="3">
        <v>1157</v>
      </c>
      <c r="B1183" s="3">
        <v>1.1091256041512352</v>
      </c>
      <c r="C1183" s="3">
        <v>-1.5256041512352603E-3</v>
      </c>
    </row>
    <row r="1184" spans="1:3" x14ac:dyDescent="0.3">
      <c r="A1184" s="3">
        <v>1158</v>
      </c>
      <c r="B1184" s="3">
        <v>1.1092795450379933</v>
      </c>
      <c r="C1184" s="3">
        <v>3.9204549620066587E-3</v>
      </c>
    </row>
    <row r="1185" spans="1:3" x14ac:dyDescent="0.3">
      <c r="A1185" s="3">
        <v>1159</v>
      </c>
      <c r="B1185" s="3">
        <v>1.1138047284671426</v>
      </c>
      <c r="C1185" s="3">
        <v>-2.5047284671426695E-3</v>
      </c>
    </row>
    <row r="1186" spans="1:3" x14ac:dyDescent="0.3">
      <c r="A1186" s="3">
        <v>1160</v>
      </c>
      <c r="B1186" s="3">
        <v>1.1122737350532161</v>
      </c>
      <c r="C1186" s="3">
        <v>-4.7373505321623988E-4</v>
      </c>
    </row>
    <row r="1187" spans="1:3" x14ac:dyDescent="0.3">
      <c r="A1187" s="3">
        <v>1161</v>
      </c>
      <c r="B1187" s="3">
        <v>1.1126964064835927</v>
      </c>
      <c r="C1187" s="3">
        <v>3.4035935164073994E-3</v>
      </c>
    </row>
    <row r="1188" spans="1:3" x14ac:dyDescent="0.3">
      <c r="A1188" s="3">
        <v>1162</v>
      </c>
      <c r="B1188" s="3">
        <v>1.1161476328589279</v>
      </c>
      <c r="C1188" s="3">
        <v>5.2367141072151568E-5</v>
      </c>
    </row>
    <row r="1189" spans="1:3" x14ac:dyDescent="0.3">
      <c r="A1189" s="3">
        <v>1163</v>
      </c>
      <c r="B1189" s="3">
        <v>1.1162269516997194</v>
      </c>
      <c r="C1189" s="3">
        <v>-5.0269516997194508E-3</v>
      </c>
    </row>
    <row r="1190" spans="1:3" x14ac:dyDescent="0.3">
      <c r="A1190" s="3">
        <v>1164</v>
      </c>
      <c r="B1190" s="3">
        <v>1.112220661436562</v>
      </c>
      <c r="C1190" s="3">
        <v>5.7793385634381522E-3</v>
      </c>
    </row>
    <row r="1191" spans="1:3" x14ac:dyDescent="0.3">
      <c r="A1191" s="3">
        <v>1165</v>
      </c>
      <c r="B1191" s="3">
        <v>1.1176929309762518</v>
      </c>
      <c r="C1191" s="3">
        <v>-4.4929309762518077E-3</v>
      </c>
    </row>
    <row r="1192" spans="1:3" x14ac:dyDescent="0.3">
      <c r="A1192" s="3">
        <v>1166</v>
      </c>
      <c r="B1192" s="3">
        <v>1.1138109987806724</v>
      </c>
      <c r="C1192" s="3">
        <v>3.7890012193275702E-3</v>
      </c>
    </row>
    <row r="1193" spans="1:3" x14ac:dyDescent="0.3">
      <c r="A1193" s="3">
        <v>1167</v>
      </c>
      <c r="B1193" s="3">
        <v>1.1173761404503988</v>
      </c>
      <c r="C1193" s="3">
        <v>-1.0761404503987215E-3</v>
      </c>
    </row>
    <row r="1194" spans="1:3" x14ac:dyDescent="0.3">
      <c r="A1194" s="3">
        <v>1168</v>
      </c>
      <c r="B1194" s="3">
        <v>1.1163112158278159</v>
      </c>
      <c r="C1194" s="3">
        <v>-2.9112158278159495E-3</v>
      </c>
    </row>
    <row r="1195" spans="1:3" x14ac:dyDescent="0.3">
      <c r="A1195" s="3">
        <v>1169</v>
      </c>
      <c r="B1195" s="3">
        <v>1.113995034822971</v>
      </c>
      <c r="C1195" s="3">
        <v>-7.2950348229710027E-3</v>
      </c>
    </row>
    <row r="1196" spans="1:3" x14ac:dyDescent="0.3">
      <c r="A1196" s="3">
        <v>1170</v>
      </c>
      <c r="B1196" s="3">
        <v>1.1086042409293206</v>
      </c>
      <c r="C1196" s="3">
        <v>-4.1042409293206017E-3</v>
      </c>
    </row>
    <row r="1197" spans="1:3" x14ac:dyDescent="0.3">
      <c r="A1197" s="3">
        <v>1171</v>
      </c>
      <c r="B1197" s="3">
        <v>1.1068293774994635</v>
      </c>
      <c r="C1197" s="3">
        <v>-3.7293774994635598E-3</v>
      </c>
    </row>
    <row r="1198" spans="1:3" x14ac:dyDescent="0.3">
      <c r="A1198" s="3">
        <v>1172</v>
      </c>
      <c r="B1198" s="3">
        <v>1.1056818169985809</v>
      </c>
      <c r="C1198" s="3">
        <v>-8.0818169985810151E-3</v>
      </c>
    </row>
    <row r="1199" spans="1:3" x14ac:dyDescent="0.3">
      <c r="A1199" s="3">
        <v>1173</v>
      </c>
      <c r="B1199" s="3">
        <v>1.1012519861487124</v>
      </c>
      <c r="C1199" s="3">
        <v>-3.8519861487125162E-3</v>
      </c>
    </row>
    <row r="1200" spans="1:3" x14ac:dyDescent="0.3">
      <c r="A1200" s="3">
        <v>1174</v>
      </c>
      <c r="B1200" s="3">
        <v>1.1010899306443271</v>
      </c>
      <c r="C1200" s="3">
        <v>-3.0899306443270547E-3</v>
      </c>
    </row>
    <row r="1201" spans="1:3" x14ac:dyDescent="0.3">
      <c r="A1201" s="3">
        <v>1175</v>
      </c>
      <c r="B1201" s="3">
        <v>1.101553617298545</v>
      </c>
      <c r="C1201" s="3">
        <v>-7.653617298544857E-3</v>
      </c>
    </row>
    <row r="1202" spans="1:3" x14ac:dyDescent="0.3">
      <c r="A1202" s="3">
        <v>1176</v>
      </c>
      <c r="B1202" s="3">
        <v>1.0982552662891787</v>
      </c>
      <c r="C1202" s="3">
        <v>-4.7552662891787723E-3</v>
      </c>
    </row>
    <row r="1203" spans="1:3" x14ac:dyDescent="0.3">
      <c r="A1203" s="3">
        <v>1177</v>
      </c>
      <c r="B1203" s="3">
        <v>1.0979383468782973</v>
      </c>
      <c r="C1203" s="3">
        <v>-4.2383468782973832E-3</v>
      </c>
    </row>
    <row r="1204" spans="1:3" x14ac:dyDescent="0.3">
      <c r="A1204" s="3">
        <v>1178</v>
      </c>
      <c r="B1204" s="3">
        <v>1.0980853096183993</v>
      </c>
      <c r="C1204" s="3">
        <v>-7.1853096183993603E-3</v>
      </c>
    </row>
    <row r="1205" spans="1:3" x14ac:dyDescent="0.3">
      <c r="A1205" s="3">
        <v>1179</v>
      </c>
      <c r="B1205" s="3">
        <v>1.0958320065032361</v>
      </c>
      <c r="C1205" s="3">
        <v>-6.832006503236121E-3</v>
      </c>
    </row>
    <row r="1206" spans="1:3" x14ac:dyDescent="0.3">
      <c r="A1206" s="3">
        <v>1180</v>
      </c>
      <c r="B1206" s="3">
        <v>1.0943065355893344</v>
      </c>
      <c r="C1206" s="3">
        <v>-8.2065355893343739E-3</v>
      </c>
    </row>
    <row r="1207" spans="1:3" x14ac:dyDescent="0.3">
      <c r="A1207" s="3">
        <v>1181</v>
      </c>
      <c r="B1207" s="3">
        <v>1.0919659134170694</v>
      </c>
      <c r="C1207" s="3">
        <v>-8.8659134170694376E-3</v>
      </c>
    </row>
    <row r="1208" spans="1:3" x14ac:dyDescent="0.3">
      <c r="A1208" s="3">
        <v>1182</v>
      </c>
      <c r="B1208" s="3">
        <v>1.0895486320010415</v>
      </c>
      <c r="C1208" s="3">
        <v>-2.9486320010414513E-3</v>
      </c>
    </row>
    <row r="1209" spans="1:3" x14ac:dyDescent="0.3">
      <c r="A1209" s="3">
        <v>1183</v>
      </c>
      <c r="B1209" s="3">
        <v>1.0923553409191176</v>
      </c>
      <c r="C1209" s="3">
        <v>-1.0855340919117662E-2</v>
      </c>
    </row>
    <row r="1210" spans="1:3" x14ac:dyDescent="0.3">
      <c r="A1210" s="3">
        <v>1184</v>
      </c>
      <c r="B1210" s="3">
        <v>1.0882412136490889</v>
      </c>
      <c r="C1210" s="3">
        <v>-8.5412136490887747E-3</v>
      </c>
    </row>
    <row r="1211" spans="1:3" x14ac:dyDescent="0.3">
      <c r="A1211" s="3">
        <v>1185</v>
      </c>
      <c r="B1211" s="3">
        <v>1.0868090589843604</v>
      </c>
      <c r="C1211" s="3">
        <v>-8.7090589843603627E-3</v>
      </c>
    </row>
    <row r="1212" spans="1:3" x14ac:dyDescent="0.3">
      <c r="A1212" s="3">
        <v>1186</v>
      </c>
      <c r="B1212" s="3">
        <v>1.0855059122601438</v>
      </c>
      <c r="C1212" s="3">
        <v>-2.8059122601438169E-3</v>
      </c>
    </row>
    <row r="1213" spans="1:3" x14ac:dyDescent="0.3">
      <c r="A1213" s="3">
        <v>1187</v>
      </c>
      <c r="B1213" s="3">
        <v>1.0892001276144303</v>
      </c>
      <c r="C1213" s="3">
        <v>-9.9001276144303763E-3</v>
      </c>
    </row>
    <row r="1214" spans="1:3" x14ac:dyDescent="0.3">
      <c r="A1214" s="3">
        <v>1188</v>
      </c>
      <c r="B1214" s="3">
        <v>1.0864572656599754</v>
      </c>
      <c r="C1214" s="3">
        <v>-5.2572656599754186E-3</v>
      </c>
    </row>
    <row r="1215" spans="1:3" x14ac:dyDescent="0.3">
      <c r="A1215" s="3">
        <v>1189</v>
      </c>
      <c r="B1215" s="3">
        <v>1.0880033697926532</v>
      </c>
      <c r="C1215" s="3">
        <v>-6.2033697926531239E-3</v>
      </c>
    </row>
    <row r="1216" spans="1:3" x14ac:dyDescent="0.3">
      <c r="A1216" s="3">
        <v>1190</v>
      </c>
      <c r="B1216" s="3">
        <v>1.0884729195477798</v>
      </c>
      <c r="C1216" s="3">
        <v>-2.9729195477798953E-3</v>
      </c>
    </row>
    <row r="1217" spans="1:3" x14ac:dyDescent="0.3">
      <c r="A1217" s="3">
        <v>1191</v>
      </c>
      <c r="B1217" s="3">
        <v>1.091454661044347</v>
      </c>
      <c r="C1217" s="3">
        <v>-3.1546610443469181E-3</v>
      </c>
    </row>
    <row r="1218" spans="1:3" x14ac:dyDescent="0.3">
      <c r="A1218" s="3">
        <v>1192</v>
      </c>
      <c r="B1218" s="3">
        <v>1.0937060900202999</v>
      </c>
      <c r="C1218" s="3">
        <v>-1.0306090020300029E-2</v>
      </c>
    </row>
    <row r="1219" spans="1:3" x14ac:dyDescent="0.3">
      <c r="A1219" s="3">
        <v>1193</v>
      </c>
      <c r="B1219" s="3">
        <v>1.0897763761700787</v>
      </c>
      <c r="C1219" s="3">
        <v>-2.0763761700788308E-3</v>
      </c>
    </row>
    <row r="1220" spans="1:3" x14ac:dyDescent="0.3">
      <c r="A1220" s="3">
        <v>1194</v>
      </c>
      <c r="B1220" s="3">
        <v>1.0932473648724768</v>
      </c>
      <c r="C1220" s="3">
        <v>-2.4736487247678518E-4</v>
      </c>
    </row>
    <row r="1221" spans="1:3" x14ac:dyDescent="0.3">
      <c r="A1221" s="3">
        <v>1195</v>
      </c>
      <c r="B1221" s="3">
        <v>1.0974899561761664</v>
      </c>
      <c r="C1221" s="3">
        <v>-2.4689956176166428E-2</v>
      </c>
    </row>
    <row r="1222" spans="1:3" x14ac:dyDescent="0.3">
      <c r="A1222" s="3">
        <v>1196</v>
      </c>
      <c r="B1222" s="3">
        <v>1.0812562342153023</v>
      </c>
      <c r="C1222" s="3">
        <v>-8.5623421530223176E-4</v>
      </c>
    </row>
    <row r="1223" spans="1:3" x14ac:dyDescent="0.3">
      <c r="A1223" s="3">
        <v>1197</v>
      </c>
      <c r="B1223" s="3">
        <v>1.0873998028010399</v>
      </c>
      <c r="C1223" s="3">
        <v>-1.5599802801039786E-2</v>
      </c>
    </row>
    <row r="1224" spans="1:3" x14ac:dyDescent="0.3">
      <c r="A1224" s="3">
        <v>1198</v>
      </c>
      <c r="B1224" s="3">
        <v>1.0804089106232235</v>
      </c>
      <c r="C1224" s="3">
        <v>-1.5008910623223626E-2</v>
      </c>
    </row>
    <row r="1225" spans="1:3" x14ac:dyDescent="0.3">
      <c r="A1225" s="3">
        <v>1199</v>
      </c>
      <c r="B1225" s="3">
        <v>1.0752938271552253</v>
      </c>
      <c r="C1225" s="3">
        <v>-1.2993827155225235E-2</v>
      </c>
    </row>
    <row r="1226" spans="1:3" x14ac:dyDescent="0.3">
      <c r="A1226" s="3">
        <v>1200</v>
      </c>
      <c r="B1226" s="3">
        <v>1.0727753147076076</v>
      </c>
      <c r="C1226" s="3">
        <v>-1.6475314707607547E-2</v>
      </c>
    </row>
    <row r="1227" spans="1:3" x14ac:dyDescent="0.3">
      <c r="A1227" s="3">
        <v>1201</v>
      </c>
      <c r="B1227" s="3">
        <v>1.0679300083636971</v>
      </c>
      <c r="C1227" s="3">
        <v>-1.4930008363697178E-2</v>
      </c>
    </row>
    <row r="1228" spans="1:3" x14ac:dyDescent="0.3">
      <c r="A1228" s="3">
        <v>1202</v>
      </c>
      <c r="B1228" s="3">
        <v>1.065269362326587</v>
      </c>
      <c r="C1228" s="3">
        <v>-1.116936232658694E-2</v>
      </c>
    </row>
    <row r="1229" spans="1:3" x14ac:dyDescent="0.3">
      <c r="A1229" s="3">
        <v>1203</v>
      </c>
      <c r="B1229" s="3">
        <v>1.0661354680406707</v>
      </c>
      <c r="C1229" s="3">
        <v>-6.2354680406706553E-3</v>
      </c>
    </row>
    <row r="1230" spans="1:3" x14ac:dyDescent="0.3">
      <c r="A1230" s="3">
        <v>1204</v>
      </c>
      <c r="B1230" s="3">
        <v>1.0707877878741887</v>
      </c>
      <c r="C1230" s="3">
        <v>-1.1287787874188604E-2</v>
      </c>
    </row>
    <row r="1231" spans="1:3" x14ac:dyDescent="0.3">
      <c r="A1231" s="3">
        <v>1205</v>
      </c>
      <c r="B1231" s="3">
        <v>1.0704660844992104</v>
      </c>
      <c r="C1231" s="3">
        <v>-1.616608449921042E-2</v>
      </c>
    </row>
    <row r="1232" spans="1:3" x14ac:dyDescent="0.3">
      <c r="A1232" s="3">
        <v>1206</v>
      </c>
      <c r="B1232" s="3">
        <v>1.0663044547698211</v>
      </c>
      <c r="C1232" s="3">
        <v>-1.9004454769821155E-2</v>
      </c>
    </row>
    <row r="1233" spans="1:3" x14ac:dyDescent="0.3">
      <c r="A1233" s="3">
        <v>1207</v>
      </c>
      <c r="B1233" s="3">
        <v>1.0606770140286197</v>
      </c>
      <c r="C1233" s="3">
        <v>-1.8977014028619621E-2</v>
      </c>
    </row>
    <row r="1234" spans="1:3" x14ac:dyDescent="0.3">
      <c r="A1234" s="3">
        <v>1208</v>
      </c>
      <c r="B1234" s="3">
        <v>1.0561600955273507</v>
      </c>
      <c r="C1234" s="3">
        <v>-6.7600955273505736E-3</v>
      </c>
    </row>
    <row r="1235" spans="1:3" x14ac:dyDescent="0.3">
      <c r="A1235" s="3">
        <v>1209</v>
      </c>
      <c r="B1235" s="3">
        <v>1.0623320590827976</v>
      </c>
      <c r="C1235" s="3">
        <v>-1.3732059082797621E-2</v>
      </c>
    </row>
    <row r="1236" spans="1:3" x14ac:dyDescent="0.3">
      <c r="A1236" s="3">
        <v>1210</v>
      </c>
      <c r="B1236" s="3">
        <v>1.0616643110830257</v>
      </c>
      <c r="C1236" s="3">
        <v>-5.2643110830257189E-3</v>
      </c>
    </row>
    <row r="1237" spans="1:3" x14ac:dyDescent="0.3">
      <c r="A1237" s="3">
        <v>1211</v>
      </c>
      <c r="B1237" s="3">
        <v>1.0679642461437819</v>
      </c>
      <c r="C1237" s="3">
        <v>-1.2664246143782032E-2</v>
      </c>
    </row>
    <row r="1238" spans="1:3" x14ac:dyDescent="0.3">
      <c r="A1238" s="3">
        <v>1212</v>
      </c>
      <c r="B1238" s="3">
        <v>1.0670717260731517</v>
      </c>
      <c r="C1238" s="3">
        <v>-9.5717260731515985E-3</v>
      </c>
    </row>
    <row r="1239" spans="1:3" x14ac:dyDescent="0.3">
      <c r="A1239" s="3">
        <v>1213</v>
      </c>
      <c r="B1239" s="3">
        <v>1.0688686195658803</v>
      </c>
      <c r="C1239" s="3">
        <v>-1.9168619565880229E-2</v>
      </c>
    </row>
    <row r="1240" spans="1:3" x14ac:dyDescent="0.3">
      <c r="A1240" s="3">
        <v>1214</v>
      </c>
      <c r="B1240" s="3">
        <v>1.0625905300841858</v>
      </c>
      <c r="C1240" s="3">
        <v>-1.1690530084185857E-2</v>
      </c>
    </row>
    <row r="1241" spans="1:3" x14ac:dyDescent="0.3">
      <c r="A1241" s="3">
        <v>1215</v>
      </c>
      <c r="B1241" s="3">
        <v>1.0635683004436312</v>
      </c>
      <c r="C1241" s="3">
        <v>-1.256830044363122E-2</v>
      </c>
    </row>
    <row r="1242" spans="1:3" x14ac:dyDescent="0.3">
      <c r="A1242" s="3">
        <v>1216</v>
      </c>
      <c r="B1242" s="3">
        <v>1.0636210273855782</v>
      </c>
      <c r="C1242" s="3">
        <v>-5.0210273855781917E-3</v>
      </c>
    </row>
    <row r="1243" spans="1:3" x14ac:dyDescent="0.3">
      <c r="A1243" s="3">
        <v>1217</v>
      </c>
      <c r="B1243" s="3">
        <v>1.0697371074170894</v>
      </c>
      <c r="C1243" s="3">
        <v>-1.2937107417089422E-2</v>
      </c>
    </row>
    <row r="1244" spans="1:3" x14ac:dyDescent="0.3">
      <c r="A1244" s="3">
        <v>1218</v>
      </c>
      <c r="B1244" s="3">
        <v>1.0682848753210807</v>
      </c>
      <c r="C1244" s="3">
        <v>-1.3084875321080824E-2</v>
      </c>
    </row>
    <row r="1245" spans="1:3" x14ac:dyDescent="0.3">
      <c r="A1245" s="3">
        <v>1219</v>
      </c>
      <c r="B1245" s="3">
        <v>1.0670255358916823</v>
      </c>
      <c r="C1245" s="3">
        <v>-1.4425535891682273E-2</v>
      </c>
    </row>
    <row r="1246" spans="1:3" x14ac:dyDescent="0.3">
      <c r="A1246" s="3">
        <v>1220</v>
      </c>
      <c r="B1246" s="3">
        <v>1.0649294292951825</v>
      </c>
      <c r="C1246" s="3">
        <v>-1.5529429295182418E-2</v>
      </c>
    </row>
    <row r="1247" spans="1:3" x14ac:dyDescent="0.3">
      <c r="A1247" s="3">
        <v>1221</v>
      </c>
      <c r="B1247" s="3">
        <v>1.0623521431885881</v>
      </c>
      <c r="C1247" s="3">
        <v>-1.5652143188588097E-2</v>
      </c>
    </row>
    <row r="1248" spans="1:3" x14ac:dyDescent="0.3">
      <c r="A1248" s="3">
        <v>1222</v>
      </c>
      <c r="B1248" s="3">
        <v>1.0601739078440151</v>
      </c>
      <c r="C1248" s="3">
        <v>-9.9739078440150841E-3</v>
      </c>
    </row>
    <row r="1249" spans="1:3" x14ac:dyDescent="0.3">
      <c r="A1249" s="3">
        <v>1223</v>
      </c>
      <c r="B1249" s="3">
        <v>1.0629793847119597</v>
      </c>
      <c r="C1249" s="3">
        <v>-1.1979384711959806E-2</v>
      </c>
    </row>
    <row r="1250" spans="1:3" x14ac:dyDescent="0.3">
      <c r="A1250" s="3">
        <v>1224</v>
      </c>
      <c r="B1250" s="3">
        <v>1.0636111394140351</v>
      </c>
      <c r="C1250" s="3">
        <v>-1.4711139414035124E-2</v>
      </c>
    </row>
    <row r="1251" spans="1:3" x14ac:dyDescent="0.3">
      <c r="A1251" s="3">
        <v>1225</v>
      </c>
      <c r="B1251" s="3">
        <v>1.0619338424358638</v>
      </c>
      <c r="C1251" s="3">
        <v>-2.6733842435863853E-2</v>
      </c>
    </row>
    <row r="1252" spans="1:3" x14ac:dyDescent="0.3">
      <c r="A1252" s="3">
        <v>1226</v>
      </c>
      <c r="B1252" s="3">
        <v>1.0509202866413689</v>
      </c>
      <c r="C1252" s="3">
        <v>-1.4720286641368929E-2</v>
      </c>
    </row>
    <row r="1253" spans="1:3" x14ac:dyDescent="0.3">
      <c r="A1253" s="3">
        <v>1227</v>
      </c>
      <c r="B1253" s="3">
        <v>1.0517262612320719</v>
      </c>
      <c r="C1253" s="3">
        <v>-8.8262612320719747E-3</v>
      </c>
    </row>
    <row r="1254" spans="1:3" x14ac:dyDescent="0.3">
      <c r="A1254" s="3">
        <v>1228</v>
      </c>
      <c r="B1254" s="3">
        <v>1.0570665633632415</v>
      </c>
      <c r="C1254" s="3">
        <v>-1.6566563363241471E-2</v>
      </c>
    </row>
    <row r="1255" spans="1:3" x14ac:dyDescent="0.3">
      <c r="A1255" s="3">
        <v>1229</v>
      </c>
      <c r="B1255" s="3">
        <v>1.0551355005883953</v>
      </c>
      <c r="C1255" s="3">
        <v>-1.5435500588395268E-2</v>
      </c>
    </row>
    <row r="1256" spans="1:3" x14ac:dyDescent="0.3">
      <c r="A1256" s="3">
        <v>1230</v>
      </c>
      <c r="B1256" s="3">
        <v>1.0545168202749637</v>
      </c>
      <c r="C1256" s="3">
        <v>-1.4116820274963748E-2</v>
      </c>
    </row>
    <row r="1257" spans="1:3" x14ac:dyDescent="0.3">
      <c r="A1257" s="3">
        <v>1231</v>
      </c>
      <c r="B1257" s="3">
        <v>1.0550720156508819</v>
      </c>
      <c r="C1257" s="3">
        <v>-1.2872015650881918E-2</v>
      </c>
    </row>
    <row r="1258" spans="1:3" x14ac:dyDescent="0.3">
      <c r="A1258" s="3">
        <v>1232</v>
      </c>
      <c r="B1258" s="3">
        <v>1.0565163764156091</v>
      </c>
      <c r="C1258" s="3">
        <v>-1.3816376415609177E-2</v>
      </c>
    </row>
    <row r="1259" spans="1:3" x14ac:dyDescent="0.3">
      <c r="A1259" s="3">
        <v>1233</v>
      </c>
      <c r="B1259" s="3">
        <v>1.0569197132890782</v>
      </c>
      <c r="C1259" s="3">
        <v>-1.621971328907823E-2</v>
      </c>
    </row>
    <row r="1260" spans="1:3" x14ac:dyDescent="0.3">
      <c r="A1260" s="3">
        <v>1234</v>
      </c>
      <c r="B1260" s="3">
        <v>1.0553171707126583</v>
      </c>
      <c r="C1260" s="3">
        <v>-2.0017170712658183E-2</v>
      </c>
    </row>
    <row r="1261" spans="1:3" x14ac:dyDescent="0.3">
      <c r="A1261" s="3">
        <v>1235</v>
      </c>
      <c r="B1261" s="3">
        <v>1.0509774688271734</v>
      </c>
      <c r="C1261" s="3">
        <v>-2.4477468827173388E-2</v>
      </c>
    </row>
    <row r="1262" spans="1:3" x14ac:dyDescent="0.3">
      <c r="A1262" s="3">
        <v>1236</v>
      </c>
      <c r="B1262" s="3">
        <v>1.0438970600571029</v>
      </c>
      <c r="C1262" s="3">
        <v>-1.3097060057102983E-2</v>
      </c>
    </row>
    <row r="1263" spans="1:3" x14ac:dyDescent="0.3">
      <c r="A1263" s="3">
        <v>1237</v>
      </c>
      <c r="B1263" s="3">
        <v>1.0473423277523688</v>
      </c>
      <c r="C1263" s="3">
        <v>-8.3423277523688721E-3</v>
      </c>
    </row>
    <row r="1264" spans="1:3" x14ac:dyDescent="0.3">
      <c r="A1264" s="3">
        <v>1238</v>
      </c>
      <c r="B1264" s="3">
        <v>1.0539036794301722</v>
      </c>
      <c r="C1264" s="3">
        <v>-2.0003679430172117E-2</v>
      </c>
    </row>
    <row r="1265" spans="1:3" x14ac:dyDescent="0.3">
      <c r="A1265" s="3">
        <v>1239</v>
      </c>
      <c r="B1265" s="3">
        <v>1.0498116427609288</v>
      </c>
      <c r="C1265" s="3">
        <v>-1.8011642760928703E-2</v>
      </c>
    </row>
    <row r="1266" spans="1:3" x14ac:dyDescent="0.3">
      <c r="A1266" s="3">
        <v>1240</v>
      </c>
      <c r="B1266" s="3">
        <v>1.0481544368300604</v>
      </c>
      <c r="C1266" s="3">
        <v>-1.8354436830060328E-2</v>
      </c>
    </row>
    <row r="1267" spans="1:3" x14ac:dyDescent="0.3">
      <c r="A1267" s="3">
        <v>1241</v>
      </c>
      <c r="B1267" s="3">
        <v>1.0465298027851659</v>
      </c>
      <c r="C1267" s="3">
        <v>-2.2129802785165964E-2</v>
      </c>
    </row>
    <row r="1268" spans="1:3" x14ac:dyDescent="0.3">
      <c r="A1268" s="3">
        <v>1242</v>
      </c>
      <c r="B1268" s="3">
        <v>1.0421811324771195</v>
      </c>
      <c r="C1268" s="3">
        <v>-1.7781132477119543E-2</v>
      </c>
    </row>
    <row r="1269" spans="1:3" x14ac:dyDescent="0.3">
      <c r="A1269" s="3">
        <v>1243</v>
      </c>
      <c r="B1269" s="3">
        <v>1.0421777838691213</v>
      </c>
      <c r="C1269" s="3">
        <v>-1.147778386912135E-2</v>
      </c>
    </row>
    <row r="1270" spans="1:3" x14ac:dyDescent="0.3">
      <c r="A1270" s="3">
        <v>1244</v>
      </c>
      <c r="B1270" s="3">
        <v>1.0472256888522784</v>
      </c>
      <c r="C1270" s="3">
        <v>-1.8325688852278477E-2</v>
      </c>
    </row>
    <row r="1271" spans="1:3" x14ac:dyDescent="0.3">
      <c r="A1271" s="3">
        <v>1245</v>
      </c>
      <c r="B1271" s="3">
        <v>1.0457739664895633</v>
      </c>
      <c r="C1271" s="3">
        <v>-1.5973966489563285E-2</v>
      </c>
    </row>
    <row r="1272" spans="1:3" x14ac:dyDescent="0.3">
      <c r="A1272" s="3">
        <v>1246</v>
      </c>
      <c r="B1272" s="3">
        <v>1.0465206713040185</v>
      </c>
      <c r="C1272" s="3">
        <v>-1.9420671304018589E-2</v>
      </c>
    </row>
    <row r="1273" spans="1:3" x14ac:dyDescent="0.3">
      <c r="A1273" s="3">
        <v>1247</v>
      </c>
      <c r="B1273" s="3">
        <v>1.0443424999681155</v>
      </c>
      <c r="C1273" s="3">
        <v>-2.942499968115353E-3</v>
      </c>
    </row>
    <row r="1274" spans="1:3" x14ac:dyDescent="0.3">
      <c r="A1274" s="3">
        <v>1248</v>
      </c>
      <c r="B1274" s="3">
        <v>1.0558476022747398</v>
      </c>
      <c r="C1274" s="3">
        <v>-1.29476022747399E-2</v>
      </c>
    </row>
    <row r="1275" spans="1:3" x14ac:dyDescent="0.3">
      <c r="A1275" s="3">
        <v>1249</v>
      </c>
      <c r="B1275" s="3">
        <v>1.0570352045870786</v>
      </c>
      <c r="C1275" s="3">
        <v>-1.63352045870786E-2</v>
      </c>
    </row>
    <row r="1276" spans="1:3" x14ac:dyDescent="0.3">
      <c r="A1276" s="3">
        <v>1250</v>
      </c>
      <c r="B1276" s="3">
        <v>1.0553142797099284</v>
      </c>
      <c r="C1276" s="3">
        <v>-1.3814279709928323E-2</v>
      </c>
    </row>
    <row r="1277" spans="1:3" x14ac:dyDescent="0.3">
      <c r="A1277" s="3">
        <v>1251</v>
      </c>
      <c r="B1277" s="3">
        <v>1.0559642692745648</v>
      </c>
      <c r="C1277" s="3">
        <v>-6.6642692745648713E-3</v>
      </c>
    </row>
    <row r="1278" spans="1:3" x14ac:dyDescent="0.3">
      <c r="A1278" s="3">
        <v>1252</v>
      </c>
      <c r="B1278" s="3">
        <v>1.0622290034369557</v>
      </c>
      <c r="C1278" s="3">
        <v>-1.3129003436955777E-2</v>
      </c>
    </row>
    <row r="1279" spans="1:3" x14ac:dyDescent="0.3">
      <c r="A1279" s="3">
        <v>1253</v>
      </c>
      <c r="B1279" s="3">
        <v>1.0620657926394421</v>
      </c>
      <c r="C1279" s="3">
        <v>-1.926579263944217E-2</v>
      </c>
    </row>
    <row r="1280" spans="1:3" x14ac:dyDescent="0.3">
      <c r="A1280" s="3">
        <v>1254</v>
      </c>
      <c r="B1280" s="3">
        <v>1.0570262976882834</v>
      </c>
      <c r="C1280" s="3">
        <v>-1.5026297688283341E-2</v>
      </c>
    </row>
    <row r="1281" spans="1:3" x14ac:dyDescent="0.3">
      <c r="A1281" s="3">
        <v>1255</v>
      </c>
      <c r="B1281" s="3">
        <v>1.0563863805790001</v>
      </c>
      <c r="C1281" s="3">
        <v>-1.7386380579000216E-2</v>
      </c>
    </row>
    <row r="1282" spans="1:3" x14ac:dyDescent="0.3">
      <c r="A1282" s="3">
        <v>1256</v>
      </c>
      <c r="B1282" s="3">
        <v>1.0539525412074782</v>
      </c>
      <c r="C1282" s="3">
        <v>-1.7752541207478156E-2</v>
      </c>
    </row>
    <row r="1283" spans="1:3" x14ac:dyDescent="0.3">
      <c r="A1283" s="3">
        <v>1257</v>
      </c>
      <c r="B1283" s="3">
        <v>1.0516999621445311</v>
      </c>
      <c r="C1283" s="3">
        <v>-1.7299962144531111E-2</v>
      </c>
    </row>
    <row r="1284" spans="1:3" x14ac:dyDescent="0.3">
      <c r="A1284" s="3">
        <v>1258</v>
      </c>
      <c r="B1284" s="3">
        <v>1.0502438743102978</v>
      </c>
      <c r="C1284" s="3">
        <v>-1.2543874310297687E-2</v>
      </c>
    </row>
    <row r="1285" spans="1:3" x14ac:dyDescent="0.3">
      <c r="A1285" s="3">
        <v>1259</v>
      </c>
      <c r="B1285" s="3">
        <v>1.0528892969627177</v>
      </c>
      <c r="C1285" s="3">
        <v>-1.26892969627177E-2</v>
      </c>
    </row>
    <row r="1286" spans="1:3" x14ac:dyDescent="0.3">
      <c r="A1286" s="3">
        <v>1260</v>
      </c>
      <c r="B1286" s="3">
        <v>1.0548914469563435</v>
      </c>
      <c r="C1286" s="3">
        <v>-1.6791446956343492E-2</v>
      </c>
    </row>
    <row r="1287" spans="1:3" x14ac:dyDescent="0.3">
      <c r="A1287" s="3">
        <v>1261</v>
      </c>
      <c r="B1287" s="3">
        <v>1.0532123424506994</v>
      </c>
      <c r="C1287" s="3">
        <v>-2.0512342450699439E-2</v>
      </c>
    </row>
    <row r="1288" spans="1:3" x14ac:dyDescent="0.3">
      <c r="A1288" s="3">
        <v>1262</v>
      </c>
      <c r="B1288" s="3">
        <v>1.0488796050958475</v>
      </c>
      <c r="C1288" s="3">
        <v>-1.8279605095847584E-2</v>
      </c>
    </row>
    <row r="1289" spans="1:3" x14ac:dyDescent="0.3">
      <c r="A1289" s="3">
        <v>1263</v>
      </c>
      <c r="B1289" s="3">
        <v>1.0471870676462074</v>
      </c>
      <c r="C1289" s="3">
        <v>-1.118706764620736E-2</v>
      </c>
    </row>
    <row r="1290" spans="1:3" x14ac:dyDescent="0.3">
      <c r="A1290" s="3">
        <v>1264</v>
      </c>
      <c r="B1290" s="3">
        <v>1.0515125630105224</v>
      </c>
      <c r="C1290" s="3">
        <v>-1.3312563010522416E-2</v>
      </c>
    </row>
    <row r="1291" spans="1:3" x14ac:dyDescent="0.3">
      <c r="A1291" s="3">
        <v>1265</v>
      </c>
      <c r="B1291" s="3">
        <v>1.0532710341465381</v>
      </c>
      <c r="C1291" s="3">
        <v>-6.8710341465381131E-3</v>
      </c>
    </row>
    <row r="1292" spans="1:3" x14ac:dyDescent="0.3">
      <c r="A1292" s="3">
        <v>1266</v>
      </c>
      <c r="B1292" s="3">
        <v>1.0598827478341051</v>
      </c>
      <c r="C1292" s="3">
        <v>-1.0782747834105155E-2</v>
      </c>
    </row>
    <row r="1293" spans="1:3" x14ac:dyDescent="0.3">
      <c r="A1293" s="3">
        <v>1267</v>
      </c>
      <c r="B1293" s="3">
        <v>1.0620563162189653</v>
      </c>
      <c r="C1293" s="3">
        <v>-1.3856316218965326E-2</v>
      </c>
    </row>
    <row r="1294" spans="1:3" x14ac:dyDescent="0.3">
      <c r="A1294" s="3">
        <v>1268</v>
      </c>
      <c r="B1294" s="3">
        <v>1.0613590359108243</v>
      </c>
      <c r="C1294" s="3">
        <v>-1.6859035910824272E-2</v>
      </c>
    </row>
    <row r="1295" spans="1:3" x14ac:dyDescent="0.3">
      <c r="A1295" s="3">
        <v>1269</v>
      </c>
      <c r="B1295" s="3">
        <v>1.0583933588555472</v>
      </c>
      <c r="C1295" s="3">
        <v>-1.6293358855547169E-2</v>
      </c>
    </row>
    <row r="1296" spans="1:3" x14ac:dyDescent="0.3">
      <c r="A1296" s="3">
        <v>1270</v>
      </c>
      <c r="B1296" s="3">
        <v>1.0564625796144278</v>
      </c>
      <c r="C1296" s="3">
        <v>-6.4625796144277547E-3</v>
      </c>
    </row>
    <row r="1297" spans="1:3" x14ac:dyDescent="0.3">
      <c r="A1297" s="3">
        <v>1271</v>
      </c>
      <c r="B1297" s="3">
        <v>1.0628046646346183</v>
      </c>
      <c r="C1297" s="3">
        <v>-1.700466463461825E-2</v>
      </c>
    </row>
    <row r="1298" spans="1:3" x14ac:dyDescent="0.3">
      <c r="A1298" s="3">
        <v>1272</v>
      </c>
      <c r="B1298" s="3">
        <v>1.0594135045063056</v>
      </c>
      <c r="C1298" s="3">
        <v>-1.2813504506305584E-2</v>
      </c>
    </row>
    <row r="1299" spans="1:3" x14ac:dyDescent="0.3">
      <c r="A1299" s="3">
        <v>1273</v>
      </c>
      <c r="B1299" s="3">
        <v>1.0600868850689733</v>
      </c>
      <c r="C1299" s="3">
        <v>-8.7868850689734046E-3</v>
      </c>
    </row>
    <row r="1300" spans="1:3" x14ac:dyDescent="0.3">
      <c r="A1300" s="3">
        <v>1274</v>
      </c>
      <c r="B1300" s="3">
        <v>1.0638516651604126</v>
      </c>
      <c r="C1300" s="3">
        <v>-1.555166516041262E-2</v>
      </c>
    </row>
    <row r="1301" spans="1:3" x14ac:dyDescent="0.3">
      <c r="A1301" s="3">
        <v>1275</v>
      </c>
      <c r="B1301" s="3">
        <v>1.0614387005586339</v>
      </c>
      <c r="C1301" s="3">
        <v>-2.1738700558633806E-2</v>
      </c>
    </row>
    <row r="1302" spans="1:3" x14ac:dyDescent="0.3">
      <c r="A1302" s="3">
        <v>1276</v>
      </c>
      <c r="B1302" s="3">
        <v>1.0545406671428859</v>
      </c>
      <c r="C1302" s="3">
        <v>-1.7040667142885768E-2</v>
      </c>
    </row>
    <row r="1303" spans="1:3" x14ac:dyDescent="0.3">
      <c r="A1303" s="3">
        <v>1277</v>
      </c>
      <c r="B1303" s="3">
        <v>1.05276670791061</v>
      </c>
      <c r="C1303" s="3">
        <v>-4.1667079106100235E-3</v>
      </c>
    </row>
    <row r="1304" spans="1:3" x14ac:dyDescent="0.3">
      <c r="A1304" s="3">
        <v>1278</v>
      </c>
      <c r="B1304" s="3">
        <v>1.0616652358381418</v>
      </c>
      <c r="C1304" s="3">
        <v>7.3476416185824789E-4</v>
      </c>
    </row>
    <row r="1305" spans="1:3" x14ac:dyDescent="0.3">
      <c r="A1305" s="3">
        <v>1279</v>
      </c>
      <c r="B1305" s="3">
        <v>1.0727484666559199</v>
      </c>
      <c r="C1305" s="3">
        <v>6.251533344080018E-3</v>
      </c>
    </row>
    <row r="1306" spans="1:3" x14ac:dyDescent="0.3">
      <c r="A1306" s="3">
        <v>1280</v>
      </c>
      <c r="B1306" s="3">
        <v>1.0861275911849486</v>
      </c>
      <c r="C1306" s="3">
        <v>-7.8275911849485791E-3</v>
      </c>
    </row>
    <row r="1307" spans="1:3" x14ac:dyDescent="0.3">
      <c r="A1307" s="3">
        <v>1281</v>
      </c>
      <c r="B1307" s="3">
        <v>1.085601331332998</v>
      </c>
      <c r="C1307" s="3">
        <v>-2.4013313329980246E-3</v>
      </c>
    </row>
    <row r="1308" spans="1:3" x14ac:dyDescent="0.3">
      <c r="A1308" s="3">
        <v>1282</v>
      </c>
      <c r="B1308" s="3">
        <v>1.0895996872420564</v>
      </c>
      <c r="C1308" s="3">
        <v>-6.3996872420564177E-3</v>
      </c>
    </row>
    <row r="1309" spans="1:3" x14ac:dyDescent="0.3">
      <c r="A1309" s="3">
        <v>1283</v>
      </c>
      <c r="B1309" s="3">
        <v>1.0895940512084039</v>
      </c>
      <c r="C1309" s="3">
        <v>2.2059487915961906E-3</v>
      </c>
    </row>
    <row r="1310" spans="1:3" x14ac:dyDescent="0.3">
      <c r="A1310" s="3">
        <v>1284</v>
      </c>
      <c r="B1310" s="3">
        <v>1.0965271711211999</v>
      </c>
      <c r="C1310" s="3">
        <v>-7.9271711211998941E-3</v>
      </c>
    </row>
    <row r="1311" spans="1:3" x14ac:dyDescent="0.3">
      <c r="A1311" s="3">
        <v>1285</v>
      </c>
      <c r="B1311" s="3">
        <v>1.0939480407105078</v>
      </c>
      <c r="C1311" s="3">
        <v>-8.7480407105078317E-3</v>
      </c>
    </row>
    <row r="1312" spans="1:3" x14ac:dyDescent="0.3">
      <c r="A1312" s="3">
        <v>1286</v>
      </c>
      <c r="B1312" s="3">
        <v>1.0912454906033759</v>
      </c>
      <c r="C1312" s="3">
        <v>-3.3454906033758558E-3</v>
      </c>
    </row>
    <row r="1313" spans="1:3" x14ac:dyDescent="0.3">
      <c r="A1313" s="3">
        <v>1287</v>
      </c>
      <c r="B1313" s="3">
        <v>1.0934080585740131</v>
      </c>
      <c r="C1313" s="3">
        <v>-1.3080585740130601E-3</v>
      </c>
    </row>
    <row r="1314" spans="1:3" x14ac:dyDescent="0.3">
      <c r="A1314" s="3">
        <v>1288</v>
      </c>
      <c r="B1314" s="3">
        <v>1.0967722433521494</v>
      </c>
      <c r="C1314" s="3">
        <v>-2.4722433521493503E-3</v>
      </c>
    </row>
    <row r="1315" spans="1:3" x14ac:dyDescent="0.3">
      <c r="A1315" s="3">
        <v>1289</v>
      </c>
      <c r="B1315" s="3">
        <v>1.0985480605045459</v>
      </c>
      <c r="C1315" s="3">
        <v>-8.448060504545829E-3</v>
      </c>
    </row>
    <row r="1316" spans="1:3" x14ac:dyDescent="0.3">
      <c r="A1316" s="3">
        <v>1290</v>
      </c>
      <c r="B1316" s="3">
        <v>1.0951834137826959</v>
      </c>
      <c r="C1316" s="3">
        <v>-1.0083413782695949E-2</v>
      </c>
    </row>
    <row r="1317" spans="1:3" x14ac:dyDescent="0.3">
      <c r="A1317" s="3">
        <v>1291</v>
      </c>
      <c r="B1317" s="3">
        <v>1.091172706787684</v>
      </c>
      <c r="C1317" s="3">
        <v>-9.772706787684049E-3</v>
      </c>
    </row>
    <row r="1318" spans="1:3" x14ac:dyDescent="0.3">
      <c r="A1318" s="3">
        <v>1292</v>
      </c>
      <c r="B1318" s="3">
        <v>1.0881859244246512</v>
      </c>
      <c r="C1318" s="3">
        <v>-8.1859244246511587E-3</v>
      </c>
    </row>
    <row r="1319" spans="1:3" x14ac:dyDescent="0.3">
      <c r="A1319" s="3">
        <v>1293</v>
      </c>
      <c r="B1319" s="3">
        <v>1.0870452140530853</v>
      </c>
      <c r="C1319" s="3">
        <v>-7.9452140530853477E-3</v>
      </c>
    </row>
    <row r="1320" spans="1:3" x14ac:dyDescent="0.3">
      <c r="A1320" s="3">
        <v>1294</v>
      </c>
      <c r="B1320" s="3">
        <v>1.0863095814707242</v>
      </c>
      <c r="C1320" s="3">
        <v>-1.1109581470724272E-2</v>
      </c>
    </row>
    <row r="1321" spans="1:3" x14ac:dyDescent="0.3">
      <c r="A1321" s="3">
        <v>1295</v>
      </c>
      <c r="B1321" s="3">
        <v>1.0831689196265364</v>
      </c>
      <c r="C1321" s="3">
        <v>-3.0689196265363261E-3</v>
      </c>
    </row>
    <row r="1322" spans="1:3" x14ac:dyDescent="0.3">
      <c r="A1322" s="3">
        <v>1296</v>
      </c>
      <c r="B1322" s="3">
        <v>1.0871090149625047</v>
      </c>
      <c r="C1322" s="3">
        <v>-4.4090149625046759E-3</v>
      </c>
    </row>
    <row r="1323" spans="1:3" x14ac:dyDescent="0.3">
      <c r="A1323" s="3">
        <v>1297</v>
      </c>
      <c r="B1323" s="3">
        <v>1.0891832904636547</v>
      </c>
      <c r="C1323" s="3">
        <v>-7.4832904636545905E-3</v>
      </c>
    </row>
    <row r="1324" spans="1:3" x14ac:dyDescent="0.3">
      <c r="A1324" s="3">
        <v>1298</v>
      </c>
      <c r="B1324" s="3">
        <v>1.0883942717634898</v>
      </c>
      <c r="C1324" s="3">
        <v>-9.0942717634898695E-3</v>
      </c>
    </row>
    <row r="1325" spans="1:3" x14ac:dyDescent="0.3">
      <c r="A1325" s="3">
        <v>1299</v>
      </c>
      <c r="B1325" s="3">
        <v>1.0864737903096013</v>
      </c>
      <c r="C1325" s="3">
        <v>-9.7379030960142998E-4</v>
      </c>
    </row>
    <row r="1326" spans="1:3" x14ac:dyDescent="0.3">
      <c r="A1326" s="3">
        <v>1300</v>
      </c>
      <c r="B1326" s="3">
        <v>1.0914580293421912</v>
      </c>
      <c r="C1326" s="3">
        <v>1.3541970657808822E-2</v>
      </c>
    </row>
    <row r="1327" spans="1:3" x14ac:dyDescent="0.3">
      <c r="A1327" s="3">
        <v>1301</v>
      </c>
      <c r="B1327" s="3">
        <v>1.1071277966173643</v>
      </c>
      <c r="C1327" s="3">
        <v>-1.162779661736435E-2</v>
      </c>
    </row>
    <row r="1328" spans="1:3" x14ac:dyDescent="0.3">
      <c r="A1328" s="3">
        <v>1302</v>
      </c>
      <c r="B1328" s="3">
        <v>1.099496354636927</v>
      </c>
      <c r="C1328" s="3">
        <v>-9.0963546369269288E-3</v>
      </c>
    </row>
    <row r="1329" spans="1:3" x14ac:dyDescent="0.3">
      <c r="A1329" s="3">
        <v>1303</v>
      </c>
      <c r="B1329" s="3">
        <v>1.0954683854422138</v>
      </c>
      <c r="C1329" s="3">
        <v>1.3161455778609721E-4</v>
      </c>
    </row>
    <row r="1330" spans="1:3" x14ac:dyDescent="0.3">
      <c r="A1330" s="3">
        <v>1304</v>
      </c>
      <c r="B1330" s="3">
        <v>1.0996208683390549</v>
      </c>
      <c r="C1330" s="3">
        <v>-4.620868339054951E-3</v>
      </c>
    </row>
    <row r="1331" spans="1:3" x14ac:dyDescent="0.3">
      <c r="A1331" s="3">
        <v>1305</v>
      </c>
      <c r="B1331" s="3">
        <v>1.0991173309135382</v>
      </c>
      <c r="C1331" s="3">
        <v>2.0982669086461847E-2</v>
      </c>
    </row>
    <row r="1332" spans="1:3" x14ac:dyDescent="0.3">
      <c r="A1332" s="3">
        <v>1306</v>
      </c>
      <c r="B1332" s="3">
        <v>1.1193213679124949</v>
      </c>
      <c r="C1332" s="3">
        <v>1.4278632087505017E-2</v>
      </c>
    </row>
    <row r="1333" spans="1:3" x14ac:dyDescent="0.3">
      <c r="A1333" s="3">
        <v>1307</v>
      </c>
      <c r="B1333" s="3">
        <v>1.1301596501782178</v>
      </c>
      <c r="C1333" s="3">
        <v>4.7403498217821749E-3</v>
      </c>
    </row>
    <row r="1334" spans="1:3" x14ac:dyDescent="0.3">
      <c r="A1334" s="3">
        <v>1308</v>
      </c>
      <c r="B1334" s="3">
        <v>1.1312828293000683</v>
      </c>
      <c r="C1334" s="3">
        <v>-3.0828293000682017E-3</v>
      </c>
    </row>
    <row r="1335" spans="1:3" x14ac:dyDescent="0.3">
      <c r="A1335" s="3">
        <v>1309</v>
      </c>
      <c r="B1335" s="3">
        <v>1.1259403251771383</v>
      </c>
      <c r="C1335" s="3">
        <v>1.34596748228617E-2</v>
      </c>
    </row>
    <row r="1336" spans="1:3" x14ac:dyDescent="0.3">
      <c r="A1336" s="3">
        <v>1310</v>
      </c>
      <c r="B1336" s="3">
        <v>1.1349563817186297</v>
      </c>
      <c r="C1336" s="3">
        <v>1.6436182813703848E-3</v>
      </c>
    </row>
    <row r="1337" spans="1:3" x14ac:dyDescent="0.3">
      <c r="A1337" s="3">
        <v>1311</v>
      </c>
      <c r="B1337" s="3">
        <v>1.1326741155804518</v>
      </c>
      <c r="C1337" s="3">
        <v>4.425884419548165E-3</v>
      </c>
    </row>
    <row r="1338" spans="1:3" x14ac:dyDescent="0.3">
      <c r="A1338" s="3">
        <v>1312</v>
      </c>
      <c r="B1338" s="3">
        <v>1.1331166953096989</v>
      </c>
      <c r="C1338" s="3">
        <v>1.8283304690301039E-2</v>
      </c>
    </row>
    <row r="1339" spans="1:3" x14ac:dyDescent="0.3">
      <c r="A1339" s="3">
        <v>1313</v>
      </c>
      <c r="B1339" s="3">
        <v>1.1446069310516072</v>
      </c>
      <c r="C1339" s="3">
        <v>-2.606931051607253E-3</v>
      </c>
    </row>
    <row r="1340" spans="1:3" x14ac:dyDescent="0.3">
      <c r="A1340" s="3">
        <v>1314</v>
      </c>
      <c r="B1340" s="3">
        <v>1.1370396673580978</v>
      </c>
      <c r="C1340" s="3">
        <v>-5.739667358097833E-3</v>
      </c>
    </row>
    <row r="1341" spans="1:3" x14ac:dyDescent="0.3">
      <c r="A1341" s="3">
        <v>1315</v>
      </c>
      <c r="B1341" s="3">
        <v>1.1284901118347139</v>
      </c>
      <c r="C1341" s="3">
        <v>1.0309888165286107E-2</v>
      </c>
    </row>
    <row r="1342" spans="1:3" x14ac:dyDescent="0.3">
      <c r="A1342" s="3">
        <v>1316</v>
      </c>
      <c r="B1342" s="3">
        <v>1.1344963075162908</v>
      </c>
      <c r="C1342" s="3">
        <v>1.3036924837090957E-3</v>
      </c>
    </row>
    <row r="1343" spans="1:3" x14ac:dyDescent="0.3">
      <c r="A1343" s="3">
        <v>1317</v>
      </c>
      <c r="B1343" s="3">
        <v>1.1320418340583038</v>
      </c>
      <c r="C1343" s="3">
        <v>1.0058165941696062E-2</v>
      </c>
    </row>
    <row r="1344" spans="1:3" x14ac:dyDescent="0.3">
      <c r="A1344" s="3">
        <v>1318</v>
      </c>
      <c r="B1344" s="3">
        <v>1.1371362085363752</v>
      </c>
      <c r="C1344" s="3">
        <v>1.3637914636248638E-3</v>
      </c>
    </row>
    <row r="1345" spans="1:3" x14ac:dyDescent="0.3">
      <c r="A1345" s="3">
        <v>1319</v>
      </c>
      <c r="B1345" s="3">
        <v>1.1342265575060853</v>
      </c>
      <c r="C1345" s="3">
        <v>-1.5265575060852132E-3</v>
      </c>
    </row>
    <row r="1346" spans="1:3" x14ac:dyDescent="0.3">
      <c r="A1346" s="3">
        <v>1320</v>
      </c>
      <c r="B1346" s="3">
        <v>1.1295862294536432</v>
      </c>
      <c r="C1346" s="3">
        <v>-9.862294536431282E-4</v>
      </c>
    </row>
    <row r="1347" spans="1:3" x14ac:dyDescent="0.3">
      <c r="A1347" s="3">
        <v>1321</v>
      </c>
      <c r="B1347" s="3">
        <v>1.1262803581261482</v>
      </c>
      <c r="C1347" s="3">
        <v>2.4196418738517966E-3</v>
      </c>
    </row>
    <row r="1348" spans="1:3" x14ac:dyDescent="0.3">
      <c r="A1348" s="3">
        <v>1322</v>
      </c>
      <c r="B1348" s="3">
        <v>1.1263434682892197</v>
      </c>
      <c r="C1348" s="3">
        <v>5.0565317107802432E-3</v>
      </c>
    </row>
    <row r="1349" spans="1:3" x14ac:dyDescent="0.3">
      <c r="A1349" s="3">
        <v>1323</v>
      </c>
      <c r="B1349" s="3">
        <v>1.1285006307642167</v>
      </c>
      <c r="C1349" s="3">
        <v>8.3993692357833272E-3</v>
      </c>
    </row>
    <row r="1350" spans="1:3" x14ac:dyDescent="0.3">
      <c r="A1350" s="3">
        <v>1324</v>
      </c>
      <c r="B1350" s="3">
        <v>1.1329223632155472</v>
      </c>
      <c r="C1350" s="3">
        <v>-2.9223632155472856E-3</v>
      </c>
    </row>
    <row r="1351" spans="1:3" x14ac:dyDescent="0.3">
      <c r="A1351" s="3">
        <v>1325</v>
      </c>
      <c r="B1351" s="3">
        <v>1.1273790021186323</v>
      </c>
      <c r="C1351" s="3">
        <v>-4.6790021186322583E-3</v>
      </c>
    </row>
    <row r="1352" spans="1:3" x14ac:dyDescent="0.3">
      <c r="A1352" s="3">
        <v>1326</v>
      </c>
      <c r="B1352" s="3">
        <v>1.1215317670320568</v>
      </c>
      <c r="C1352" s="3">
        <v>1.6823296794310494E-4</v>
      </c>
    </row>
    <row r="1353" spans="1:3" x14ac:dyDescent="0.3">
      <c r="A1353" s="3">
        <v>1327</v>
      </c>
      <c r="B1353" s="3">
        <v>1.1207085541517805</v>
      </c>
      <c r="C1353" s="3">
        <v>-1.220855415178046E-2</v>
      </c>
    </row>
    <row r="1354" spans="1:3" x14ac:dyDescent="0.3">
      <c r="A1354" s="3">
        <v>1328</v>
      </c>
      <c r="B1354" s="3">
        <v>1.1100684407781143</v>
      </c>
      <c r="C1354" s="3">
        <v>8.3315592218857759E-3</v>
      </c>
    </row>
    <row r="1355" spans="1:3" x14ac:dyDescent="0.3">
      <c r="A1355" s="3">
        <v>1329</v>
      </c>
      <c r="B1355" s="3">
        <v>1.1180353622814772</v>
      </c>
      <c r="C1355" s="3">
        <v>-4.3536228147722511E-4</v>
      </c>
    </row>
    <row r="1356" spans="1:3" x14ac:dyDescent="0.3">
      <c r="A1356" s="3">
        <v>1330</v>
      </c>
      <c r="B1356" s="3">
        <v>1.1173399525236263</v>
      </c>
      <c r="C1356" s="3">
        <v>1.3600474763737491E-3</v>
      </c>
    </row>
    <row r="1357" spans="1:3" x14ac:dyDescent="0.3">
      <c r="A1357" s="3">
        <v>1331</v>
      </c>
      <c r="B1357" s="3">
        <v>1.1182592599898671</v>
      </c>
      <c r="C1357" s="3">
        <v>-1.3592599898670787E-3</v>
      </c>
    </row>
    <row r="1358" spans="1:3" x14ac:dyDescent="0.3">
      <c r="A1358" s="3">
        <v>1332</v>
      </c>
      <c r="B1358" s="3">
        <v>1.116808196803009</v>
      </c>
      <c r="C1358" s="3">
        <v>6.8918031969908977E-3</v>
      </c>
    </row>
    <row r="1359" spans="1:3" x14ac:dyDescent="0.3">
      <c r="A1359" s="3">
        <v>1333</v>
      </c>
      <c r="B1359" s="3">
        <v>1.1222818119264584</v>
      </c>
      <c r="C1359" s="3">
        <v>5.9181880735417192E-3</v>
      </c>
    </row>
    <row r="1360" spans="1:3" x14ac:dyDescent="0.3">
      <c r="A1360" s="3">
        <v>1334</v>
      </c>
      <c r="B1360" s="3">
        <v>1.1258900836425152</v>
      </c>
      <c r="C1360" s="3">
        <v>7.0099163574848244E-3</v>
      </c>
    </row>
    <row r="1361" spans="1:3" x14ac:dyDescent="0.3">
      <c r="A1361" s="3">
        <v>1335</v>
      </c>
      <c r="B1361" s="3">
        <v>1.1296903745304021</v>
      </c>
      <c r="C1361" s="3">
        <v>-1.6903745304022166E-3</v>
      </c>
    </row>
    <row r="1362" spans="1:3" x14ac:dyDescent="0.3">
      <c r="A1362" s="3">
        <v>1336</v>
      </c>
      <c r="B1362" s="3">
        <v>1.1257621710579044</v>
      </c>
      <c r="C1362" s="3">
        <v>1.0337828942095673E-2</v>
      </c>
    </row>
    <row r="1363" spans="1:3" x14ac:dyDescent="0.3">
      <c r="A1363" s="3">
        <v>1337</v>
      </c>
      <c r="B1363" s="3">
        <v>1.132295716859363</v>
      </c>
      <c r="C1363" s="3">
        <v>6.3042831406370237E-3</v>
      </c>
    </row>
    <row r="1364" spans="1:3" x14ac:dyDescent="0.3">
      <c r="A1364" s="3">
        <v>1338</v>
      </c>
      <c r="B1364" s="3">
        <v>1.134284018019482</v>
      </c>
      <c r="C1364" s="3">
        <v>-1.4840180194819474E-3</v>
      </c>
    </row>
    <row r="1365" spans="1:3" x14ac:dyDescent="0.3">
      <c r="A1365" s="3">
        <v>1339</v>
      </c>
      <c r="B1365" s="3">
        <v>1.1296458884880443</v>
      </c>
      <c r="C1365" s="3">
        <v>-1.4588848804431009E-4</v>
      </c>
    </row>
    <row r="1366" spans="1:3" x14ac:dyDescent="0.3">
      <c r="A1366" s="3">
        <v>1340</v>
      </c>
      <c r="B1366" s="3">
        <v>1.1270044275652777</v>
      </c>
      <c r="C1366" s="3">
        <v>9.4955724347223214E-3</v>
      </c>
    </row>
    <row r="1367" spans="1:3" x14ac:dyDescent="0.3">
      <c r="A1367" s="3">
        <v>1341</v>
      </c>
      <c r="B1367" s="3">
        <v>1.1326160703121364</v>
      </c>
      <c r="C1367" s="3">
        <v>1.4839296878637054E-3</v>
      </c>
    </row>
    <row r="1368" spans="1:3" x14ac:dyDescent="0.3">
      <c r="A1368" s="3">
        <v>1342</v>
      </c>
      <c r="B1368" s="3">
        <v>1.1306699779139879</v>
      </c>
      <c r="C1368" s="3">
        <v>1.3230022086011983E-2</v>
      </c>
    </row>
    <row r="1369" spans="1:3" x14ac:dyDescent="0.3">
      <c r="A1369" s="3">
        <v>1343</v>
      </c>
      <c r="B1369" s="3">
        <v>1.1385769730683126</v>
      </c>
      <c r="C1369" s="3">
        <v>-1.2769730683126479E-3</v>
      </c>
    </row>
    <row r="1370" spans="1:3" x14ac:dyDescent="0.3">
      <c r="A1370" s="3">
        <v>1344</v>
      </c>
      <c r="B1370" s="3">
        <v>1.1332544564861606</v>
      </c>
      <c r="C1370" s="3">
        <v>8.4455435138393042E-3</v>
      </c>
    </row>
    <row r="1371" spans="1:3" x14ac:dyDescent="0.3">
      <c r="A1371" s="3">
        <v>1345</v>
      </c>
      <c r="B1371" s="3">
        <v>1.1368311297286282</v>
      </c>
      <c r="C1371" s="3">
        <v>7.4688702713718857E-3</v>
      </c>
    </row>
    <row r="1372" spans="1:3" x14ac:dyDescent="0.3">
      <c r="A1372" s="3">
        <v>1346</v>
      </c>
      <c r="B1372" s="3">
        <v>1.1388964205881273</v>
      </c>
      <c r="C1372" s="3">
        <v>2.0357941187265638E-4</v>
      </c>
    </row>
    <row r="1373" spans="1:3" x14ac:dyDescent="0.3">
      <c r="A1373" s="3">
        <v>1347</v>
      </c>
      <c r="B1373" s="3">
        <v>1.1347279893866906</v>
      </c>
      <c r="C1373" s="3">
        <v>7.4720106133094877E-3</v>
      </c>
    </row>
    <row r="1374" spans="1:3" x14ac:dyDescent="0.3">
      <c r="A1374" s="3">
        <v>1348</v>
      </c>
      <c r="B1374" s="3">
        <v>1.1372334317841095</v>
      </c>
      <c r="C1374" s="3">
        <v>5.3665682158905437E-3</v>
      </c>
    </row>
    <row r="1375" spans="1:3" x14ac:dyDescent="0.3">
      <c r="A1375" s="3">
        <v>1349</v>
      </c>
      <c r="B1375" s="3">
        <v>1.1375351414263237</v>
      </c>
      <c r="C1375" s="3">
        <v>1.1564858573676284E-2</v>
      </c>
    </row>
    <row r="1376" spans="1:3" x14ac:dyDescent="0.3">
      <c r="A1376" s="3">
        <v>1350</v>
      </c>
      <c r="B1376" s="3">
        <v>1.1427729455526883</v>
      </c>
      <c r="C1376" s="3">
        <v>1.5327054447311639E-2</v>
      </c>
    </row>
    <row r="1377" spans="1:3" x14ac:dyDescent="0.3">
      <c r="A1377" s="3">
        <v>1351</v>
      </c>
      <c r="B1377" s="3">
        <v>1.1500079543853738</v>
      </c>
      <c r="C1377" s="3">
        <v>3.4920456146261269E-3</v>
      </c>
    </row>
    <row r="1378" spans="1:3" x14ac:dyDescent="0.3">
      <c r="A1378" s="3">
        <v>1352</v>
      </c>
      <c r="B1378" s="3">
        <v>1.146325086120018</v>
      </c>
      <c r="C1378" s="3">
        <v>1.0274913879982028E-2</v>
      </c>
    </row>
    <row r="1379" spans="1:3" x14ac:dyDescent="0.3">
      <c r="A1379" s="3">
        <v>1353</v>
      </c>
      <c r="B1379" s="3">
        <v>1.1488522101702232</v>
      </c>
      <c r="C1379" s="3">
        <v>-9.522101702232888E-4</v>
      </c>
    </row>
    <row r="1380" spans="1:3" x14ac:dyDescent="0.3">
      <c r="A1380" s="3">
        <v>1354</v>
      </c>
      <c r="B1380" s="3">
        <v>1.1418376658717244</v>
      </c>
      <c r="C1380" s="3">
        <v>6.4623341282756819E-3</v>
      </c>
    </row>
    <row r="1381" spans="1:3" x14ac:dyDescent="0.3">
      <c r="A1381" s="3">
        <v>1355</v>
      </c>
      <c r="B1381" s="3">
        <v>1.1421757632759217</v>
      </c>
      <c r="C1381" s="3">
        <v>7.2242367240782368E-3</v>
      </c>
    </row>
    <row r="1382" spans="1:3" x14ac:dyDescent="0.3">
      <c r="A1382" s="3">
        <v>1356</v>
      </c>
      <c r="B1382" s="3">
        <v>1.143030123098342</v>
      </c>
      <c r="C1382" s="3">
        <v>4.8698769016579657E-3</v>
      </c>
    </row>
    <row r="1383" spans="1:3" x14ac:dyDescent="0.3">
      <c r="A1383" s="3">
        <v>1357</v>
      </c>
      <c r="B1383" s="3">
        <v>1.1418244625980516</v>
      </c>
      <c r="C1383" s="3">
        <v>1.577553740194837E-2</v>
      </c>
    </row>
    <row r="1384" spans="1:3" x14ac:dyDescent="0.3">
      <c r="A1384" s="3">
        <v>1358</v>
      </c>
      <c r="B1384" s="3">
        <v>1.1496300934973129</v>
      </c>
      <c r="C1384" s="3">
        <v>1.1169906502687121E-2</v>
      </c>
    </row>
    <row r="1385" spans="1:3" x14ac:dyDescent="0.3">
      <c r="A1385" s="3">
        <v>1359</v>
      </c>
      <c r="B1385" s="3">
        <v>1.1521920186572983</v>
      </c>
      <c r="C1385" s="3">
        <v>1.3607981342701692E-2</v>
      </c>
    </row>
    <row r="1386" spans="1:3" x14ac:dyDescent="0.3">
      <c r="A1386" s="3">
        <v>1360</v>
      </c>
      <c r="B1386" s="3">
        <v>1.1562444308729729</v>
      </c>
      <c r="C1386" s="3">
        <v>1.3255569127027078E-2</v>
      </c>
    </row>
    <row r="1387" spans="1:3" x14ac:dyDescent="0.3">
      <c r="A1387" s="3">
        <v>1361</v>
      </c>
      <c r="B1387" s="3">
        <v>1.1592277638427129</v>
      </c>
      <c r="C1387" s="3">
        <v>1.1872236157287164E-2</v>
      </c>
    </row>
    <row r="1388" spans="1:3" x14ac:dyDescent="0.3">
      <c r="A1388" s="3">
        <v>1362</v>
      </c>
      <c r="B1388" s="3">
        <v>1.1605293164906896</v>
      </c>
      <c r="C1388" s="3">
        <v>1.8070683509310514E-2</v>
      </c>
    </row>
    <row r="1389" spans="1:3" x14ac:dyDescent="0.3">
      <c r="A1389" s="3">
        <v>1363</v>
      </c>
      <c r="B1389" s="3">
        <v>1.1665726127065088</v>
      </c>
      <c r="C1389" s="3">
        <v>1.3627387293491111E-2</v>
      </c>
    </row>
    <row r="1390" spans="1:3" x14ac:dyDescent="0.3">
      <c r="A1390" s="3">
        <v>1364</v>
      </c>
      <c r="B1390" s="3">
        <v>1.1678599391434699</v>
      </c>
      <c r="C1390" s="3">
        <v>1.1940060856530099E-2</v>
      </c>
    </row>
    <row r="1391" spans="1:3" x14ac:dyDescent="0.3">
      <c r="A1391" s="3">
        <v>1365</v>
      </c>
      <c r="B1391" s="3">
        <v>1.1675630731355775</v>
      </c>
      <c r="C1391" s="3">
        <v>8.0369268644224778E-3</v>
      </c>
    </row>
    <row r="1392" spans="1:3" x14ac:dyDescent="0.3">
      <c r="A1392" s="3">
        <v>1366</v>
      </c>
      <c r="B1392" s="3">
        <v>1.1641911673364123</v>
      </c>
      <c r="C1392" s="3">
        <v>1.2808832663587788E-2</v>
      </c>
    </row>
    <row r="1393" spans="1:3" x14ac:dyDescent="0.3">
      <c r="A1393" s="3">
        <v>1367</v>
      </c>
      <c r="B1393" s="3">
        <v>1.1653184447639826</v>
      </c>
      <c r="C1393" s="3">
        <v>5.5815552360174436E-3</v>
      </c>
    </row>
    <row r="1394" spans="1:3" x14ac:dyDescent="0.3">
      <c r="A1394" s="3">
        <v>1368</v>
      </c>
      <c r="B1394" s="3">
        <v>1.1603973474649549</v>
      </c>
      <c r="C1394" s="3">
        <v>1.2002652535045177E-2</v>
      </c>
    </row>
    <row r="1395" spans="1:3" x14ac:dyDescent="0.3">
      <c r="A1395" s="3">
        <v>1369</v>
      </c>
      <c r="B1395" s="3">
        <v>1.161612504075568</v>
      </c>
      <c r="C1395" s="3">
        <v>1.0387495924431889E-2</v>
      </c>
    </row>
    <row r="1396" spans="1:3" x14ac:dyDescent="0.3">
      <c r="A1396" s="3">
        <v>1370</v>
      </c>
      <c r="B1396" s="3">
        <v>1.1612687920629419</v>
      </c>
      <c r="C1396" s="3">
        <v>8.7312079370580609E-3</v>
      </c>
    </row>
    <row r="1397" spans="1:3" x14ac:dyDescent="0.3">
      <c r="A1397" s="3">
        <v>1371</v>
      </c>
      <c r="B1397" s="3">
        <v>1.1596658063649652</v>
      </c>
      <c r="C1397" s="3">
        <v>7.6341936350348139E-3</v>
      </c>
    </row>
    <row r="1398" spans="1:3" x14ac:dyDescent="0.3">
      <c r="A1398" s="3">
        <v>1372</v>
      </c>
      <c r="B1398" s="3">
        <v>1.1574943707570615</v>
      </c>
      <c r="C1398" s="3">
        <v>9.1056292429385621E-3</v>
      </c>
    </row>
    <row r="1399" spans="1:3" x14ac:dyDescent="0.3">
      <c r="A1399" s="3">
        <v>1373</v>
      </c>
      <c r="B1399" s="3">
        <v>1.1569262990923321</v>
      </c>
      <c r="C1399" s="3">
        <v>2.9737009076677978E-3</v>
      </c>
    </row>
    <row r="1400" spans="1:3" x14ac:dyDescent="0.3">
      <c r="A1400" s="3">
        <v>1374</v>
      </c>
      <c r="B1400" s="3">
        <v>1.1515292296790174</v>
      </c>
      <c r="C1400" s="3">
        <v>1.2470770320982538E-2</v>
      </c>
    </row>
    <row r="1401" spans="1:3" x14ac:dyDescent="0.3">
      <c r="A1401" s="3">
        <v>1375</v>
      </c>
      <c r="B1401" s="3">
        <v>1.1548284866213425</v>
      </c>
      <c r="C1401" s="3">
        <v>4.6715133786574548E-3</v>
      </c>
    </row>
    <row r="1402" spans="1:3" x14ac:dyDescent="0.3">
      <c r="A1402" s="3">
        <v>1376</v>
      </c>
      <c r="B1402" s="3">
        <v>1.1511837289610751</v>
      </c>
      <c r="C1402" s="3">
        <v>1.0616271038924818E-2</v>
      </c>
    </row>
    <row r="1403" spans="1:3" x14ac:dyDescent="0.3">
      <c r="A1403" s="3">
        <v>1377</v>
      </c>
      <c r="B1403" s="3">
        <v>1.1530505161344549</v>
      </c>
      <c r="C1403" s="3">
        <v>1.6449483865545123E-2</v>
      </c>
    </row>
    <row r="1404" spans="1:3" x14ac:dyDescent="0.3">
      <c r="A1404" s="3">
        <v>1378</v>
      </c>
      <c r="B1404" s="3">
        <v>1.1592259093933486</v>
      </c>
      <c r="C1404" s="3">
        <v>1.5974090606651448E-2</v>
      </c>
    </row>
    <row r="1405" spans="1:3" x14ac:dyDescent="0.3">
      <c r="A1405" s="3">
        <v>1379</v>
      </c>
      <c r="B1405" s="3">
        <v>1.1638127855839389</v>
      </c>
      <c r="C1405" s="3">
        <v>1.3187214416061188E-2</v>
      </c>
    </row>
    <row r="1406" spans="1:3" x14ac:dyDescent="0.3">
      <c r="A1406" s="3">
        <v>1380</v>
      </c>
      <c r="B1406" s="3">
        <v>1.1652831789892588</v>
      </c>
      <c r="C1406" s="3">
        <v>9.4168210107412609E-3</v>
      </c>
    </row>
    <row r="1407" spans="1:3" x14ac:dyDescent="0.3">
      <c r="A1407" s="3">
        <v>1381</v>
      </c>
      <c r="B1407" s="3">
        <v>1.1634519709594418</v>
      </c>
      <c r="C1407" s="3">
        <v>1.1148029040558338E-2</v>
      </c>
    </row>
    <row r="1408" spans="1:3" x14ac:dyDescent="0.3">
      <c r="A1408" s="3">
        <v>1382</v>
      </c>
      <c r="B1408" s="3">
        <v>1.1633792708422654</v>
      </c>
      <c r="C1408" s="3">
        <v>-4.5792708422653927E-3</v>
      </c>
    </row>
    <row r="1409" spans="1:3" x14ac:dyDescent="0.3">
      <c r="A1409" s="3">
        <v>1383</v>
      </c>
      <c r="B1409" s="3">
        <v>1.150664863145292</v>
      </c>
      <c r="C1409" s="3">
        <v>3.8351368547080433E-3</v>
      </c>
    </row>
    <row r="1410" spans="1:3" x14ac:dyDescent="0.3">
      <c r="A1410" s="3">
        <v>1384</v>
      </c>
      <c r="B1410" s="3">
        <v>1.1472167968227018</v>
      </c>
      <c r="C1410" s="3">
        <v>-6.8167968227017539E-3</v>
      </c>
    </row>
    <row r="1411" spans="1:3" x14ac:dyDescent="0.3">
      <c r="A1411" s="3">
        <v>1385</v>
      </c>
      <c r="B1411" s="3">
        <v>1.1358257429157799</v>
      </c>
      <c r="C1411" s="3">
        <v>5.5742570842201022E-3</v>
      </c>
    </row>
    <row r="1412" spans="1:3" x14ac:dyDescent="0.3">
      <c r="A1412" s="3">
        <v>1386</v>
      </c>
      <c r="B1412" s="3">
        <v>1.1366243918174301</v>
      </c>
      <c r="C1412" s="3">
        <v>2.1075608182569816E-2</v>
      </c>
    </row>
    <row r="1413" spans="1:3" x14ac:dyDescent="0.3">
      <c r="A1413" s="3">
        <v>1387</v>
      </c>
      <c r="B1413" s="3">
        <v>1.1496837434589975</v>
      </c>
      <c r="C1413" s="3">
        <v>7.3162565410025415E-3</v>
      </c>
    </row>
    <row r="1414" spans="1:3" x14ac:dyDescent="0.3">
      <c r="A1414" s="3">
        <v>1388</v>
      </c>
      <c r="B1414" s="3">
        <v>1.1491135286050433</v>
      </c>
      <c r="C1414" s="3">
        <v>7.9864713949566735E-3</v>
      </c>
    </row>
    <row r="1415" spans="1:3" x14ac:dyDescent="0.3">
      <c r="A1415" s="3">
        <v>1389</v>
      </c>
      <c r="B1415" s="3">
        <v>1.1492506350622562</v>
      </c>
      <c r="C1415" s="3">
        <v>1.6649364937743716E-2</v>
      </c>
    </row>
    <row r="1416" spans="1:3" x14ac:dyDescent="0.3">
      <c r="A1416" s="3">
        <v>1390</v>
      </c>
      <c r="B1416" s="3">
        <v>1.1563252149049752</v>
      </c>
      <c r="C1416" s="3">
        <v>1.0174785095024896E-2</v>
      </c>
    </row>
    <row r="1417" spans="1:3" x14ac:dyDescent="0.3">
      <c r="A1417" s="3">
        <v>1391</v>
      </c>
      <c r="B1417" s="3">
        <v>1.1568023011973207</v>
      </c>
      <c r="C1417" s="3">
        <v>6.8976988026792085E-3</v>
      </c>
    </row>
    <row r="1418" spans="1:3" x14ac:dyDescent="0.3">
      <c r="A1418" s="3">
        <v>1392</v>
      </c>
      <c r="B1418" s="3">
        <v>1.1545804695242592</v>
      </c>
      <c r="C1418" s="3">
        <v>6.8195304757407982E-3</v>
      </c>
    </row>
    <row r="1419" spans="1:3" x14ac:dyDescent="0.3">
      <c r="A1419" s="3">
        <v>1393</v>
      </c>
      <c r="B1419" s="3">
        <v>1.1527346938148531</v>
      </c>
      <c r="C1419" s="3">
        <v>1.4665306185146942E-2</v>
      </c>
    </row>
    <row r="1420" spans="1:3" x14ac:dyDescent="0.3">
      <c r="A1420" s="3">
        <v>1394</v>
      </c>
      <c r="B1420" s="3">
        <v>1.1575518159190574</v>
      </c>
      <c r="C1420" s="3">
        <v>1.2948184080942671E-2</v>
      </c>
    </row>
    <row r="1421" spans="1:3" x14ac:dyDescent="0.3">
      <c r="A1421" s="3">
        <v>1395</v>
      </c>
      <c r="B1421" s="3">
        <v>1.1600329929559754</v>
      </c>
      <c r="C1421" s="3">
        <v>4.6670070440246736E-3</v>
      </c>
    </row>
    <row r="1422" spans="1:3" x14ac:dyDescent="0.3">
      <c r="A1422" s="3">
        <v>1396</v>
      </c>
      <c r="B1422" s="3">
        <v>1.1553872252343356</v>
      </c>
      <c r="C1422" s="3">
        <v>1.3712774765664459E-2</v>
      </c>
    </row>
    <row r="1423" spans="1:3" x14ac:dyDescent="0.3">
      <c r="A1423" s="3">
        <v>1397</v>
      </c>
      <c r="B1423" s="3">
        <v>1.1589402615893585</v>
      </c>
      <c r="C1423" s="3">
        <v>6.9597384106414584E-3</v>
      </c>
    </row>
    <row r="1424" spans="1:3" x14ac:dyDescent="0.3">
      <c r="A1424" s="3">
        <v>1398</v>
      </c>
      <c r="B1424" s="3">
        <v>1.1563438859475803</v>
      </c>
      <c r="C1424" s="3">
        <v>8.5561140524197388E-3</v>
      </c>
    </row>
    <row r="1425" spans="1:3" x14ac:dyDescent="0.3">
      <c r="A1425" s="3">
        <v>1399</v>
      </c>
      <c r="B1425" s="3">
        <v>1.1555569557055483</v>
      </c>
      <c r="C1425" s="3">
        <v>9.6430442944517303E-3</v>
      </c>
    </row>
    <row r="1426" spans="1:3" x14ac:dyDescent="0.3">
      <c r="A1426" s="3">
        <v>1400</v>
      </c>
      <c r="B1426" s="3">
        <v>1.1557878385021063</v>
      </c>
      <c r="C1426" s="3">
        <v>4.7121614978937743E-3</v>
      </c>
    </row>
    <row r="1427" spans="1:3" x14ac:dyDescent="0.3">
      <c r="A1427" s="3">
        <v>1401</v>
      </c>
      <c r="B1427" s="3">
        <v>1.1520043983810178</v>
      </c>
      <c r="C1427" s="3">
        <v>1.9495601618982228E-2</v>
      </c>
    </row>
    <row r="1428" spans="1:3" x14ac:dyDescent="0.3">
      <c r="A1428" s="3">
        <v>1402</v>
      </c>
      <c r="B1428" s="3">
        <v>1.1608548483718477</v>
      </c>
      <c r="C1428" s="3">
        <v>9.4515162815222986E-4</v>
      </c>
    </row>
    <row r="1429" spans="1:3" x14ac:dyDescent="0.3">
      <c r="A1429" s="3">
        <v>1403</v>
      </c>
      <c r="B1429" s="3">
        <v>1.1530305539721808</v>
      </c>
      <c r="C1429" s="3">
        <v>1.1169446027819108E-2</v>
      </c>
    </row>
    <row r="1430" spans="1:3" x14ac:dyDescent="0.3">
      <c r="A1430" s="3">
        <v>1404</v>
      </c>
      <c r="B1430" s="3">
        <v>1.1550049817879775</v>
      </c>
      <c r="C1430" s="3">
        <v>8.695018212022454E-3</v>
      </c>
    </row>
    <row r="1431" spans="1:3" x14ac:dyDescent="0.3">
      <c r="A1431" s="3">
        <v>1405</v>
      </c>
      <c r="B1431" s="3">
        <v>1.1545678391248611</v>
      </c>
      <c r="C1431" s="3">
        <v>1.3632160875138855E-2</v>
      </c>
    </row>
    <row r="1432" spans="1:3" x14ac:dyDescent="0.3">
      <c r="A1432" s="3">
        <v>1406</v>
      </c>
      <c r="B1432" s="3">
        <v>1.1581953976082444</v>
      </c>
      <c r="C1432" s="3">
        <v>1.0204602391755691E-2</v>
      </c>
    </row>
    <row r="1433" spans="1:3" x14ac:dyDescent="0.3">
      <c r="A1433" s="3">
        <v>1407</v>
      </c>
      <c r="B1433" s="3">
        <v>1.1583515567058531</v>
      </c>
      <c r="C1433" s="3">
        <v>1.2548443294146949E-2</v>
      </c>
    </row>
    <row r="1434" spans="1:3" x14ac:dyDescent="0.3">
      <c r="A1434" s="3">
        <v>1408</v>
      </c>
      <c r="B1434" s="3">
        <v>1.160377475942709</v>
      </c>
      <c r="C1434" s="3">
        <v>3.8225240572908881E-3</v>
      </c>
    </row>
    <row r="1435" spans="1:3" x14ac:dyDescent="0.3">
      <c r="A1435" s="3">
        <v>1409</v>
      </c>
      <c r="B1435" s="3">
        <v>1.15498830596041</v>
      </c>
      <c r="C1435" s="3">
        <v>1.0911694039589914E-2</v>
      </c>
    </row>
    <row r="1436" spans="1:3" x14ac:dyDescent="0.3">
      <c r="A1436" s="3">
        <v>1410</v>
      </c>
      <c r="B1436" s="3">
        <v>1.156368493644343</v>
      </c>
      <c r="C1436" s="3">
        <v>8.4315063556570369E-3</v>
      </c>
    </row>
    <row r="1437" spans="1:3" x14ac:dyDescent="0.3">
      <c r="A1437" s="3">
        <v>1411</v>
      </c>
      <c r="B1437" s="3">
        <v>1.1554596325402084</v>
      </c>
      <c r="C1437" s="3">
        <v>1.6240367459791516E-2</v>
      </c>
    </row>
    <row r="1438" spans="1:3" x14ac:dyDescent="0.3">
      <c r="A1438" s="3">
        <v>1412</v>
      </c>
      <c r="B1438" s="3">
        <v>1.1610152782295031</v>
      </c>
      <c r="C1438" s="3">
        <v>1.518472177049679E-2</v>
      </c>
    </row>
    <row r="1439" spans="1:3" x14ac:dyDescent="0.3">
      <c r="A1439" s="3">
        <v>1413</v>
      </c>
      <c r="B1439" s="3">
        <v>1.1646258987768163</v>
      </c>
      <c r="C1439" s="3">
        <v>6.0741012231837477E-3</v>
      </c>
    </row>
    <row r="1440" spans="1:3" x14ac:dyDescent="0.3">
      <c r="A1440" s="3">
        <v>1414</v>
      </c>
      <c r="B1440" s="3">
        <v>1.1602235785070856</v>
      </c>
      <c r="C1440" s="3">
        <v>9.0764214929144327E-3</v>
      </c>
    </row>
    <row r="1441" spans="1:3" x14ac:dyDescent="0.3">
      <c r="A1441" s="3">
        <v>1415</v>
      </c>
      <c r="B1441" s="3">
        <v>1.1591168207646629</v>
      </c>
      <c r="C1441" s="3">
        <v>1.4183179235337073E-2</v>
      </c>
    </row>
    <row r="1442" spans="1:3" x14ac:dyDescent="0.3">
      <c r="A1442" s="3">
        <v>1416</v>
      </c>
      <c r="B1442" s="3">
        <v>1.1623156150464382</v>
      </c>
      <c r="C1442" s="3">
        <v>1.0984384953561799E-2</v>
      </c>
    </row>
    <row r="1443" spans="1:3" x14ac:dyDescent="0.3">
      <c r="A1443" s="3">
        <v>1417</v>
      </c>
      <c r="B1443" s="3">
        <v>1.1623081561339119</v>
      </c>
      <c r="C1443" s="3">
        <v>1.3891843866087994E-2</v>
      </c>
    </row>
    <row r="1444" spans="1:3" x14ac:dyDescent="0.3">
      <c r="A1444" s="3">
        <v>1418</v>
      </c>
      <c r="B1444" s="3">
        <v>1.1646541667150385</v>
      </c>
      <c r="C1444" s="3">
        <v>2.194583328496158E-2</v>
      </c>
    </row>
    <row r="1445" spans="1:3" x14ac:dyDescent="0.3">
      <c r="A1445" s="3">
        <v>1419</v>
      </c>
      <c r="B1445" s="3">
        <v>1.1730160585110072</v>
      </c>
      <c r="C1445" s="3">
        <v>8.1839414889928186E-3</v>
      </c>
    </row>
    <row r="1446" spans="1:3" x14ac:dyDescent="0.3">
      <c r="A1446" s="3">
        <v>1420</v>
      </c>
      <c r="B1446" s="3">
        <v>1.1686764829074836</v>
      </c>
      <c r="C1446" s="3">
        <v>9.9235170925164873E-3</v>
      </c>
    </row>
    <row r="1447" spans="1:3" x14ac:dyDescent="0.3">
      <c r="A1447" s="3">
        <v>1421</v>
      </c>
      <c r="B1447" s="3">
        <v>1.1666249571829761</v>
      </c>
      <c r="C1447" s="3">
        <v>7.7750428170240138E-3</v>
      </c>
    </row>
    <row r="1448" spans="1:3" x14ac:dyDescent="0.3">
      <c r="A1448" s="3">
        <v>1422</v>
      </c>
      <c r="B1448" s="3">
        <v>1.1632303519998157</v>
      </c>
      <c r="C1448" s="3">
        <v>1.696964800018419E-2</v>
      </c>
    </row>
    <row r="1449" spans="1:3" x14ac:dyDescent="0.3">
      <c r="A1449" s="3">
        <v>1423</v>
      </c>
      <c r="B1449" s="3">
        <v>1.1678885708431777</v>
      </c>
      <c r="C1449" s="3">
        <v>1.3511429156822352E-2</v>
      </c>
    </row>
    <row r="1450" spans="1:3" x14ac:dyDescent="0.3">
      <c r="A1450" s="3">
        <v>1424</v>
      </c>
      <c r="B1450" s="3">
        <v>1.1688353238950338</v>
      </c>
      <c r="C1450" s="3">
        <v>4.9646761049662036E-3</v>
      </c>
    </row>
    <row r="1451" spans="1:3" x14ac:dyDescent="0.3">
      <c r="A1451" s="3">
        <v>1425</v>
      </c>
      <c r="B1451" s="3">
        <v>1.1627425349439491</v>
      </c>
      <c r="C1451" s="3">
        <v>3.7574650560510126E-3</v>
      </c>
    </row>
    <row r="1452" spans="1:3" x14ac:dyDescent="0.3">
      <c r="A1452" s="3">
        <v>1426</v>
      </c>
      <c r="B1452" s="3">
        <v>1.15688092767455</v>
      </c>
      <c r="C1452" s="3">
        <v>1.2819072325449987E-2</v>
      </c>
    </row>
    <row r="1453" spans="1:3" x14ac:dyDescent="0.3">
      <c r="A1453" s="3">
        <v>1427</v>
      </c>
      <c r="B1453" s="3">
        <v>1.1594329880235941</v>
      </c>
      <c r="C1453" s="3">
        <v>1.3167011976406018E-2</v>
      </c>
    </row>
    <row r="1454" spans="1:3" x14ac:dyDescent="0.3">
      <c r="A1454" s="3">
        <v>1428</v>
      </c>
      <c r="B1454" s="3">
        <v>1.1617379166509796</v>
      </c>
      <c r="C1454" s="3">
        <v>1.1562083349020424E-2</v>
      </c>
    </row>
    <row r="1455" spans="1:3" x14ac:dyDescent="0.3">
      <c r="A1455" s="3">
        <v>1429</v>
      </c>
      <c r="B1455" s="3">
        <v>1.1623099960995642</v>
      </c>
      <c r="C1455" s="3">
        <v>1.0490003900435863E-2</v>
      </c>
    </row>
    <row r="1456" spans="1:3" x14ac:dyDescent="0.3">
      <c r="A1456" s="3">
        <v>1430</v>
      </c>
      <c r="B1456" s="3">
        <v>1.1619174334407514</v>
      </c>
      <c r="C1456" s="3">
        <v>9.4825665592486175E-3</v>
      </c>
    </row>
    <row r="1457" spans="1:3" x14ac:dyDescent="0.3">
      <c r="A1457" s="3">
        <v>1431</v>
      </c>
      <c r="B1457" s="3">
        <v>1.1607942808014207</v>
      </c>
      <c r="C1457" s="3">
        <v>1.3305719198579258E-2</v>
      </c>
    </row>
    <row r="1458" spans="1:3" x14ac:dyDescent="0.3">
      <c r="A1458" s="3">
        <v>1432</v>
      </c>
      <c r="B1458" s="3">
        <v>1.1629648472529897</v>
      </c>
      <c r="C1458" s="3">
        <v>8.2351527470103658E-3</v>
      </c>
    </row>
    <row r="1459" spans="1:3" x14ac:dyDescent="0.3">
      <c r="A1459" s="3">
        <v>1433</v>
      </c>
      <c r="B1459" s="3">
        <v>1.1606260300051308</v>
      </c>
      <c r="C1459" s="3">
        <v>4.6739699948692426E-3</v>
      </c>
    </row>
    <row r="1460" spans="1:3" x14ac:dyDescent="0.3">
      <c r="A1460" s="3">
        <v>1434</v>
      </c>
      <c r="B1460" s="3">
        <v>1.1558924027902939</v>
      </c>
      <c r="C1460" s="3">
        <v>6.407597209706184E-3</v>
      </c>
    </row>
    <row r="1461" spans="1:3" x14ac:dyDescent="0.3">
      <c r="A1461" s="3">
        <v>1435</v>
      </c>
      <c r="B1461" s="3">
        <v>1.1534736443024109</v>
      </c>
      <c r="C1461" s="3">
        <v>2.8263556975891557E-3</v>
      </c>
    </row>
    <row r="1462" spans="1:3" x14ac:dyDescent="0.3">
      <c r="A1462" s="3">
        <v>1436</v>
      </c>
      <c r="B1462" s="3">
        <v>1.1486299969110989</v>
      </c>
      <c r="C1462" s="3">
        <v>1.3170003088901039E-2</v>
      </c>
    </row>
    <row r="1463" spans="1:3" x14ac:dyDescent="0.3">
      <c r="A1463" s="3">
        <v>1437</v>
      </c>
      <c r="B1463" s="3">
        <v>1.1530467559753903</v>
      </c>
      <c r="C1463" s="3">
        <v>3.9532440246097256E-3</v>
      </c>
    </row>
    <row r="1464" spans="1:3" x14ac:dyDescent="0.3">
      <c r="A1464" s="3">
        <v>1438</v>
      </c>
      <c r="B1464" s="3">
        <v>1.1491622290591412</v>
      </c>
      <c r="C1464" s="3">
        <v>1.133777094085886E-2</v>
      </c>
    </row>
    <row r="1465" spans="1:3" x14ac:dyDescent="0.3">
      <c r="A1465" s="3">
        <v>1439</v>
      </c>
      <c r="B1465" s="3">
        <v>1.1519990962737392</v>
      </c>
      <c r="C1465" s="3">
        <v>1.270090372626087E-2</v>
      </c>
    </row>
    <row r="1466" spans="1:3" x14ac:dyDescent="0.3">
      <c r="A1466" s="3">
        <v>1440</v>
      </c>
      <c r="B1466" s="3">
        <v>1.155357925948882</v>
      </c>
      <c r="C1466" s="3">
        <v>1.3242074051118102E-2</v>
      </c>
    </row>
    <row r="1467" spans="1:3" x14ac:dyDescent="0.3">
      <c r="A1467" s="3">
        <v>1441</v>
      </c>
      <c r="B1467" s="3">
        <v>1.1585036619654039</v>
      </c>
      <c r="C1467" s="3">
        <v>7.1963380345960726E-3</v>
      </c>
    </row>
    <row r="1468" spans="1:3" x14ac:dyDescent="0.3">
      <c r="A1468" s="3">
        <v>1442</v>
      </c>
      <c r="B1468" s="3">
        <v>1.1561833723914092</v>
      </c>
      <c r="C1468" s="3">
        <v>7.9166276085906873E-3</v>
      </c>
    </row>
    <row r="1469" spans="1:3" x14ac:dyDescent="0.3">
      <c r="A1469" s="3">
        <v>1443</v>
      </c>
      <c r="B1469" s="3">
        <v>1.1549119933913545</v>
      </c>
      <c r="C1469" s="3">
        <v>4.8880066086454121E-3</v>
      </c>
    </row>
    <row r="1470" spans="1:3" x14ac:dyDescent="0.3">
      <c r="A1470" s="3">
        <v>1444</v>
      </c>
      <c r="B1470" s="3">
        <v>1.1514449331127414</v>
      </c>
      <c r="C1470" s="3">
        <v>9.4550668872586119E-3</v>
      </c>
    </row>
    <row r="1471" spans="1:3" x14ac:dyDescent="0.3">
      <c r="A1471" s="3">
        <v>1445</v>
      </c>
      <c r="B1471" s="3">
        <v>1.1523268735977923</v>
      </c>
      <c r="C1471" s="3">
        <v>9.4731264022076545E-3</v>
      </c>
    </row>
    <row r="1472" spans="1:3" x14ac:dyDescent="0.3">
      <c r="A1472" s="3">
        <v>1446</v>
      </c>
      <c r="B1472" s="3">
        <v>1.1530351082659545</v>
      </c>
      <c r="C1472" s="3">
        <v>9.4648917340456329E-3</v>
      </c>
    </row>
    <row r="1473" spans="1:3" x14ac:dyDescent="0.3">
      <c r="A1473" s="3">
        <v>1447</v>
      </c>
      <c r="B1473" s="3">
        <v>1.153601258869583</v>
      </c>
      <c r="C1473" s="3">
        <v>1.0798741130417122E-2</v>
      </c>
    </row>
    <row r="1474" spans="1:3" x14ac:dyDescent="0.3">
      <c r="A1474" s="3">
        <v>1448</v>
      </c>
      <c r="B1474" s="3">
        <v>1.155131904741113</v>
      </c>
      <c r="C1474" s="3">
        <v>9.8680952588869886E-3</v>
      </c>
    </row>
    <row r="1475" spans="1:3" x14ac:dyDescent="0.3">
      <c r="A1475" s="3">
        <v>1449</v>
      </c>
      <c r="B1475" s="3">
        <v>1.1556155970087398</v>
      </c>
      <c r="C1475" s="3">
        <v>4.3844029912600835E-3</v>
      </c>
    </row>
    <row r="1476" spans="1:3" x14ac:dyDescent="0.3">
      <c r="A1476" s="3">
        <v>1450</v>
      </c>
      <c r="B1476" s="3">
        <v>1.1516006994814403</v>
      </c>
      <c r="C1476" s="3">
        <v>4.8993005185598015E-3</v>
      </c>
    </row>
    <row r="1477" spans="1:3" x14ac:dyDescent="0.3">
      <c r="A1477" s="3">
        <v>1451</v>
      </c>
      <c r="B1477" s="3">
        <v>1.1487913164826238</v>
      </c>
      <c r="C1477" s="3">
        <v>4.6086835173761997E-3</v>
      </c>
    </row>
    <row r="1478" spans="1:3" x14ac:dyDescent="0.3">
      <c r="A1478" s="3">
        <v>1452</v>
      </c>
      <c r="B1478" s="3">
        <v>1.1462833152734704</v>
      </c>
      <c r="C1478" s="3">
        <v>5.6166847265295416E-3</v>
      </c>
    </row>
    <row r="1479" spans="1:3" x14ac:dyDescent="0.3">
      <c r="A1479" s="3">
        <v>1453</v>
      </c>
      <c r="B1479" s="3">
        <v>1.1450669633893504</v>
      </c>
      <c r="C1479" s="3">
        <v>3.2330366106496644E-3</v>
      </c>
    </row>
    <row r="1480" spans="1:3" x14ac:dyDescent="0.3">
      <c r="A1480" s="3">
        <v>1454</v>
      </c>
      <c r="B1480" s="3">
        <v>1.1421620954554685</v>
      </c>
      <c r="C1480" s="3">
        <v>6.9379045445314702E-3</v>
      </c>
    </row>
    <row r="1481" spans="1:3" x14ac:dyDescent="0.3">
      <c r="A1481" s="3">
        <v>1455</v>
      </c>
      <c r="B1481" s="3">
        <v>1.142802657256897</v>
      </c>
      <c r="C1481" s="3">
        <v>1.1797342743103068E-2</v>
      </c>
    </row>
    <row r="1482" spans="1:3" x14ac:dyDescent="0.3">
      <c r="A1482" s="3">
        <v>1456</v>
      </c>
      <c r="B1482" s="3">
        <v>1.1472128760899549</v>
      </c>
      <c r="C1482" s="3">
        <v>9.2871239100451586E-3</v>
      </c>
    </row>
    <row r="1483" spans="1:3" x14ac:dyDescent="0.3">
      <c r="A1483" s="3">
        <v>1457</v>
      </c>
      <c r="B1483" s="3">
        <v>1.1487400213078562</v>
      </c>
      <c r="C1483" s="3">
        <v>6.85997869214372E-3</v>
      </c>
    </row>
    <row r="1484" spans="1:3" x14ac:dyDescent="0.3">
      <c r="A1484" s="3">
        <v>1458</v>
      </c>
      <c r="B1484" s="3">
        <v>1.1480339535902075</v>
      </c>
      <c r="C1484" s="3">
        <v>9.9660464097923729E-3</v>
      </c>
    </row>
    <row r="1485" spans="1:3" x14ac:dyDescent="0.3">
      <c r="A1485" s="3">
        <v>1459</v>
      </c>
      <c r="B1485" s="3">
        <v>1.1499712064508236</v>
      </c>
      <c r="C1485" s="3">
        <v>9.2287935491763839E-3</v>
      </c>
    </row>
    <row r="1486" spans="1:3" x14ac:dyDescent="0.3">
      <c r="A1486" s="3">
        <v>1460</v>
      </c>
      <c r="B1486" s="3">
        <v>1.1509315777981748</v>
      </c>
      <c r="C1486" s="3">
        <v>1.2868422201825158E-2</v>
      </c>
    </row>
    <row r="1487" spans="1:3" x14ac:dyDescent="0.3">
      <c r="A1487" s="3">
        <v>1461</v>
      </c>
      <c r="B1487" s="3">
        <v>1.1546384397709493</v>
      </c>
      <c r="C1487" s="3">
        <v>7.3615602290506565E-3</v>
      </c>
    </row>
    <row r="1488" spans="1:3" x14ac:dyDescent="0.3">
      <c r="A1488" s="3">
        <v>1462</v>
      </c>
      <c r="B1488" s="3">
        <v>1.1531919743290002</v>
      </c>
      <c r="C1488" s="3">
        <v>5.9080256709997947E-3</v>
      </c>
    </row>
    <row r="1489" spans="1:3" x14ac:dyDescent="0.3">
      <c r="A1489" s="3">
        <v>1463</v>
      </c>
      <c r="B1489" s="3">
        <v>1.1508768119230539</v>
      </c>
      <c r="C1489" s="3">
        <v>7.0231880769460187E-3</v>
      </c>
    </row>
    <row r="1490" spans="1:3" x14ac:dyDescent="0.3">
      <c r="A1490" s="3">
        <v>1464</v>
      </c>
      <c r="B1490" s="3">
        <v>1.1499074559340516</v>
      </c>
      <c r="C1490" s="3">
        <v>3.5925440659483332E-3</v>
      </c>
    </row>
    <row r="1491" spans="1:3" x14ac:dyDescent="0.3">
      <c r="A1491" s="3">
        <v>1465</v>
      </c>
      <c r="B1491" s="3">
        <v>1.1463597115410415</v>
      </c>
      <c r="C1491" s="3">
        <v>6.3402884589585096E-3</v>
      </c>
    </row>
    <row r="1492" spans="1:3" x14ac:dyDescent="0.3">
      <c r="A1492" s="3">
        <v>1466</v>
      </c>
      <c r="B1492" s="3">
        <v>1.1457150959015556</v>
      </c>
      <c r="C1492" s="3">
        <v>5.3849040984443874E-3</v>
      </c>
    </row>
    <row r="1493" spans="1:3" x14ac:dyDescent="0.3">
      <c r="A1493" s="3">
        <v>1467</v>
      </c>
      <c r="B1493" s="3">
        <v>1.1444137063121649</v>
      </c>
      <c r="C1493" s="3">
        <v>7.5862936878350329E-3</v>
      </c>
    </row>
    <row r="1494" spans="1:3" x14ac:dyDescent="0.3">
      <c r="A1494" s="3">
        <v>1468</v>
      </c>
      <c r="B1494" s="3">
        <v>1.1451357889461451</v>
      </c>
      <c r="C1494" s="3">
        <v>1.1764211053854945E-2</v>
      </c>
    </row>
    <row r="1495" spans="1:3" x14ac:dyDescent="0.3">
      <c r="A1495" s="3">
        <v>1469</v>
      </c>
      <c r="B1495" s="3">
        <v>1.1490703139925087</v>
      </c>
      <c r="C1495" s="3">
        <v>1.0429686007491279E-2</v>
      </c>
    </row>
    <row r="1496" spans="1:3" x14ac:dyDescent="0.3">
      <c r="A1496" s="3">
        <v>1470</v>
      </c>
      <c r="B1496" s="3">
        <v>1.151161146581464</v>
      </c>
      <c r="C1496" s="3">
        <v>8.3388534185360186E-3</v>
      </c>
    </row>
    <row r="1497" spans="1:3" x14ac:dyDescent="0.3">
      <c r="A1497" s="3">
        <v>1471</v>
      </c>
      <c r="B1497" s="3">
        <v>1.1511763392633529</v>
      </c>
      <c r="C1497" s="3">
        <v>8.3236607366470317E-3</v>
      </c>
    </row>
    <row r="1498" spans="1:3" x14ac:dyDescent="0.3">
      <c r="A1498" s="3">
        <v>1472</v>
      </c>
      <c r="B1498" s="3">
        <v>1.151185307685914</v>
      </c>
      <c r="C1498" s="3">
        <v>9.6146923140860707E-3</v>
      </c>
    </row>
    <row r="1499" spans="1:3" x14ac:dyDescent="0.3">
      <c r="A1499" s="3">
        <v>1473</v>
      </c>
      <c r="B1499" s="3">
        <v>1.1522307824825839</v>
      </c>
      <c r="C1499" s="3">
        <v>1.0169217517416174E-2</v>
      </c>
    </row>
    <row r="1500" spans="1:3" x14ac:dyDescent="0.3">
      <c r="A1500" s="3">
        <v>1474</v>
      </c>
      <c r="B1500" s="3">
        <v>1.1535166660212468</v>
      </c>
      <c r="C1500" s="3">
        <v>1.3283333978753253E-2</v>
      </c>
    </row>
    <row r="1501" spans="1:3" x14ac:dyDescent="0.3">
      <c r="A1501" s="3">
        <v>1475</v>
      </c>
      <c r="B1501" s="3">
        <v>1.1570586284087969</v>
      </c>
      <c r="C1501" s="3">
        <v>7.2413715912029719E-3</v>
      </c>
    </row>
    <row r="1502" spans="1:3" x14ac:dyDescent="0.3">
      <c r="A1502" s="3">
        <v>1476</v>
      </c>
      <c r="B1502" s="3">
        <v>1.1550507262448229</v>
      </c>
      <c r="C1502" s="3">
        <v>8.9492737551770674E-3</v>
      </c>
    </row>
    <row r="1503" spans="1:3" x14ac:dyDescent="0.3">
      <c r="A1503" s="3">
        <v>1477</v>
      </c>
      <c r="B1503" s="3">
        <v>1.1548262837618928</v>
      </c>
      <c r="C1503" s="3">
        <v>8.6737162381071986E-3</v>
      </c>
    </row>
    <row r="1504" spans="1:3" x14ac:dyDescent="0.3">
      <c r="A1504" s="3">
        <v>1478</v>
      </c>
      <c r="B1504" s="3">
        <v>1.154415751819778</v>
      </c>
      <c r="C1504" s="3">
        <v>8.0842481802221311E-3</v>
      </c>
    </row>
    <row r="1505" spans="1:3" x14ac:dyDescent="0.3">
      <c r="A1505" s="3">
        <v>1479</v>
      </c>
      <c r="B1505" s="3">
        <v>1.1536108343399762</v>
      </c>
      <c r="C1505" s="3">
        <v>1.5589165660023774E-2</v>
      </c>
    </row>
    <row r="1506" spans="1:3" x14ac:dyDescent="0.3">
      <c r="A1506" s="3">
        <v>1480</v>
      </c>
      <c r="B1506" s="3">
        <v>1.1589979833435682</v>
      </c>
      <c r="C1506" s="3">
        <v>1.4702016656431782E-2</v>
      </c>
    </row>
    <row r="1507" spans="1:3" x14ac:dyDescent="0.3">
      <c r="A1507" s="3">
        <v>1481</v>
      </c>
      <c r="B1507" s="3">
        <v>1.1626090803183069</v>
      </c>
      <c r="C1507" s="3">
        <v>1.0690919681693112E-2</v>
      </c>
    </row>
    <row r="1508" spans="1:3" x14ac:dyDescent="0.3">
      <c r="A1508" s="3">
        <v>1482</v>
      </c>
      <c r="B1508" s="3">
        <v>1.1623075482183909</v>
      </c>
      <c r="C1508" s="3">
        <v>1.2892451781609138E-2</v>
      </c>
    </row>
    <row r="1509" spans="1:3" x14ac:dyDescent="0.3">
      <c r="A1509" s="3">
        <v>1483</v>
      </c>
      <c r="B1509" s="3">
        <v>1.1638513350903021</v>
      </c>
      <c r="C1509" s="3">
        <v>1.0748664909697947E-2</v>
      </c>
    </row>
    <row r="1510" spans="1:3" x14ac:dyDescent="0.3">
      <c r="A1510" s="3">
        <v>1484</v>
      </c>
      <c r="B1510" s="3">
        <v>1.1633661793668426</v>
      </c>
      <c r="C1510" s="3">
        <v>1.0533820633157331E-2</v>
      </c>
    </row>
    <row r="1511" spans="1:3" x14ac:dyDescent="0.3">
      <c r="A1511" s="3">
        <v>1485</v>
      </c>
      <c r="B1511" s="3">
        <v>1.1628101797109485</v>
      </c>
      <c r="C1511" s="3">
        <v>9.0898202890514757E-3</v>
      </c>
    </row>
    <row r="1512" spans="1:3" x14ac:dyDescent="0.3">
      <c r="A1512" s="3">
        <v>1486</v>
      </c>
      <c r="B1512" s="3">
        <v>1.1612001475192009</v>
      </c>
      <c r="C1512" s="3">
        <v>9.2998524807992311E-3</v>
      </c>
    </row>
    <row r="1513" spans="1:3" x14ac:dyDescent="0.3">
      <c r="A1513" s="3">
        <v>1487</v>
      </c>
      <c r="B1513" s="3">
        <v>1.1600731518899792</v>
      </c>
      <c r="C1513" s="3">
        <v>1.5426848110020819E-2</v>
      </c>
    </row>
    <row r="1514" spans="1:3" x14ac:dyDescent="0.3">
      <c r="A1514" s="3">
        <v>1488</v>
      </c>
      <c r="B1514" s="3">
        <v>1.1640882304303326</v>
      </c>
      <c r="C1514" s="3">
        <v>1.5111769569667421E-2</v>
      </c>
    </row>
    <row r="1515" spans="1:3" x14ac:dyDescent="0.3">
      <c r="A1515" s="3">
        <v>1489</v>
      </c>
      <c r="B1515" s="3">
        <v>1.167055696190926</v>
      </c>
      <c r="C1515" s="3">
        <v>1.1144303809073941E-2</v>
      </c>
    </row>
    <row r="1516" spans="1:3" x14ac:dyDescent="0.3">
      <c r="A1516" s="3">
        <v>1490</v>
      </c>
      <c r="B1516" s="3">
        <v>1.1662662992455632</v>
      </c>
      <c r="C1516" s="3">
        <v>1.1433700754436726E-2</v>
      </c>
    </row>
    <row r="1517" spans="1:3" x14ac:dyDescent="0.3">
      <c r="A1517" s="3">
        <v>1491</v>
      </c>
      <c r="B1517" s="3">
        <v>1.1658776137501987</v>
      </c>
      <c r="C1517" s="3">
        <v>1.0522386249801174E-2</v>
      </c>
    </row>
    <row r="1518" spans="1:3" x14ac:dyDescent="0.3">
      <c r="A1518" s="3">
        <v>1492</v>
      </c>
      <c r="B1518" s="3">
        <v>1.1648290182804757</v>
      </c>
      <c r="C1518" s="3">
        <v>1.1870981719524387E-2</v>
      </c>
    </row>
    <row r="1519" spans="1:3" x14ac:dyDescent="0.3">
      <c r="A1519" s="3">
        <v>1493</v>
      </c>
      <c r="B1519" s="3">
        <v>1.1650694116710685</v>
      </c>
      <c r="C1519" s="3">
        <v>9.4305883289316217E-3</v>
      </c>
    </row>
    <row r="1520" spans="1:3" x14ac:dyDescent="0.3">
      <c r="A1520" s="3">
        <v>1494</v>
      </c>
      <c r="B1520" s="3">
        <v>1.1632954651871261</v>
      </c>
      <c r="C1520" s="3">
        <v>1.0704534812873812E-2</v>
      </c>
    </row>
    <row r="1521" spans="1:3" x14ac:dyDescent="0.3">
      <c r="A1521" s="3">
        <v>1495</v>
      </c>
      <c r="B1521" s="3">
        <v>1.1628958406831411</v>
      </c>
      <c r="C1521" s="3">
        <v>1.1804159316858964E-2</v>
      </c>
    </row>
    <row r="1522" spans="1:3" x14ac:dyDescent="0.3">
      <c r="A1522" s="3">
        <v>1496</v>
      </c>
      <c r="B1522" s="3">
        <v>1.1634515287055742</v>
      </c>
      <c r="C1522" s="3">
        <v>8.548471294425708E-3</v>
      </c>
    </row>
    <row r="1523" spans="1:3" x14ac:dyDescent="0.3">
      <c r="A1523" s="3">
        <v>1497</v>
      </c>
      <c r="B1523" s="3">
        <v>1.1612779730690475</v>
      </c>
      <c r="C1523" s="3">
        <v>1.0822026930952466E-2</v>
      </c>
    </row>
    <row r="1524" spans="1:3" x14ac:dyDescent="0.3">
      <c r="A1524" s="3">
        <v>1498</v>
      </c>
      <c r="B1524" s="3">
        <v>1.1613625838718511</v>
      </c>
      <c r="C1524" s="3">
        <v>7.2374161281489879E-3</v>
      </c>
    </row>
    <row r="1525" spans="1:3" x14ac:dyDescent="0.3">
      <c r="A1525" s="3">
        <v>1499</v>
      </c>
      <c r="B1525" s="3">
        <v>1.1585384649287254</v>
      </c>
      <c r="C1525" s="3">
        <v>8.7615350712746398E-3</v>
      </c>
    </row>
    <row r="1526" spans="1:3" x14ac:dyDescent="0.3">
      <c r="A1526" s="3">
        <v>1500</v>
      </c>
      <c r="B1526" s="3">
        <v>1.1574956361130615</v>
      </c>
      <c r="C1526" s="3">
        <v>8.3043638869384484E-3</v>
      </c>
    </row>
    <row r="1527" spans="1:3" x14ac:dyDescent="0.3">
      <c r="A1527" s="3">
        <v>1501</v>
      </c>
      <c r="B1527" s="3">
        <v>1.1562781008360792</v>
      </c>
      <c r="C1527" s="3">
        <v>6.6218991639208635E-3</v>
      </c>
    </row>
    <row r="1528" spans="1:3" x14ac:dyDescent="0.3">
      <c r="A1528" s="3">
        <v>1502</v>
      </c>
      <c r="B1528" s="3">
        <v>1.1539423897775616</v>
      </c>
      <c r="C1528" s="3">
        <v>1.2857610222438476E-2</v>
      </c>
    </row>
    <row r="1529" spans="1:3" x14ac:dyDescent="0.3">
      <c r="A1529" s="3">
        <v>1503</v>
      </c>
      <c r="B1529" s="3">
        <v>1.1570755466550211</v>
      </c>
      <c r="C1529" s="3">
        <v>7.4244533449789873E-3</v>
      </c>
    </row>
    <row r="1530" spans="1:3" x14ac:dyDescent="0.3">
      <c r="A1530" s="3">
        <v>1504</v>
      </c>
      <c r="B1530" s="3">
        <v>1.15521329321788</v>
      </c>
      <c r="C1530" s="3">
        <v>8.8867067821198908E-3</v>
      </c>
    </row>
    <row r="1531" spans="1:3" x14ac:dyDescent="0.3">
      <c r="A1531" s="3">
        <v>1505</v>
      </c>
      <c r="B1531" s="3">
        <v>1.1549065734120023</v>
      </c>
      <c r="C1531" s="3">
        <v>5.793426587997752E-3</v>
      </c>
    </row>
    <row r="1532" spans="1:3" x14ac:dyDescent="0.3">
      <c r="A1532" s="3">
        <v>1506</v>
      </c>
      <c r="B1532" s="3">
        <v>1.1521645840846384</v>
      </c>
      <c r="C1532" s="3">
        <v>6.1354159153617083E-3</v>
      </c>
    </row>
    <row r="1533" spans="1:3" x14ac:dyDescent="0.3">
      <c r="A1533" s="3">
        <v>1507</v>
      </c>
      <c r="B1533" s="3">
        <v>1.1502353323080217</v>
      </c>
      <c r="C1533" s="3">
        <v>1.3964667691978239E-2</v>
      </c>
    </row>
    <row r="1534" spans="1:3" x14ac:dyDescent="0.3">
      <c r="A1534" s="3">
        <v>1508</v>
      </c>
      <c r="B1534" s="3">
        <v>1.1549700293820926</v>
      </c>
      <c r="C1534" s="3">
        <v>1.7129970617907331E-2</v>
      </c>
    </row>
    <row r="1535" spans="1:3" x14ac:dyDescent="0.3">
      <c r="A1535" s="3">
        <v>1509</v>
      </c>
      <c r="B1535" s="3">
        <v>1.161311141857587</v>
      </c>
      <c r="C1535" s="3">
        <v>6.8888581424129125E-3</v>
      </c>
    </row>
    <row r="1536" spans="1:3" x14ac:dyDescent="0.3">
      <c r="A1536" s="3">
        <v>1510</v>
      </c>
      <c r="B1536" s="3">
        <v>1.15818987510822</v>
      </c>
      <c r="C1536" s="3">
        <v>1.7010124891779999E-2</v>
      </c>
    </row>
    <row r="1537" spans="1:3" x14ac:dyDescent="0.3">
      <c r="A1537" s="3">
        <v>1511</v>
      </c>
      <c r="B1537" s="3">
        <v>1.1638491690074773</v>
      </c>
      <c r="C1537" s="3">
        <v>1.9250830992522783E-2</v>
      </c>
    </row>
    <row r="1538" spans="1:3" x14ac:dyDescent="0.3">
      <c r="A1538" s="3">
        <v>1512</v>
      </c>
      <c r="B1538" s="3">
        <v>1.1701843842085056</v>
      </c>
      <c r="C1538" s="3">
        <v>1.7315615791494432E-2</v>
      </c>
    </row>
    <row r="1539" spans="1:3" ht="16.5" thickBot="1" x14ac:dyDescent="0.35">
      <c r="A1539" s="4">
        <v>1513</v>
      </c>
      <c r="B1539" s="4">
        <v>1.1737418662628056</v>
      </c>
      <c r="C1539" s="4">
        <v>3.0158133737194337E-2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5566-3D98-4608-8E32-B53381F6EE12}">
  <dimension ref="A1:I1538"/>
  <sheetViews>
    <sheetView topLeftCell="A6" workbookViewId="0">
      <selection activeCell="G28" sqref="G28"/>
    </sheetView>
  </sheetViews>
  <sheetFormatPr defaultRowHeight="15.9" x14ac:dyDescent="0.3"/>
  <sheetData>
    <row r="1" spans="1:9" x14ac:dyDescent="0.3">
      <c r="A1" t="s">
        <v>10</v>
      </c>
    </row>
    <row r="2" spans="1:9" ht="16.5" thickBot="1" x14ac:dyDescent="0.35"/>
    <row r="3" spans="1:9" x14ac:dyDescent="0.3">
      <c r="A3" s="6" t="s">
        <v>11</v>
      </c>
      <c r="B3" s="6"/>
    </row>
    <row r="4" spans="1:9" x14ac:dyDescent="0.3">
      <c r="A4" s="3" t="s">
        <v>12</v>
      </c>
      <c r="B4" s="3">
        <v>0.89778295328153956</v>
      </c>
    </row>
    <row r="5" spans="1:9" x14ac:dyDescent="0.3">
      <c r="A5" s="3" t="s">
        <v>13</v>
      </c>
      <c r="B5" s="3">
        <v>0.80601423120292304</v>
      </c>
    </row>
    <row r="6" spans="1:9" x14ac:dyDescent="0.3">
      <c r="A6" s="3" t="s">
        <v>14</v>
      </c>
      <c r="B6" s="3">
        <v>0.80575729640981431</v>
      </c>
    </row>
    <row r="7" spans="1:9" x14ac:dyDescent="0.3">
      <c r="A7" s="3" t="s">
        <v>15</v>
      </c>
      <c r="B7" s="3">
        <v>2.5783158903582563E-2</v>
      </c>
    </row>
    <row r="8" spans="1:9" ht="16.5" thickBot="1" x14ac:dyDescent="0.35">
      <c r="A8" s="4" t="s">
        <v>16</v>
      </c>
      <c r="B8" s="4">
        <v>1513</v>
      </c>
    </row>
    <row r="10" spans="1:9" ht="16.5" thickBot="1" x14ac:dyDescent="0.35">
      <c r="A10" t="s">
        <v>17</v>
      </c>
    </row>
    <row r="11" spans="1:9" x14ac:dyDescent="0.3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">
      <c r="A12" s="3" t="s">
        <v>18</v>
      </c>
      <c r="B12" s="3">
        <v>2</v>
      </c>
      <c r="C12" s="3">
        <v>4.1708256647398798</v>
      </c>
      <c r="D12" s="3">
        <v>2.0854128323699399</v>
      </c>
      <c r="E12" s="3">
        <v>3137.0380844523929</v>
      </c>
      <c r="F12" s="3">
        <v>0</v>
      </c>
    </row>
    <row r="13" spans="1:9" x14ac:dyDescent="0.3">
      <c r="A13" s="3" t="s">
        <v>19</v>
      </c>
      <c r="B13" s="3">
        <v>1510</v>
      </c>
      <c r="C13" s="3">
        <v>1.003804637401557</v>
      </c>
      <c r="D13" s="3">
        <v>6.6477128304738879E-4</v>
      </c>
      <c r="E13" s="3"/>
      <c r="F13" s="3"/>
    </row>
    <row r="14" spans="1:9" ht="16.5" thickBot="1" x14ac:dyDescent="0.35">
      <c r="A14" s="4" t="s">
        <v>20</v>
      </c>
      <c r="B14" s="4">
        <v>1512</v>
      </c>
      <c r="C14" s="4">
        <v>5.1746303021414368</v>
      </c>
      <c r="D14" s="4"/>
      <c r="E14" s="4"/>
      <c r="F14" s="4"/>
    </row>
    <row r="15" spans="1:9" ht="16.5" thickBot="1" x14ac:dyDescent="0.35"/>
    <row r="16" spans="1:9" x14ac:dyDescent="0.3">
      <c r="A16" s="5"/>
      <c r="B16" s="5" t="s">
        <v>27</v>
      </c>
      <c r="C16" s="5" t="s">
        <v>15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33</v>
      </c>
    </row>
    <row r="17" spans="1:9" x14ac:dyDescent="0.3">
      <c r="A17" s="3" t="s">
        <v>21</v>
      </c>
      <c r="B17" s="3">
        <v>0.21546330081156434</v>
      </c>
      <c r="C17" s="3">
        <v>1.1351439206861809E-2</v>
      </c>
      <c r="D17" s="3">
        <v>18.981143878330368</v>
      </c>
      <c r="E17" s="3">
        <v>3.2080046910251516E-72</v>
      </c>
      <c r="F17" s="3">
        <v>0.19319704116193437</v>
      </c>
      <c r="G17" s="3">
        <v>0.23772956046119431</v>
      </c>
      <c r="H17" s="3">
        <v>0.19319704116193437</v>
      </c>
      <c r="I17" s="3">
        <v>0.23772956046119431</v>
      </c>
    </row>
    <row r="18" spans="1:9" x14ac:dyDescent="0.3">
      <c r="A18" s="3" t="s">
        <v>6</v>
      </c>
      <c r="B18" s="3">
        <v>0.80422326992836901</v>
      </c>
      <c r="C18" s="3">
        <v>2.5259130136440912E-2</v>
      </c>
      <c r="D18" s="3">
        <v>31.838913912879761</v>
      </c>
      <c r="E18" s="3">
        <v>1.2502297839240195E-170</v>
      </c>
      <c r="F18" s="3">
        <v>0.75467657017581191</v>
      </c>
      <c r="G18" s="3">
        <v>0.85376996968092611</v>
      </c>
      <c r="H18" s="3">
        <v>0.75467657017581191</v>
      </c>
      <c r="I18" s="3">
        <v>0.85376996968092611</v>
      </c>
    </row>
    <row r="19" spans="1:9" ht="16.5" thickBot="1" x14ac:dyDescent="0.35">
      <c r="A19" s="4" t="s">
        <v>7</v>
      </c>
      <c r="B19" s="4">
        <v>2.7791054029302166E-3</v>
      </c>
      <c r="C19" s="4">
        <v>2.3134179485279065E-2</v>
      </c>
      <c r="D19" s="4">
        <v>0.120129845309562</v>
      </c>
      <c r="E19" s="4">
        <v>0.90439627154244051</v>
      </c>
      <c r="F19" s="4">
        <v>-4.25994265887654E-2</v>
      </c>
      <c r="G19" s="4">
        <v>4.8157637394625828E-2</v>
      </c>
      <c r="H19" s="4">
        <v>-4.25994265887654E-2</v>
      </c>
      <c r="I19" s="4">
        <v>4.8157637394625828E-2</v>
      </c>
    </row>
    <row r="23" spans="1:9" x14ac:dyDescent="0.3">
      <c r="A23" t="s">
        <v>34</v>
      </c>
    </row>
    <row r="24" spans="1:9" ht="16.5" thickBot="1" x14ac:dyDescent="0.35"/>
    <row r="25" spans="1:9" x14ac:dyDescent="0.3">
      <c r="A25" s="5" t="s">
        <v>35</v>
      </c>
      <c r="B25" s="5" t="s">
        <v>43</v>
      </c>
      <c r="C25" s="5" t="s">
        <v>37</v>
      </c>
    </row>
    <row r="26" spans="1:9" x14ac:dyDescent="0.3">
      <c r="A26" s="3">
        <v>1</v>
      </c>
      <c r="B26" s="3">
        <v>0.21546330081156434</v>
      </c>
      <c r="C26" s="3">
        <v>0.87723669918843572</v>
      </c>
    </row>
    <row r="27" spans="1:9" x14ac:dyDescent="0.3">
      <c r="A27" s="3">
        <v>2</v>
      </c>
      <c r="B27" s="3">
        <v>1.0942380678622932</v>
      </c>
      <c r="C27" s="3">
        <v>-7.3806786229324572E-4</v>
      </c>
    </row>
    <row r="28" spans="1:9" x14ac:dyDescent="0.3">
      <c r="A28" s="3">
        <v>3</v>
      </c>
      <c r="B28" s="3">
        <v>1.0979181749520175</v>
      </c>
      <c r="C28" s="3">
        <v>-6.6181749520175526E-3</v>
      </c>
    </row>
    <row r="29" spans="1:9" x14ac:dyDescent="0.3">
      <c r="A29" s="3">
        <v>4</v>
      </c>
      <c r="B29" s="3">
        <v>1.0961511070424976</v>
      </c>
      <c r="C29" s="3">
        <v>1.7488929575024681E-3</v>
      </c>
    </row>
    <row r="30" spans="1:9" x14ac:dyDescent="0.3">
      <c r="A30" s="3">
        <v>5</v>
      </c>
      <c r="B30" s="3">
        <v>1.1014528665921384</v>
      </c>
      <c r="C30" s="3">
        <v>-1.0752866592138366E-2</v>
      </c>
    </row>
    <row r="31" spans="1:9" x14ac:dyDescent="0.3">
      <c r="A31" s="3">
        <v>6</v>
      </c>
      <c r="B31" s="3">
        <v>1.0956808011443135</v>
      </c>
      <c r="C31" s="3">
        <v>-1.2180801144313635E-2</v>
      </c>
    </row>
    <row r="32" spans="1:9" x14ac:dyDescent="0.3">
      <c r="A32" s="3">
        <v>7</v>
      </c>
      <c r="B32" s="3">
        <v>1.0898703840419279</v>
      </c>
      <c r="C32" s="3">
        <v>-2.2703840419280308E-3</v>
      </c>
    </row>
    <row r="33" spans="1:3" x14ac:dyDescent="0.3">
      <c r="A33" s="3">
        <v>8</v>
      </c>
      <c r="B33" s="3">
        <v>1.0931476898897332</v>
      </c>
      <c r="C33" s="3">
        <v>-6.9476898897331552E-3</v>
      </c>
    </row>
    <row r="34" spans="1:3" x14ac:dyDescent="0.3">
      <c r="A34" s="3">
        <v>9</v>
      </c>
      <c r="B34" s="3">
        <v>1.0920331716439857</v>
      </c>
      <c r="C34" s="3">
        <v>-6.4331716439858244E-3</v>
      </c>
    </row>
    <row r="35" spans="1:3" x14ac:dyDescent="0.3">
      <c r="A35" s="3">
        <v>10</v>
      </c>
      <c r="B35" s="3">
        <v>1.0915467469344644</v>
      </c>
      <c r="C35" s="3">
        <v>-9.3467469344643561E-3</v>
      </c>
    </row>
    <row r="36" spans="1:3" x14ac:dyDescent="0.3">
      <c r="A36" s="3">
        <v>11</v>
      </c>
      <c r="B36" s="3">
        <v>1.0888107203534663</v>
      </c>
      <c r="C36" s="3">
        <v>-1.1210720353466375E-2</v>
      </c>
    </row>
    <row r="37" spans="1:3" x14ac:dyDescent="0.3">
      <c r="A37" s="3">
        <v>12</v>
      </c>
      <c r="B37" s="3">
        <v>1.0851018443534257</v>
      </c>
      <c r="C37" s="3">
        <v>-3.1018443534256424E-3</v>
      </c>
    </row>
    <row r="38" spans="1:3" x14ac:dyDescent="0.3">
      <c r="A38" s="3">
        <v>13</v>
      </c>
      <c r="B38" s="3">
        <v>1.0886276428562573</v>
      </c>
      <c r="C38" s="3">
        <v>-5.8276428562573646E-3</v>
      </c>
    </row>
    <row r="39" spans="1:3" x14ac:dyDescent="0.3">
      <c r="A39" s="3">
        <v>14</v>
      </c>
      <c r="B39" s="3">
        <v>1.0892832495359728</v>
      </c>
      <c r="C39" s="3">
        <v>-7.4832495359726803E-3</v>
      </c>
    </row>
    <row r="40" spans="1:3" x14ac:dyDescent="0.3">
      <c r="A40" s="3">
        <v>15</v>
      </c>
      <c r="B40" s="3">
        <v>1.0884812495503668</v>
      </c>
      <c r="C40" s="3">
        <v>-1.181249550366914E-3</v>
      </c>
    </row>
    <row r="41" spans="1:3" x14ac:dyDescent="0.3">
      <c r="A41" s="3">
        <v>16</v>
      </c>
      <c r="B41" s="3">
        <v>1.0929016984295696</v>
      </c>
      <c r="C41" s="3">
        <v>2.5983015704302836E-3</v>
      </c>
    </row>
    <row r="42" spans="1:3" x14ac:dyDescent="0.3">
      <c r="A42" s="3">
        <v>17</v>
      </c>
      <c r="B42" s="3">
        <v>1.0995116143226986</v>
      </c>
      <c r="C42" s="3">
        <v>-1.2116143226985621E-3</v>
      </c>
    </row>
    <row r="43" spans="1:3" x14ac:dyDescent="0.3">
      <c r="A43" s="3">
        <v>18</v>
      </c>
      <c r="B43" s="3">
        <v>1.1017862281428021</v>
      </c>
      <c r="C43" s="3">
        <v>-1.1186228142802124E-2</v>
      </c>
    </row>
    <row r="44" spans="1:3" x14ac:dyDescent="0.3">
      <c r="A44" s="3">
        <v>19</v>
      </c>
      <c r="B44" s="3">
        <v>1.095601490459482</v>
      </c>
      <c r="C44" s="3">
        <v>-1.1801490459481867E-2</v>
      </c>
    </row>
    <row r="45" spans="1:3" x14ac:dyDescent="0.3">
      <c r="A45" s="3">
        <v>20</v>
      </c>
      <c r="B45" s="3">
        <v>1.0901113731123664</v>
      </c>
      <c r="C45" s="3">
        <v>-1.0711373112366473E-2</v>
      </c>
    </row>
    <row r="46" spans="1:3" x14ac:dyDescent="0.3">
      <c r="A46" s="3">
        <v>21</v>
      </c>
      <c r="B46" s="3">
        <v>1.0865538928079415</v>
      </c>
      <c r="C46" s="3">
        <v>-3.3538928079415165E-3</v>
      </c>
    </row>
    <row r="47" spans="1:3" x14ac:dyDescent="0.3">
      <c r="A47" s="3">
        <v>22</v>
      </c>
      <c r="B47" s="3">
        <v>1.0895977131698964</v>
      </c>
      <c r="C47" s="3">
        <v>-5.5977131698963234E-3</v>
      </c>
    </row>
    <row r="48" spans="1:3" x14ac:dyDescent="0.3">
      <c r="A48" s="3">
        <v>23</v>
      </c>
      <c r="B48" s="3">
        <v>1.0902516523863703</v>
      </c>
      <c r="C48" s="3">
        <v>-9.6516523863703352E-3</v>
      </c>
    </row>
    <row r="49" spans="1:3" x14ac:dyDescent="0.3">
      <c r="A49" s="3">
        <v>24</v>
      </c>
      <c r="B49" s="3">
        <v>1.0875195165529363</v>
      </c>
      <c r="C49" s="3">
        <v>-2.9195165529363187E-3</v>
      </c>
    </row>
    <row r="50" spans="1:3" x14ac:dyDescent="0.3">
      <c r="A50" s="3">
        <v>25</v>
      </c>
      <c r="B50" s="3">
        <v>1.0907269606742798</v>
      </c>
      <c r="C50" s="3">
        <v>-9.1269606742798715E-3</v>
      </c>
    </row>
    <row r="51" spans="1:3" x14ac:dyDescent="0.3">
      <c r="A51" s="3">
        <v>26</v>
      </c>
      <c r="B51" s="3">
        <v>1.0883254072861062</v>
      </c>
      <c r="C51" s="3">
        <v>-7.9254072861061342E-3</v>
      </c>
    </row>
    <row r="52" spans="1:3" x14ac:dyDescent="0.3">
      <c r="A52" s="3">
        <v>27</v>
      </c>
      <c r="B52" s="3">
        <v>1.0873520020459835</v>
      </c>
      <c r="C52" s="3">
        <v>-5.8520020459835731E-3</v>
      </c>
    </row>
    <row r="53" spans="1:3" x14ac:dyDescent="0.3">
      <c r="A53" s="3">
        <v>28</v>
      </c>
      <c r="B53" s="3">
        <v>1.088233312716421</v>
      </c>
      <c r="C53" s="3">
        <v>2.9666872835789615E-3</v>
      </c>
    </row>
    <row r="54" spans="1:3" x14ac:dyDescent="0.3">
      <c r="A54" s="3">
        <v>29</v>
      </c>
      <c r="B54" s="3">
        <v>1.0960373354506696</v>
      </c>
      <c r="C54" s="3">
        <v>-3.9373354506695435E-3</v>
      </c>
    </row>
    <row r="55" spans="1:3" x14ac:dyDescent="0.3">
      <c r="A55" s="3">
        <v>30</v>
      </c>
      <c r="B55" s="3">
        <v>1.0967880937160137</v>
      </c>
      <c r="C55" s="3">
        <v>9.1190628398618578E-4</v>
      </c>
    </row>
    <row r="56" spans="1:3" x14ac:dyDescent="0.3">
      <c r="A56" s="3">
        <v>31</v>
      </c>
      <c r="B56" s="3">
        <v>1.101294245222475</v>
      </c>
      <c r="C56" s="3">
        <v>-6.3942452224750035E-3</v>
      </c>
    </row>
    <row r="57" spans="1:3" x14ac:dyDescent="0.3">
      <c r="A57" s="3">
        <v>32</v>
      </c>
      <c r="B57" s="3">
        <v>1.0990579830569323</v>
      </c>
      <c r="C57" s="3">
        <v>-9.0579830569321729E-3</v>
      </c>
    </row>
    <row r="58" spans="1:3" x14ac:dyDescent="0.3">
      <c r="A58" s="3">
        <v>33</v>
      </c>
      <c r="B58" s="3">
        <v>1.095109507539155</v>
      </c>
      <c r="C58" s="3">
        <v>-5.209507539154945E-3</v>
      </c>
    </row>
    <row r="59" spans="1:3" x14ac:dyDescent="0.3">
      <c r="A59" s="3">
        <v>34</v>
      </c>
      <c r="B59" s="3">
        <v>1.0950154675956876</v>
      </c>
      <c r="C59" s="3">
        <v>2.9845324043125121E-3</v>
      </c>
    </row>
    <row r="60" spans="1:3" x14ac:dyDescent="0.3">
      <c r="A60" s="3">
        <v>35</v>
      </c>
      <c r="B60" s="3">
        <v>1.1015293981715673</v>
      </c>
      <c r="C60" s="3">
        <v>-1.2293981715671976E-3</v>
      </c>
    </row>
    <row r="61" spans="1:3" x14ac:dyDescent="0.3">
      <c r="A61" s="3">
        <v>36</v>
      </c>
      <c r="B61" s="3">
        <v>1.1034016224461662</v>
      </c>
      <c r="C61" s="3">
        <v>4.1983775538336765E-3</v>
      </c>
    </row>
    <row r="62" spans="1:3" x14ac:dyDescent="0.3">
      <c r="A62" s="3">
        <v>37</v>
      </c>
      <c r="B62" s="3">
        <v>1.10927884425907</v>
      </c>
      <c r="C62" s="3">
        <v>5.2115574092992389E-4</v>
      </c>
    </row>
    <row r="63" spans="1:3" x14ac:dyDescent="0.3">
      <c r="A63" s="3">
        <v>38</v>
      </c>
      <c r="B63" s="3">
        <v>1.1110684229223535</v>
      </c>
      <c r="C63" s="3">
        <v>2.3315770776464184E-3</v>
      </c>
    </row>
    <row r="64" spans="1:3" x14ac:dyDescent="0.3">
      <c r="A64" s="3">
        <v>39</v>
      </c>
      <c r="B64" s="3">
        <v>1.1139697407259823</v>
      </c>
      <c r="C64" s="3">
        <v>2.930259274017688E-3</v>
      </c>
    </row>
    <row r="65" spans="1:3" x14ac:dyDescent="0.3">
      <c r="A65" s="3">
        <v>40</v>
      </c>
      <c r="B65" s="3">
        <v>1.116794526950182</v>
      </c>
      <c r="C65" s="3">
        <v>6.4054730498179779E-3</v>
      </c>
    </row>
    <row r="66" spans="1:3" x14ac:dyDescent="0.3">
      <c r="A66" s="3">
        <v>41</v>
      </c>
      <c r="B66" s="3">
        <v>1.121870860419641</v>
      </c>
      <c r="C66" s="3">
        <v>1.1729139580358927E-2</v>
      </c>
    </row>
    <row r="67" spans="1:3" x14ac:dyDescent="0.3">
      <c r="A67" s="3">
        <v>42</v>
      </c>
      <c r="B67" s="3">
        <v>1.1302522907909347</v>
      </c>
      <c r="C67" s="3">
        <v>-1.8522907909346298E-3</v>
      </c>
    </row>
    <row r="68" spans="1:3" x14ac:dyDescent="0.3">
      <c r="A68" s="3">
        <v>43</v>
      </c>
      <c r="B68" s="3">
        <v>1.1260992324834977</v>
      </c>
      <c r="C68" s="3">
        <v>3.1007675165022341E-3</v>
      </c>
    </row>
    <row r="69" spans="1:3" x14ac:dyDescent="0.3">
      <c r="A69" s="3">
        <v>44</v>
      </c>
      <c r="B69" s="3">
        <v>1.126728159751345</v>
      </c>
      <c r="C69" s="3">
        <v>7.2718402486549039E-3</v>
      </c>
    </row>
    <row r="70" spans="1:3" x14ac:dyDescent="0.3">
      <c r="A70" s="3">
        <v>45</v>
      </c>
      <c r="B70" s="3">
        <v>1.1305906547313236</v>
      </c>
      <c r="C70" s="3">
        <v>6.3093452686764362E-3</v>
      </c>
    </row>
    <row r="71" spans="1:3" x14ac:dyDescent="0.3">
      <c r="A71" s="3">
        <v>46</v>
      </c>
      <c r="B71" s="3">
        <v>1.1329362419200499</v>
      </c>
      <c r="C71" s="3">
        <v>-3.2362419200500092E-3</v>
      </c>
    </row>
    <row r="72" spans="1:3" x14ac:dyDescent="0.3">
      <c r="A72" s="3">
        <v>47</v>
      </c>
      <c r="B72" s="3">
        <v>1.1271538937822341</v>
      </c>
      <c r="C72" s="3">
        <v>-1.7538937822341172E-3</v>
      </c>
    </row>
    <row r="73" spans="1:3" x14ac:dyDescent="0.3">
      <c r="A73" s="3">
        <v>48</v>
      </c>
      <c r="B73" s="3">
        <v>1.1236757241626412</v>
      </c>
      <c r="C73" s="3">
        <v>8.52427583735893E-3</v>
      </c>
    </row>
    <row r="74" spans="1:3" x14ac:dyDescent="0.3">
      <c r="A74" s="3">
        <v>49</v>
      </c>
      <c r="B74" s="3">
        <v>1.1291324922449215</v>
      </c>
      <c r="C74" s="3">
        <v>-2.8324922449214363E-3</v>
      </c>
    </row>
    <row r="75" spans="1:3" x14ac:dyDescent="0.3">
      <c r="A75" s="3">
        <v>50</v>
      </c>
      <c r="B75" s="3">
        <v>1.1244064728690839</v>
      </c>
      <c r="C75" s="3">
        <v>-1.0647286908382902E-4</v>
      </c>
    </row>
    <row r="76" spans="1:3" x14ac:dyDescent="0.3">
      <c r="A76" s="3">
        <v>51</v>
      </c>
      <c r="B76" s="3">
        <v>1.1227816296073501</v>
      </c>
      <c r="C76" s="3">
        <v>-2.5816296073499778E-3</v>
      </c>
    </row>
    <row r="77" spans="1:3" x14ac:dyDescent="0.3">
      <c r="A77" s="3">
        <v>52</v>
      </c>
      <c r="B77" s="3">
        <v>1.1194787559898378</v>
      </c>
      <c r="C77" s="3">
        <v>-1.978755989837877E-3</v>
      </c>
    </row>
    <row r="78" spans="1:3" x14ac:dyDescent="0.3">
      <c r="A78" s="3">
        <v>53</v>
      </c>
      <c r="B78" s="3">
        <v>1.1172959588288789</v>
      </c>
      <c r="C78" s="3">
        <v>8.504041171121024E-3</v>
      </c>
    </row>
    <row r="79" spans="1:3" x14ac:dyDescent="0.3">
      <c r="A79" s="3">
        <v>54</v>
      </c>
      <c r="B79" s="3">
        <v>1.1239635083846966</v>
      </c>
      <c r="C79" s="3">
        <v>6.6364916153034414E-3</v>
      </c>
    </row>
    <row r="80" spans="1:3" x14ac:dyDescent="0.3">
      <c r="A80" s="3">
        <v>55</v>
      </c>
      <c r="B80" s="3">
        <v>1.1278468466551972</v>
      </c>
      <c r="C80" s="3">
        <v>-2.8468466551971883E-3</v>
      </c>
    </row>
    <row r="81" spans="1:3" x14ac:dyDescent="0.3">
      <c r="A81" s="3">
        <v>56</v>
      </c>
      <c r="B81" s="3">
        <v>1.1233565360495323</v>
      </c>
      <c r="C81" s="3">
        <v>-1.65653604953242E-3</v>
      </c>
    </row>
    <row r="82" spans="1:3" x14ac:dyDescent="0.3">
      <c r="A82" s="3">
        <v>57</v>
      </c>
      <c r="B82" s="3">
        <v>1.1206870362685122</v>
      </c>
      <c r="C82" s="3">
        <v>1.0129637314877371E-3</v>
      </c>
    </row>
    <row r="83" spans="1:3" x14ac:dyDescent="0.3">
      <c r="A83" s="3">
        <v>58</v>
      </c>
      <c r="B83" s="3">
        <v>1.1206778652206826</v>
      </c>
      <c r="C83" s="3">
        <v>3.3221347793175315E-3</v>
      </c>
    </row>
    <row r="84" spans="1:3" x14ac:dyDescent="0.3">
      <c r="A84" s="3">
        <v>59</v>
      </c>
      <c r="B84" s="3">
        <v>1.1225275787415181</v>
      </c>
      <c r="C84" s="3">
        <v>5.7242125848189218E-4</v>
      </c>
    </row>
    <row r="85" spans="1:3" x14ac:dyDescent="0.3">
      <c r="A85" s="3">
        <v>60</v>
      </c>
      <c r="B85" s="3">
        <v>1.121810169741009</v>
      </c>
      <c r="C85" s="3">
        <v>3.1898302589909999E-3</v>
      </c>
    </row>
    <row r="86" spans="1:3" x14ac:dyDescent="0.3">
      <c r="A86" s="3">
        <v>61</v>
      </c>
      <c r="B86" s="3">
        <v>1.1233356927590104</v>
      </c>
      <c r="C86" s="3">
        <v>4.6430724098955878E-4</v>
      </c>
    </row>
    <row r="87" spans="1:3" x14ac:dyDescent="0.3">
      <c r="A87" s="3">
        <v>62</v>
      </c>
      <c r="B87" s="3">
        <v>1.1223759051353617</v>
      </c>
      <c r="C87" s="3">
        <v>2.4240948646383487E-3</v>
      </c>
    </row>
    <row r="88" spans="1:3" x14ac:dyDescent="0.3">
      <c r="A88" s="3">
        <v>63</v>
      </c>
      <c r="B88" s="3">
        <v>1.1231767934788068</v>
      </c>
      <c r="C88" s="3">
        <v>7.6232065211931932E-3</v>
      </c>
    </row>
    <row r="89" spans="1:3" x14ac:dyDescent="0.3">
      <c r="A89" s="3">
        <v>64</v>
      </c>
      <c r="B89" s="3">
        <v>1.1280049122037801</v>
      </c>
      <c r="C89" s="3">
        <v>-1.0049122037800728E-3</v>
      </c>
    </row>
    <row r="90" spans="1:3" x14ac:dyDescent="0.3">
      <c r="A90" s="3">
        <v>65</v>
      </c>
      <c r="B90" s="3">
        <v>1.1249655384104695</v>
      </c>
      <c r="C90" s="3">
        <v>7.9344615895304837E-3</v>
      </c>
    </row>
    <row r="91" spans="1:3" x14ac:dyDescent="0.3">
      <c r="A91" s="3">
        <v>66</v>
      </c>
      <c r="B91" s="3">
        <v>1.1296998951025159</v>
      </c>
      <c r="C91" s="3">
        <v>-1.5998951025157915E-3</v>
      </c>
    </row>
    <row r="92" spans="1:3" x14ac:dyDescent="0.3">
      <c r="A92" s="3">
        <v>67</v>
      </c>
      <c r="B92" s="3">
        <v>1.1258560201287371</v>
      </c>
      <c r="C92" s="3">
        <v>3.943979871262826E-3</v>
      </c>
    </row>
    <row r="93" spans="1:3" x14ac:dyDescent="0.3">
      <c r="A93" s="3">
        <v>68</v>
      </c>
      <c r="B93" s="3">
        <v>1.1272098599816811</v>
      </c>
      <c r="C93" s="3">
        <v>6.790140018318791E-3</v>
      </c>
    </row>
    <row r="94" spans="1:3" x14ac:dyDescent="0.3">
      <c r="A94" s="3">
        <v>69</v>
      </c>
      <c r="B94" s="3">
        <v>1.1305923221945653</v>
      </c>
      <c r="C94" s="3">
        <v>9.0076778054346551E-3</v>
      </c>
    </row>
    <row r="95" spans="1:3" x14ac:dyDescent="0.3">
      <c r="A95" s="3">
        <v>70</v>
      </c>
      <c r="B95" s="3">
        <v>1.1351076447488566</v>
      </c>
      <c r="C95" s="3">
        <v>5.8923552511433996E-3</v>
      </c>
    </row>
    <row r="96" spans="1:3" x14ac:dyDescent="0.3">
      <c r="A96" s="3">
        <v>71</v>
      </c>
      <c r="B96" s="3">
        <v>1.1362491203170126</v>
      </c>
      <c r="C96" s="3">
        <v>2.0508796829874498E-3</v>
      </c>
    </row>
    <row r="97" spans="1:3" x14ac:dyDescent="0.3">
      <c r="A97" s="3">
        <v>72</v>
      </c>
      <c r="B97" s="3">
        <v>1.1340816082357701</v>
      </c>
      <c r="C97" s="3">
        <v>8.5183917642299711E-3</v>
      </c>
    </row>
    <row r="98" spans="1:3" x14ac:dyDescent="0.3">
      <c r="A98" s="3">
        <v>73</v>
      </c>
      <c r="B98" s="3">
        <v>1.1375322647118742</v>
      </c>
      <c r="C98" s="3">
        <v>6.867735288125898E-3</v>
      </c>
    </row>
    <row r="99" spans="1:3" x14ac:dyDescent="0.3">
      <c r="A99" s="3">
        <v>74</v>
      </c>
      <c r="B99" s="3">
        <v>1.138991816750978</v>
      </c>
      <c r="C99" s="3">
        <v>1.3608183249022021E-2</v>
      </c>
    </row>
    <row r="100" spans="1:3" x14ac:dyDescent="0.3">
      <c r="A100" s="3">
        <v>75</v>
      </c>
      <c r="B100" s="3">
        <v>1.1455914499541158</v>
      </c>
      <c r="C100" s="3">
        <v>1.120855004588428E-2</v>
      </c>
    </row>
    <row r="101" spans="1:3" x14ac:dyDescent="0.3">
      <c r="A101" s="3">
        <v>76</v>
      </c>
      <c r="B101" s="3">
        <v>1.148991976352119</v>
      </c>
      <c r="C101" s="3">
        <v>1.040802364788096E-2</v>
      </c>
    </row>
    <row r="102" spans="1:3" x14ac:dyDescent="0.3">
      <c r="A102" s="3">
        <v>77</v>
      </c>
      <c r="B102" s="3">
        <v>1.1510946290966251</v>
      </c>
      <c r="C102" s="3">
        <v>1.4305370903374914E-2</v>
      </c>
    </row>
    <row r="103" spans="1:3" x14ac:dyDescent="0.3">
      <c r="A103" s="3">
        <v>78</v>
      </c>
      <c r="B103" s="3">
        <v>1.1559271943902427</v>
      </c>
      <c r="C103" s="3">
        <v>1.9172805609757315E-2</v>
      </c>
    </row>
    <row r="104" spans="1:3" x14ac:dyDescent="0.3">
      <c r="A104" s="3">
        <v>79</v>
      </c>
      <c r="B104" s="3">
        <v>1.1637448347409658</v>
      </c>
      <c r="C104" s="3">
        <v>7.6551652590342023E-3</v>
      </c>
    </row>
    <row r="105" spans="1:3" x14ac:dyDescent="0.3">
      <c r="A105" s="3">
        <v>80</v>
      </c>
      <c r="B105" s="3">
        <v>1.1607961659646391</v>
      </c>
      <c r="C105" s="3">
        <v>1.8203834035360966E-2</v>
      </c>
    </row>
    <row r="106" spans="1:3" x14ac:dyDescent="0.3">
      <c r="A106" s="3">
        <v>81</v>
      </c>
      <c r="B106" s="3">
        <v>1.1668979801261039</v>
      </c>
      <c r="C106" s="3">
        <v>1.7702019873896191E-2</v>
      </c>
    </row>
    <row r="107" spans="1:3" x14ac:dyDescent="0.3">
      <c r="A107" s="3">
        <v>82</v>
      </c>
      <c r="B107" s="3">
        <v>1.1714227516387652</v>
      </c>
      <c r="C107" s="3">
        <v>5.9772483612348104E-3</v>
      </c>
    </row>
    <row r="108" spans="1:3" x14ac:dyDescent="0.3">
      <c r="A108" s="3">
        <v>83</v>
      </c>
      <c r="B108" s="3">
        <v>1.1656479070855372</v>
      </c>
      <c r="C108" s="3">
        <v>1.0452092914462696E-2</v>
      </c>
    </row>
    <row r="109" spans="1:3" x14ac:dyDescent="0.3">
      <c r="A109" s="3">
        <v>84</v>
      </c>
      <c r="B109" s="3">
        <v>1.1645824072757291</v>
      </c>
      <c r="C109" s="3">
        <v>1.541759272427079E-2</v>
      </c>
    </row>
    <row r="110" spans="1:3" x14ac:dyDescent="0.3">
      <c r="A110" s="3">
        <v>85</v>
      </c>
      <c r="B110" s="3">
        <v>1.167715265191426</v>
      </c>
      <c r="C110" s="3">
        <v>1.8384734808573944E-2</v>
      </c>
    </row>
    <row r="111" spans="1:3" x14ac:dyDescent="0.3">
      <c r="A111" s="3">
        <v>86</v>
      </c>
      <c r="B111" s="3">
        <v>1.1726318656490604</v>
      </c>
      <c r="C111" s="3">
        <v>1.4868134350939588E-2</v>
      </c>
    </row>
    <row r="112" spans="1:3" x14ac:dyDescent="0.3">
      <c r="A112" s="3">
        <v>87</v>
      </c>
      <c r="B112" s="3">
        <v>1.1737747307699182</v>
      </c>
      <c r="C112" s="3">
        <v>4.8252692300818634E-3</v>
      </c>
    </row>
    <row r="113" spans="1:3" x14ac:dyDescent="0.3">
      <c r="A113" s="3">
        <v>88</v>
      </c>
      <c r="B113" s="3">
        <v>1.1666210344151198</v>
      </c>
      <c r="C113" s="3">
        <v>6.9789655848802035E-3</v>
      </c>
    </row>
    <row r="114" spans="1:3" x14ac:dyDescent="0.3">
      <c r="A114" s="3">
        <v>89</v>
      </c>
      <c r="B114" s="3">
        <v>1.1625751840273919</v>
      </c>
      <c r="C114" s="3">
        <v>1.1324815972608038E-2</v>
      </c>
    </row>
    <row r="115" spans="1:3" x14ac:dyDescent="0.3">
      <c r="A115" s="3">
        <v>90</v>
      </c>
      <c r="B115" s="3">
        <v>1.1628025554813555</v>
      </c>
      <c r="C115" s="3">
        <v>1.5397444518644443E-2</v>
      </c>
    </row>
    <row r="116" spans="1:3" x14ac:dyDescent="0.3">
      <c r="A116" s="3">
        <v>91</v>
      </c>
      <c r="B116" s="3">
        <v>1.1662615492736685</v>
      </c>
      <c r="C116" s="3">
        <v>1.4938450726331487E-2</v>
      </c>
    </row>
    <row r="117" spans="1:3" x14ac:dyDescent="0.3">
      <c r="A117" s="3">
        <v>92</v>
      </c>
      <c r="B117" s="3">
        <v>1.1686861692366863</v>
      </c>
      <c r="C117" s="3">
        <v>1.5413830763313596E-2</v>
      </c>
    </row>
    <row r="118" spans="1:3" x14ac:dyDescent="0.3">
      <c r="A118" s="3">
        <v>93</v>
      </c>
      <c r="B118" s="3">
        <v>1.1710267540356871</v>
      </c>
      <c r="C118" s="3">
        <v>1.5873245964312943E-2</v>
      </c>
    </row>
    <row r="119" spans="1:3" x14ac:dyDescent="0.3">
      <c r="A119" s="3">
        <v>94</v>
      </c>
      <c r="B119" s="3">
        <v>1.1732866385971554</v>
      </c>
      <c r="C119" s="3">
        <v>1.9613361402844642E-2</v>
      </c>
    </row>
    <row r="120" spans="1:3" x14ac:dyDescent="0.3">
      <c r="A120" s="3">
        <v>95</v>
      </c>
      <c r="B120" s="3">
        <v>1.1781197597118536</v>
      </c>
      <c r="C120" s="3">
        <v>5.4802402881464207E-3</v>
      </c>
    </row>
    <row r="121" spans="1:3" x14ac:dyDescent="0.3">
      <c r="A121" s="3">
        <v>96</v>
      </c>
      <c r="B121" s="3">
        <v>1.1706571579339373</v>
      </c>
      <c r="C121" s="3">
        <v>1.5242842066062634E-2</v>
      </c>
    </row>
    <row r="122" spans="1:3" x14ac:dyDescent="0.3">
      <c r="A122" s="3">
        <v>97</v>
      </c>
      <c r="B122" s="3">
        <v>1.1724810257745253</v>
      </c>
      <c r="C122" s="3">
        <v>7.0189742254747056E-3</v>
      </c>
    </row>
    <row r="123" spans="1:3" x14ac:dyDescent="0.3">
      <c r="A123" s="3">
        <v>98</v>
      </c>
      <c r="B123" s="3">
        <v>1.1673403887894105</v>
      </c>
      <c r="C123" s="3">
        <v>1.1359611210589593E-2</v>
      </c>
    </row>
    <row r="124" spans="1:3" x14ac:dyDescent="0.3">
      <c r="A124" s="3">
        <v>99</v>
      </c>
      <c r="B124" s="3">
        <v>1.1666792238988892</v>
      </c>
      <c r="C124" s="3">
        <v>1.662077610111079E-2</v>
      </c>
    </row>
    <row r="125" spans="1:3" x14ac:dyDescent="0.3">
      <c r="A125" s="3">
        <v>100</v>
      </c>
      <c r="B125" s="3">
        <v>1.1703764276562372</v>
      </c>
      <c r="C125" s="3">
        <v>1.252357234376289E-2</v>
      </c>
    </row>
    <row r="126" spans="1:3" x14ac:dyDescent="0.3">
      <c r="A126" s="3">
        <v>101</v>
      </c>
      <c r="B126" s="3">
        <v>1.1700675222331194</v>
      </c>
      <c r="C126" s="3">
        <v>1.2032477766880545E-2</v>
      </c>
    </row>
    <row r="127" spans="1:3" x14ac:dyDescent="0.3">
      <c r="A127" s="3">
        <v>102</v>
      </c>
      <c r="B127" s="3">
        <v>1.1694230319750154</v>
      </c>
      <c r="C127" s="3">
        <v>2.087696802498451E-2</v>
      </c>
    </row>
    <row r="128" spans="1:3" x14ac:dyDescent="0.3">
      <c r="A128" s="3">
        <v>103</v>
      </c>
      <c r="B128" s="3">
        <v>1.1760154395041056</v>
      </c>
      <c r="C128" s="3">
        <v>1.7584560495894408E-2</v>
      </c>
    </row>
    <row r="129" spans="1:3" x14ac:dyDescent="0.3">
      <c r="A129" s="3">
        <v>104</v>
      </c>
      <c r="B129" s="3">
        <v>1.1786921649591733</v>
      </c>
      <c r="C129" s="3">
        <v>1.2307835040826776E-2</v>
      </c>
    </row>
    <row r="130" spans="1:3" x14ac:dyDescent="0.3">
      <c r="A130" s="3">
        <v>105</v>
      </c>
      <c r="B130" s="3">
        <v>1.1766103555051894</v>
      </c>
      <c r="C130" s="3">
        <v>8.6896444948105778E-3</v>
      </c>
    </row>
    <row r="131" spans="1:3" x14ac:dyDescent="0.3">
      <c r="A131" s="3">
        <v>106</v>
      </c>
      <c r="B131" s="3">
        <v>1.17201905719255</v>
      </c>
      <c r="C131" s="3">
        <v>1.2880942807450113E-2</v>
      </c>
    </row>
    <row r="132" spans="1:3" x14ac:dyDescent="0.3">
      <c r="A132" s="3">
        <v>107</v>
      </c>
      <c r="B132" s="3">
        <v>1.1716815269837819</v>
      </c>
      <c r="C132" s="3">
        <v>1.2118473016218045E-2</v>
      </c>
    </row>
    <row r="133" spans="1:3" x14ac:dyDescent="0.3">
      <c r="A133" s="3">
        <v>108</v>
      </c>
      <c r="B133" s="3">
        <v>1.1707957697446996</v>
      </c>
      <c r="C133" s="3">
        <v>1.0904230255300407E-2</v>
      </c>
    </row>
    <row r="134" spans="1:3" x14ac:dyDescent="0.3">
      <c r="A134" s="3">
        <v>109</v>
      </c>
      <c r="B134" s="3">
        <v>1.1691038438619066</v>
      </c>
      <c r="C134" s="3">
        <v>8.7961561380933695E-3</v>
      </c>
    </row>
    <row r="135" spans="1:3" x14ac:dyDescent="0.3">
      <c r="A135" s="3">
        <v>110</v>
      </c>
      <c r="B135" s="3">
        <v>1.1660419593148328</v>
      </c>
      <c r="C135" s="3">
        <v>1.4158040685167128E-2</v>
      </c>
    </row>
    <row r="136" spans="1:3" x14ac:dyDescent="0.3">
      <c r="A136" s="3">
        <v>111</v>
      </c>
      <c r="B136" s="3">
        <v>1.1678811122351369</v>
      </c>
      <c r="C136" s="3">
        <v>1.3418887764863108E-2</v>
      </c>
    </row>
    <row r="137" spans="1:3" x14ac:dyDescent="0.3">
      <c r="A137" s="3">
        <v>112</v>
      </c>
      <c r="B137" s="3">
        <v>1.168772149774485</v>
      </c>
      <c r="C137" s="3">
        <v>1.572785022551515E-2</v>
      </c>
    </row>
    <row r="138" spans="1:3" x14ac:dyDescent="0.3">
      <c r="A138" s="3">
        <v>113</v>
      </c>
      <c r="B138" s="3">
        <v>1.1713487212541991</v>
      </c>
      <c r="C138" s="3">
        <v>1.5451278745800989E-2</v>
      </c>
    </row>
    <row r="139" spans="1:3" x14ac:dyDescent="0.3">
      <c r="A139" s="3">
        <v>114</v>
      </c>
      <c r="B139" s="3">
        <v>1.1732073279123234</v>
      </c>
      <c r="C139" s="3">
        <v>1.1292672087676703E-2</v>
      </c>
    </row>
    <row r="140" spans="1:3" x14ac:dyDescent="0.3">
      <c r="A140" s="3">
        <v>115</v>
      </c>
      <c r="B140" s="3">
        <v>1.1713640063339152</v>
      </c>
      <c r="C140" s="3">
        <v>1.0035993666084764E-2</v>
      </c>
    </row>
    <row r="141" spans="1:3" x14ac:dyDescent="0.3">
      <c r="A141" s="3">
        <v>116</v>
      </c>
      <c r="B141" s="3">
        <v>1.1688645222547103</v>
      </c>
      <c r="C141" s="3">
        <v>1.5835477745289817E-2</v>
      </c>
    </row>
    <row r="142" spans="1:3" x14ac:dyDescent="0.3">
      <c r="A142" s="3">
        <v>117</v>
      </c>
      <c r="B142" s="3">
        <v>1.171509843818725</v>
      </c>
      <c r="C142" s="3">
        <v>1.2190156181274947E-2</v>
      </c>
    </row>
    <row r="143" spans="1:3" x14ac:dyDescent="0.3">
      <c r="A143" s="3">
        <v>118</v>
      </c>
      <c r="B143" s="3">
        <v>1.1707147915966263</v>
      </c>
      <c r="C143" s="3">
        <v>6.1852084033737764E-3</v>
      </c>
    </row>
    <row r="144" spans="1:3" x14ac:dyDescent="0.3">
      <c r="A144" s="3">
        <v>119</v>
      </c>
      <c r="B144" s="3">
        <v>1.1652432942557105</v>
      </c>
      <c r="C144" s="3">
        <v>5.3567057442895916E-3</v>
      </c>
    </row>
    <row r="145" spans="1:3" x14ac:dyDescent="0.3">
      <c r="A145" s="3">
        <v>120</v>
      </c>
      <c r="B145" s="3">
        <v>1.1601577897384219</v>
      </c>
      <c r="C145" s="3">
        <v>5.7422102615780624E-3</v>
      </c>
    </row>
    <row r="146" spans="1:3" x14ac:dyDescent="0.3">
      <c r="A146" s="3">
        <v>121</v>
      </c>
      <c r="B146" s="3">
        <v>1.1563604320057197</v>
      </c>
      <c r="C146" s="3">
        <v>1.0839567994280319E-2</v>
      </c>
    </row>
    <row r="147" spans="1:3" x14ac:dyDescent="0.3">
      <c r="A147" s="3">
        <v>122</v>
      </c>
      <c r="B147" s="3">
        <v>1.1573928604612329</v>
      </c>
      <c r="C147" s="3">
        <v>5.6071395387671252E-3</v>
      </c>
    </row>
    <row r="148" spans="1:3" x14ac:dyDescent="0.3">
      <c r="A148" s="3">
        <v>123</v>
      </c>
      <c r="B148" s="3">
        <v>1.1540187355645577</v>
      </c>
      <c r="C148" s="3">
        <v>1.2381264435442407E-2</v>
      </c>
    </row>
    <row r="149" spans="1:3" x14ac:dyDescent="0.3">
      <c r="A149" s="3">
        <v>124</v>
      </c>
      <c r="B149" s="3">
        <v>1.156741422439622</v>
      </c>
      <c r="C149" s="3">
        <v>1.7458577560377941E-2</v>
      </c>
    </row>
    <row r="150" spans="1:3" x14ac:dyDescent="0.3">
      <c r="A150" s="3">
        <v>125</v>
      </c>
      <c r="B150" s="3">
        <v>1.1630238129034332</v>
      </c>
      <c r="C150" s="3">
        <v>8.776187096566801E-3</v>
      </c>
    </row>
    <row r="151" spans="1:3" x14ac:dyDescent="0.3">
      <c r="A151" s="3">
        <v>126</v>
      </c>
      <c r="B151" s="3">
        <v>1.1611153540777479</v>
      </c>
      <c r="C151" s="3">
        <v>1.358464592225217E-2</v>
      </c>
    </row>
    <row r="152" spans="1:3" x14ac:dyDescent="0.3">
      <c r="A152" s="3">
        <v>127</v>
      </c>
      <c r="B152" s="3">
        <v>1.1634409317075731</v>
      </c>
      <c r="C152" s="3">
        <v>7.8590682924268851E-3</v>
      </c>
    </row>
    <row r="153" spans="1:3" x14ac:dyDescent="0.3">
      <c r="A153" s="3">
        <v>128</v>
      </c>
      <c r="B153" s="3">
        <v>1.1607146319954851</v>
      </c>
      <c r="C153" s="3">
        <v>1.7385368004514845E-2</v>
      </c>
    </row>
    <row r="154" spans="1:3" x14ac:dyDescent="0.3">
      <c r="A154" s="3">
        <v>129</v>
      </c>
      <c r="B154" s="3">
        <v>1.166173901272628</v>
      </c>
      <c r="C154" s="3">
        <v>7.2260987273720101E-3</v>
      </c>
    </row>
    <row r="155" spans="1:3" x14ac:dyDescent="0.3">
      <c r="A155" s="3">
        <v>130</v>
      </c>
      <c r="B155" s="3">
        <v>1.1624129498207045</v>
      </c>
      <c r="C155" s="3">
        <v>1.3587050179295401E-2</v>
      </c>
    </row>
    <row r="156" spans="1:3" x14ac:dyDescent="0.3">
      <c r="A156" s="3">
        <v>131</v>
      </c>
      <c r="B156" s="3">
        <v>1.1644908685271245</v>
      </c>
      <c r="C156" s="3">
        <v>1.1309131472875489E-2</v>
      </c>
    </row>
    <row r="157" spans="1:3" x14ac:dyDescent="0.3">
      <c r="A157" s="3">
        <v>132</v>
      </c>
      <c r="B157" s="3">
        <v>1.1643372495471864</v>
      </c>
      <c r="C157" s="3">
        <v>1.806275045281347E-2</v>
      </c>
    </row>
    <row r="158" spans="1:3" x14ac:dyDescent="0.3">
      <c r="A158" s="3">
        <v>133</v>
      </c>
      <c r="B158" s="3">
        <v>1.1696445673076332</v>
      </c>
      <c r="C158" s="3">
        <v>1.1655432692366796E-2</v>
      </c>
    </row>
    <row r="159" spans="1:3" x14ac:dyDescent="0.3">
      <c r="A159" s="3">
        <v>134</v>
      </c>
      <c r="B159" s="3">
        <v>1.1687782638063715</v>
      </c>
      <c r="C159" s="3">
        <v>5.6217361936286014E-3</v>
      </c>
    </row>
    <row r="160" spans="1:3" x14ac:dyDescent="0.3">
      <c r="A160" s="3">
        <v>135</v>
      </c>
      <c r="B160" s="3">
        <v>1.1632260662279226</v>
      </c>
      <c r="C160" s="3">
        <v>1.1373933772077516E-2</v>
      </c>
    </row>
    <row r="161" spans="1:3" x14ac:dyDescent="0.3">
      <c r="A161" s="3">
        <v>136</v>
      </c>
      <c r="B161" s="3">
        <v>1.1633677350546279</v>
      </c>
      <c r="C161" s="3">
        <v>7.2322649453722132E-3</v>
      </c>
    </row>
    <row r="162" spans="1:3" x14ac:dyDescent="0.3">
      <c r="A162" s="3">
        <v>137</v>
      </c>
      <c r="B162" s="3">
        <v>1.1601513977959952</v>
      </c>
      <c r="C162" s="3">
        <v>1.1648602204004765E-2</v>
      </c>
    </row>
    <row r="163" spans="1:3" x14ac:dyDescent="0.3">
      <c r="A163" s="3">
        <v>138</v>
      </c>
      <c r="B163" s="3">
        <v>1.1611053492982972</v>
      </c>
      <c r="C163" s="3">
        <v>1.5494650701702861E-2</v>
      </c>
    </row>
    <row r="164" spans="1:3" x14ac:dyDescent="0.3">
      <c r="A164" s="3">
        <v>139</v>
      </c>
      <c r="B164" s="3">
        <v>1.164968955920437</v>
      </c>
      <c r="C164" s="3">
        <v>1.7131044079562896E-2</v>
      </c>
    </row>
    <row r="165" spans="1:3" x14ac:dyDescent="0.3">
      <c r="A165" s="3">
        <v>140</v>
      </c>
      <c r="B165" s="3">
        <v>1.169405523610977</v>
      </c>
      <c r="C165" s="3">
        <v>1.6694476389022883E-2</v>
      </c>
    </row>
    <row r="166" spans="1:3" x14ac:dyDescent="0.3">
      <c r="A166" s="3">
        <v>141</v>
      </c>
      <c r="B166" s="3">
        <v>1.1726377017704064</v>
      </c>
      <c r="C166" s="3">
        <v>8.9622982295936016E-3</v>
      </c>
    </row>
    <row r="167" spans="1:3" x14ac:dyDescent="0.3">
      <c r="A167" s="3">
        <v>142</v>
      </c>
      <c r="B167" s="3">
        <v>1.1690298134773407</v>
      </c>
      <c r="C167" s="3">
        <v>1.6870186522659258E-2</v>
      </c>
    </row>
    <row r="168" spans="1:3" x14ac:dyDescent="0.3">
      <c r="A168" s="3">
        <v>143</v>
      </c>
      <c r="B168" s="3">
        <v>1.1724754675637195</v>
      </c>
      <c r="C168" s="3">
        <v>8.3245324362806183E-3</v>
      </c>
    </row>
    <row r="169" spans="1:3" x14ac:dyDescent="0.3">
      <c r="A169" s="3">
        <v>144</v>
      </c>
      <c r="B169" s="3">
        <v>1.1683858790403174</v>
      </c>
      <c r="C169" s="3">
        <v>1.1114120959682561E-2</v>
      </c>
    </row>
    <row r="170" spans="1:3" x14ac:dyDescent="0.3">
      <c r="A170" s="3">
        <v>145</v>
      </c>
      <c r="B170" s="3">
        <v>1.1673262153518555</v>
      </c>
      <c r="C170" s="3">
        <v>7.0737846481445654E-3</v>
      </c>
    </row>
    <row r="171" spans="1:3" x14ac:dyDescent="0.3">
      <c r="A171" s="3">
        <v>146</v>
      </c>
      <c r="B171" s="3">
        <v>1.1632210638381972</v>
      </c>
      <c r="C171" s="3">
        <v>4.1789361618027598E-3</v>
      </c>
    </row>
    <row r="172" spans="1:3" x14ac:dyDescent="0.3">
      <c r="A172" s="3">
        <v>147</v>
      </c>
      <c r="B172" s="3">
        <v>1.1575773275111436</v>
      </c>
      <c r="C172" s="3">
        <v>7.1226724888564519E-3</v>
      </c>
    </row>
    <row r="173" spans="1:3" x14ac:dyDescent="0.3">
      <c r="A173" s="3">
        <v>148</v>
      </c>
      <c r="B173" s="3">
        <v>1.1553864709445165</v>
      </c>
      <c r="C173" s="3">
        <v>8.6135290554834043E-3</v>
      </c>
    </row>
    <row r="174" spans="1:3" x14ac:dyDescent="0.3">
      <c r="A174" s="3">
        <v>149</v>
      </c>
      <c r="B174" s="3">
        <v>1.1548160110709786</v>
      </c>
      <c r="C174" s="3">
        <v>1.6283988929021387E-2</v>
      </c>
    </row>
    <row r="175" spans="1:3" x14ac:dyDescent="0.3">
      <c r="A175" s="3">
        <v>150</v>
      </c>
      <c r="B175" s="3">
        <v>1.1605240509136883</v>
      </c>
      <c r="C175" s="3">
        <v>1.1675949086311643E-2</v>
      </c>
    </row>
    <row r="176" spans="1:3" x14ac:dyDescent="0.3">
      <c r="A176" s="3">
        <v>151</v>
      </c>
      <c r="B176" s="3">
        <v>1.16142842815897</v>
      </c>
      <c r="C176" s="3">
        <v>2.0671571841029968E-2</v>
      </c>
    </row>
    <row r="177" spans="1:3" x14ac:dyDescent="0.3">
      <c r="A177" s="3">
        <v>152</v>
      </c>
      <c r="B177" s="3">
        <v>1.1693932955472042</v>
      </c>
      <c r="C177" s="3">
        <v>1.7806704452795863E-2</v>
      </c>
    </row>
    <row r="178" spans="1:3" x14ac:dyDescent="0.3">
      <c r="A178" s="3">
        <v>153</v>
      </c>
      <c r="B178" s="3">
        <v>1.1735223473673277</v>
      </c>
      <c r="C178" s="3">
        <v>7.7776526326722717E-3</v>
      </c>
    </row>
    <row r="179" spans="1:3" x14ac:dyDescent="0.3">
      <c r="A179" s="3">
        <v>154</v>
      </c>
      <c r="B179" s="3">
        <v>1.1687916035123054</v>
      </c>
      <c r="C179" s="3">
        <v>1.2608396487694629E-2</v>
      </c>
    </row>
    <row r="180" spans="1:3" x14ac:dyDescent="0.3">
      <c r="A180" s="3">
        <v>155</v>
      </c>
      <c r="B180" s="3">
        <v>1.168855629117421</v>
      </c>
      <c r="C180" s="3">
        <v>8.8443708825789447E-3</v>
      </c>
    </row>
    <row r="181" spans="1:3" x14ac:dyDescent="0.3">
      <c r="A181" s="3">
        <v>156</v>
      </c>
      <c r="B181" s="3">
        <v>1.1658802809292264</v>
      </c>
      <c r="C181" s="3">
        <v>1.451971907077354E-2</v>
      </c>
    </row>
    <row r="182" spans="1:3" x14ac:dyDescent="0.3">
      <c r="A182" s="3">
        <v>157</v>
      </c>
      <c r="B182" s="3">
        <v>1.1680414010680418</v>
      </c>
      <c r="C182" s="3">
        <v>1.5158598931958256E-2</v>
      </c>
    </row>
    <row r="183" spans="1:3" x14ac:dyDescent="0.3">
      <c r="A183" s="3">
        <v>158</v>
      </c>
      <c r="B183" s="3">
        <v>1.1703007298084294</v>
      </c>
      <c r="C183" s="3">
        <v>1.4999270191570657E-2</v>
      </c>
    </row>
    <row r="184" spans="1:3" x14ac:dyDescent="0.3">
      <c r="A184" s="3">
        <v>159</v>
      </c>
      <c r="B184" s="3">
        <v>1.1719973801704071</v>
      </c>
      <c r="C184" s="3">
        <v>1.4102619829592822E-2</v>
      </c>
    </row>
    <row r="185" spans="1:3" x14ac:dyDescent="0.3">
      <c r="A185" s="3">
        <v>160</v>
      </c>
      <c r="B185" s="3">
        <v>1.1726465949076958</v>
      </c>
      <c r="C185" s="3">
        <v>1.2553405092304182E-2</v>
      </c>
    </row>
    <row r="186" spans="1:3" x14ac:dyDescent="0.3">
      <c r="A186" s="3">
        <v>161</v>
      </c>
      <c r="B186" s="3">
        <v>1.1719250172490829</v>
      </c>
      <c r="C186" s="3">
        <v>1.5374982750917088E-2</v>
      </c>
    </row>
    <row r="187" spans="1:3" x14ac:dyDescent="0.3">
      <c r="A187" s="3">
        <v>162</v>
      </c>
      <c r="B187" s="3">
        <v>1.1736113849210696</v>
      </c>
      <c r="C187" s="3">
        <v>1.1688615078930376E-2</v>
      </c>
    </row>
    <row r="188" spans="1:3" x14ac:dyDescent="0.3">
      <c r="A188" s="3">
        <v>163</v>
      </c>
      <c r="B188" s="3">
        <v>1.1720087745025591</v>
      </c>
      <c r="C188" s="3">
        <v>1.1991225497440805E-2</v>
      </c>
    </row>
    <row r="189" spans="1:3" x14ac:dyDescent="0.3">
      <c r="A189" s="3">
        <v>164</v>
      </c>
      <c r="B189" s="3">
        <v>1.1709577260408464</v>
      </c>
      <c r="C189" s="3">
        <v>1.784227395915372E-2</v>
      </c>
    </row>
    <row r="190" spans="1:3" x14ac:dyDescent="0.3">
      <c r="A190" s="3">
        <v>165</v>
      </c>
      <c r="B190" s="3">
        <v>1.174814384899479</v>
      </c>
      <c r="C190" s="3">
        <v>1.6485615100521045E-2</v>
      </c>
    </row>
    <row r="191" spans="1:3" x14ac:dyDescent="0.3">
      <c r="A191" s="3">
        <v>166</v>
      </c>
      <c r="B191" s="3">
        <v>1.1768382827802339</v>
      </c>
      <c r="C191" s="3">
        <v>1.4461717219766079E-2</v>
      </c>
    </row>
    <row r="192" spans="1:3" x14ac:dyDescent="0.3">
      <c r="A192" s="3">
        <v>167</v>
      </c>
      <c r="B192" s="3">
        <v>1.1768452305437411</v>
      </c>
      <c r="C192" s="3">
        <v>1.9354769456258802E-2</v>
      </c>
    </row>
    <row r="193" spans="1:3" x14ac:dyDescent="0.3">
      <c r="A193" s="3">
        <v>168</v>
      </c>
      <c r="B193" s="3">
        <v>1.1807859245663899</v>
      </c>
      <c r="C193" s="3">
        <v>1.2014075433610216E-2</v>
      </c>
    </row>
    <row r="194" spans="1:3" x14ac:dyDescent="0.3">
      <c r="A194" s="3">
        <v>169</v>
      </c>
      <c r="B194" s="3">
        <v>1.1780651830651081</v>
      </c>
      <c r="C194" s="3">
        <v>2.8934816934891971E-2</v>
      </c>
    </row>
    <row r="195" spans="1:3" x14ac:dyDescent="0.3">
      <c r="A195" s="3">
        <v>170</v>
      </c>
      <c r="B195" s="3">
        <v>1.1894757045397211</v>
      </c>
      <c r="C195" s="3">
        <v>2.2024295460278953E-2</v>
      </c>
    </row>
    <row r="196" spans="1:3" x14ac:dyDescent="0.3">
      <c r="A196" s="3">
        <v>171</v>
      </c>
      <c r="B196" s="3">
        <v>1.1931341725511202</v>
      </c>
      <c r="C196" s="3">
        <v>2.086582744887977E-2</v>
      </c>
    </row>
    <row r="197" spans="1:3" x14ac:dyDescent="0.3">
      <c r="A197" s="3">
        <v>172</v>
      </c>
      <c r="B197" s="3">
        <v>1.1951572367002543</v>
      </c>
      <c r="C197" s="3">
        <v>1.6842763299745656E-2</v>
      </c>
    </row>
    <row r="198" spans="1:3" x14ac:dyDescent="0.3">
      <c r="A198" s="3">
        <v>173</v>
      </c>
      <c r="B198" s="3">
        <v>1.193555737923905</v>
      </c>
      <c r="C198" s="3">
        <v>1.7244262076095085E-2</v>
      </c>
    </row>
    <row r="199" spans="1:3" x14ac:dyDescent="0.3">
      <c r="A199" s="3">
        <v>174</v>
      </c>
      <c r="B199" s="3">
        <v>1.1925851117891852</v>
      </c>
      <c r="C199" s="3">
        <v>1.7514888210814705E-2</v>
      </c>
    </row>
    <row r="200" spans="1:3" x14ac:dyDescent="0.3">
      <c r="A200" s="3">
        <v>175</v>
      </c>
      <c r="B200" s="3">
        <v>1.1920188205737516</v>
      </c>
      <c r="C200" s="3">
        <v>1.6081179426248315E-2</v>
      </c>
    </row>
    <row r="201" spans="1:3" x14ac:dyDescent="0.3">
      <c r="A201" s="3">
        <v>176</v>
      </c>
      <c r="B201" s="3">
        <v>1.1904084286601126</v>
      </c>
      <c r="C201" s="3">
        <v>2.3191571339887362E-2</v>
      </c>
    </row>
    <row r="202" spans="1:3" x14ac:dyDescent="0.3">
      <c r="A202" s="3">
        <v>177</v>
      </c>
      <c r="B202" s="3">
        <v>1.194826098433913</v>
      </c>
      <c r="C202" s="3">
        <v>1.6273901566087101E-2</v>
      </c>
    </row>
    <row r="203" spans="1:3" x14ac:dyDescent="0.3">
      <c r="A203" s="3">
        <v>178</v>
      </c>
      <c r="B203" s="3">
        <v>1.1928308253388082</v>
      </c>
      <c r="C203" s="3">
        <v>2.1469174661191692E-2</v>
      </c>
    </row>
    <row r="204" spans="1:3" x14ac:dyDescent="0.3">
      <c r="A204" s="3">
        <v>179</v>
      </c>
      <c r="B204" s="3">
        <v>1.1953973920390715</v>
      </c>
      <c r="C204" s="3">
        <v>1.9702607960928598E-2</v>
      </c>
    </row>
    <row r="205" spans="1:3" x14ac:dyDescent="0.3">
      <c r="A205" s="3">
        <v>180</v>
      </c>
      <c r="B205" s="3">
        <v>1.1960496637923037</v>
      </c>
      <c r="C205" s="3">
        <v>2.3650336207696299E-2</v>
      </c>
    </row>
    <row r="206" spans="1:3" x14ac:dyDescent="0.3">
      <c r="A206" s="3">
        <v>181</v>
      </c>
      <c r="B206" s="3">
        <v>1.1997513141182965</v>
      </c>
      <c r="C206" s="3">
        <v>2.6848685881703416E-2</v>
      </c>
    </row>
    <row r="207" spans="1:3" x14ac:dyDescent="0.3">
      <c r="A207" s="3">
        <v>182</v>
      </c>
      <c r="B207" s="3">
        <v>1.2053132385656558</v>
      </c>
      <c r="C207" s="3">
        <v>2.018676143434428E-2</v>
      </c>
    </row>
    <row r="208" spans="1:3" x14ac:dyDescent="0.3">
      <c r="A208" s="3">
        <v>183</v>
      </c>
      <c r="B208" s="3">
        <v>1.2044477687960149</v>
      </c>
      <c r="C208" s="3">
        <v>1.975223120398506E-2</v>
      </c>
    </row>
    <row r="209" spans="1:3" x14ac:dyDescent="0.3">
      <c r="A209" s="3">
        <v>184</v>
      </c>
      <c r="B209" s="3">
        <v>1.2033992215291647</v>
      </c>
      <c r="C209" s="3">
        <v>1.2700778470835283E-2</v>
      </c>
    </row>
    <row r="210" spans="1:3" x14ac:dyDescent="0.3">
      <c r="A210" s="3">
        <v>185</v>
      </c>
      <c r="B210" s="3">
        <v>1.1968814002057211</v>
      </c>
      <c r="C210" s="3">
        <v>2.1618599794278825E-2</v>
      </c>
    </row>
    <row r="211" spans="1:3" x14ac:dyDescent="0.3">
      <c r="A211" s="3">
        <v>186</v>
      </c>
      <c r="B211" s="3">
        <v>1.1987890252997853</v>
      </c>
      <c r="C211" s="3">
        <v>1.9810974700214645E-2</v>
      </c>
    </row>
    <row r="212" spans="1:3" x14ac:dyDescent="0.3">
      <c r="A212" s="3">
        <v>187</v>
      </c>
      <c r="B212" s="3">
        <v>1.1988761174797451</v>
      </c>
      <c r="C212" s="3">
        <v>2.1523882520254833E-2</v>
      </c>
    </row>
    <row r="213" spans="1:3" x14ac:dyDescent="0.3">
      <c r="A213" s="3">
        <v>188</v>
      </c>
      <c r="B213" s="3">
        <v>1.2003239972761566</v>
      </c>
      <c r="C213" s="3">
        <v>2.1076002723843468E-2</v>
      </c>
    </row>
    <row r="214" spans="1:3" x14ac:dyDescent="0.3">
      <c r="A214" s="3">
        <v>189</v>
      </c>
      <c r="B214" s="3">
        <v>1.2011332229358103</v>
      </c>
      <c r="C214" s="3">
        <v>2.3566777064189637E-2</v>
      </c>
    </row>
    <row r="215" spans="1:3" x14ac:dyDescent="0.3">
      <c r="A215" s="3">
        <v>190</v>
      </c>
      <c r="B215" s="3">
        <v>1.2037899388319768</v>
      </c>
      <c r="C215" s="3">
        <v>2.5710061168023213E-2</v>
      </c>
    </row>
    <row r="216" spans="1:3" x14ac:dyDescent="0.3">
      <c r="A216" s="3">
        <v>191</v>
      </c>
      <c r="B216" s="3">
        <v>1.2076593815754626</v>
      </c>
      <c r="C216" s="3">
        <v>1.3640618424537454E-2</v>
      </c>
    </row>
    <row r="217" spans="1:3" x14ac:dyDescent="0.3">
      <c r="A217" s="3">
        <v>192</v>
      </c>
      <c r="B217" s="3">
        <v>1.2010780904679841</v>
      </c>
      <c r="C217" s="3">
        <v>2.3721909532016028E-2</v>
      </c>
    </row>
    <row r="218" spans="1:3" x14ac:dyDescent="0.3">
      <c r="A218" s="3">
        <v>193</v>
      </c>
      <c r="B218" s="3">
        <v>1.2038700832484295</v>
      </c>
      <c r="C218" s="3">
        <v>2.5529916751570569E-2</v>
      </c>
    </row>
    <row r="219" spans="1:3" x14ac:dyDescent="0.3">
      <c r="A219" s="3">
        <v>194</v>
      </c>
      <c r="B219" s="3">
        <v>1.2075792371590102</v>
      </c>
      <c r="C219" s="3">
        <v>2.4920762840989763E-2</v>
      </c>
    </row>
    <row r="220" spans="1:3" x14ac:dyDescent="0.3">
      <c r="A220" s="3">
        <v>195</v>
      </c>
      <c r="B220" s="3">
        <v>1.2100851131806414</v>
      </c>
      <c r="C220" s="3">
        <v>1.691488681935871E-2</v>
      </c>
    </row>
    <row r="221" spans="1:3" x14ac:dyDescent="0.3">
      <c r="A221" s="3">
        <v>196</v>
      </c>
      <c r="B221" s="3">
        <v>1.2056705004227846</v>
      </c>
      <c r="C221" s="3">
        <v>1.6129499577215434E-2</v>
      </c>
    </row>
    <row r="222" spans="1:3" x14ac:dyDescent="0.3">
      <c r="A222" s="3">
        <v>197</v>
      </c>
      <c r="B222" s="3">
        <v>1.2014732543394409</v>
      </c>
      <c r="C222" s="3">
        <v>1.3426745660559236E-2</v>
      </c>
    </row>
    <row r="223" spans="1:3" x14ac:dyDescent="0.3">
      <c r="A223" s="3">
        <v>198</v>
      </c>
      <c r="B223" s="3">
        <v>1.1959096624288401</v>
      </c>
      <c r="C223" s="3">
        <v>2.4790337571159782E-2</v>
      </c>
    </row>
    <row r="224" spans="1:3" x14ac:dyDescent="0.3">
      <c r="A224" s="3">
        <v>199</v>
      </c>
      <c r="B224" s="3">
        <v>1.2005549815671441</v>
      </c>
      <c r="C224" s="3">
        <v>1.5145018432855872E-2</v>
      </c>
    </row>
    <row r="225" spans="1:3" x14ac:dyDescent="0.3">
      <c r="A225" s="3">
        <v>200</v>
      </c>
      <c r="B225" s="3">
        <v>1.1965499840288394</v>
      </c>
      <c r="C225" s="3">
        <v>1.9050015971160628E-2</v>
      </c>
    </row>
    <row r="226" spans="1:3" x14ac:dyDescent="0.3">
      <c r="A226" s="3">
        <v>201</v>
      </c>
      <c r="B226" s="3">
        <v>1.196455666174832</v>
      </c>
      <c r="C226" s="3">
        <v>1.1344333825167974E-2</v>
      </c>
    </row>
    <row r="227" spans="1:3" x14ac:dyDescent="0.3">
      <c r="A227" s="3">
        <v>202</v>
      </c>
      <c r="B227" s="3">
        <v>1.1901824467588504</v>
      </c>
      <c r="C227" s="3">
        <v>1.7417553241149575E-2</v>
      </c>
    </row>
    <row r="228" spans="1:3" x14ac:dyDescent="0.3">
      <c r="A228" s="3">
        <v>203</v>
      </c>
      <c r="B228" s="3">
        <v>1.189999925082722</v>
      </c>
      <c r="C228" s="3">
        <v>2.280007491727809E-2</v>
      </c>
    </row>
    <row r="229" spans="1:3" x14ac:dyDescent="0.3">
      <c r="A229" s="3">
        <v>204</v>
      </c>
      <c r="B229" s="3">
        <v>1.1941813302652688</v>
      </c>
      <c r="C229" s="3">
        <v>1.6218669734731073E-2</v>
      </c>
    </row>
    <row r="230" spans="1:3" x14ac:dyDescent="0.3">
      <c r="A230" s="3">
        <v>205</v>
      </c>
      <c r="B230" s="3">
        <v>1.1922656457655358</v>
      </c>
      <c r="C230" s="3">
        <v>2.3934354234464106E-2</v>
      </c>
    </row>
    <row r="231" spans="1:3" x14ac:dyDescent="0.3">
      <c r="A231" s="3">
        <v>206</v>
      </c>
      <c r="B231" s="3">
        <v>1.1969234708781533</v>
      </c>
      <c r="C231" s="3">
        <v>1.9776529121846576E-2</v>
      </c>
    </row>
    <row r="232" spans="1:3" x14ac:dyDescent="0.3">
      <c r="A232" s="3">
        <v>207</v>
      </c>
      <c r="B232" s="3">
        <v>1.1973417013244545</v>
      </c>
      <c r="C232" s="3">
        <v>1.6358298675545502E-2</v>
      </c>
    </row>
    <row r="233" spans="1:3" x14ac:dyDescent="0.3">
      <c r="A233" s="3">
        <v>208</v>
      </c>
      <c r="B233" s="3">
        <v>1.194930421067371</v>
      </c>
      <c r="C233" s="3">
        <v>2.1069578932628952E-2</v>
      </c>
    </row>
    <row r="234" spans="1:3" x14ac:dyDescent="0.3">
      <c r="A234" s="3">
        <v>209</v>
      </c>
      <c r="B234" s="3">
        <v>1.1967717972719976</v>
      </c>
      <c r="C234" s="3">
        <v>1.4028202728002537E-2</v>
      </c>
    </row>
    <row r="235" spans="1:3" x14ac:dyDescent="0.3">
      <c r="A235" s="3">
        <v>210</v>
      </c>
      <c r="B235" s="3">
        <v>1.1925962282107969</v>
      </c>
      <c r="C235" s="3">
        <v>1.9503771789203039E-2</v>
      </c>
    </row>
    <row r="236" spans="1:3" x14ac:dyDescent="0.3">
      <c r="A236" s="3">
        <v>211</v>
      </c>
      <c r="B236" s="3">
        <v>1.1936272671136083</v>
      </c>
      <c r="C236" s="3">
        <v>1.9972732886391675E-2</v>
      </c>
    </row>
    <row r="237" spans="1:3" x14ac:dyDescent="0.3">
      <c r="A237" s="3">
        <v>212</v>
      </c>
      <c r="B237" s="3">
        <v>1.1948372148555246</v>
      </c>
      <c r="C237" s="3">
        <v>1.106278514447534E-2</v>
      </c>
    </row>
    <row r="238" spans="1:3" x14ac:dyDescent="0.3">
      <c r="A238" s="3">
        <v>213</v>
      </c>
      <c r="B238" s="3">
        <v>1.1886488643351807</v>
      </c>
      <c r="C238" s="3">
        <v>1.5551135664819249E-2</v>
      </c>
    </row>
    <row r="239" spans="1:3" x14ac:dyDescent="0.3">
      <c r="A239" s="3">
        <v>214</v>
      </c>
      <c r="B239" s="3">
        <v>1.1872602856646997</v>
      </c>
      <c r="C239" s="3">
        <v>1.613971433530037E-2</v>
      </c>
    </row>
    <row r="240" spans="1:3" x14ac:dyDescent="0.3">
      <c r="A240" s="3">
        <v>215</v>
      </c>
      <c r="B240" s="3">
        <v>1.1866121825695721</v>
      </c>
      <c r="C240" s="3">
        <v>9.587817430427803E-3</v>
      </c>
    </row>
    <row r="241" spans="1:3" x14ac:dyDescent="0.3">
      <c r="A241" s="3">
        <v>216</v>
      </c>
      <c r="B241" s="3">
        <v>1.1808195517417654</v>
      </c>
      <c r="C241" s="3">
        <v>2.3380448258234487E-2</v>
      </c>
    </row>
    <row r="242" spans="1:3" x14ac:dyDescent="0.3">
      <c r="A242" s="3">
        <v>217</v>
      </c>
      <c r="B242" s="3">
        <v>1.1872333283422913</v>
      </c>
      <c r="C242" s="3">
        <v>1.7566671657708754E-2</v>
      </c>
    </row>
    <row r="243" spans="1:3" x14ac:dyDescent="0.3">
      <c r="A243" s="3">
        <v>218</v>
      </c>
      <c r="B243" s="3">
        <v>1.1877380951474719</v>
      </c>
      <c r="C243" s="3">
        <v>2.3961904852528138E-2</v>
      </c>
    </row>
    <row r="244" spans="1:3" x14ac:dyDescent="0.3">
      <c r="A244" s="3">
        <v>219</v>
      </c>
      <c r="B244" s="3">
        <v>1.1932889031732195</v>
      </c>
      <c r="C244" s="3">
        <v>1.831109682678056E-2</v>
      </c>
    </row>
    <row r="245" spans="1:3" x14ac:dyDescent="0.3">
      <c r="A245" s="3">
        <v>220</v>
      </c>
      <c r="B245" s="3">
        <v>1.1932276566735067</v>
      </c>
      <c r="C245" s="3">
        <v>1.957234332649338E-2</v>
      </c>
    </row>
    <row r="246" spans="1:3" x14ac:dyDescent="0.3">
      <c r="A246" s="3">
        <v>221</v>
      </c>
      <c r="B246" s="3">
        <v>1.1941924466868807</v>
      </c>
      <c r="C246" s="3">
        <v>1.7607553313119251E-2</v>
      </c>
    </row>
    <row r="247" spans="1:3" x14ac:dyDescent="0.3">
      <c r="A247" s="3">
        <v>222</v>
      </c>
      <c r="B247" s="3">
        <v>1.1933915583434356</v>
      </c>
      <c r="C247" s="3">
        <v>1.9308441656564312E-2</v>
      </c>
    </row>
    <row r="248" spans="1:3" x14ac:dyDescent="0.3">
      <c r="A248" s="3">
        <v>223</v>
      </c>
      <c r="B248" s="3">
        <v>1.1941125801809682</v>
      </c>
      <c r="C248" s="3">
        <v>1.6287419819031701E-2</v>
      </c>
    </row>
    <row r="249" spans="1:3" x14ac:dyDescent="0.3">
      <c r="A249" s="3">
        <v>224</v>
      </c>
      <c r="B249" s="3">
        <v>1.1922653678549955</v>
      </c>
      <c r="C249" s="3">
        <v>1.133463214500452E-2</v>
      </c>
    </row>
    <row r="250" spans="1:3" x14ac:dyDescent="0.3">
      <c r="A250" s="3">
        <v>225</v>
      </c>
      <c r="B250" s="3">
        <v>1.1867902576770559</v>
      </c>
      <c r="C250" s="3">
        <v>2.200974232294417E-2</v>
      </c>
    </row>
    <row r="251" spans="1:3" x14ac:dyDescent="0.3">
      <c r="A251" s="3">
        <v>226</v>
      </c>
      <c r="B251" s="3">
        <v>1.1909533207639436</v>
      </c>
      <c r="C251" s="3">
        <v>2.0746679236056442E-2</v>
      </c>
    </row>
    <row r="252" spans="1:3" x14ac:dyDescent="0.3">
      <c r="A252" s="3">
        <v>227</v>
      </c>
      <c r="B252" s="3">
        <v>1.1933000195948311</v>
      </c>
      <c r="C252" s="3">
        <v>2.2099980405168917E-2</v>
      </c>
    </row>
    <row r="253" spans="1:3" x14ac:dyDescent="0.3">
      <c r="A253" s="3">
        <v>228</v>
      </c>
      <c r="B253" s="3">
        <v>1.1962837050992345</v>
      </c>
      <c r="C253" s="3">
        <v>1.8616294900765551E-2</v>
      </c>
    </row>
    <row r="254" spans="1:3" x14ac:dyDescent="0.3">
      <c r="A254" s="3">
        <v>229</v>
      </c>
      <c r="B254" s="3">
        <v>1.1958918761542614</v>
      </c>
      <c r="C254" s="3">
        <v>2.0508123845738524E-2</v>
      </c>
    </row>
    <row r="255" spans="1:3" x14ac:dyDescent="0.3">
      <c r="A255" s="3">
        <v>230</v>
      </c>
      <c r="B255" s="3">
        <v>1.1970968215064524</v>
      </c>
      <c r="C255" s="3">
        <v>2.0503178493547658E-2</v>
      </c>
    </row>
    <row r="256" spans="1:3" x14ac:dyDescent="0.3">
      <c r="A256" s="3">
        <v>231</v>
      </c>
      <c r="B256" s="3">
        <v>1.1980660580884708</v>
      </c>
      <c r="C256" s="3">
        <v>9.3339419115292532E-3</v>
      </c>
    </row>
    <row r="257" spans="1:3" x14ac:dyDescent="0.3">
      <c r="A257" s="3">
        <v>232</v>
      </c>
      <c r="B257" s="3">
        <v>1.1898663156616849</v>
      </c>
      <c r="C257" s="3">
        <v>1.4833684338315223E-2</v>
      </c>
    </row>
    <row r="258" spans="1:3" x14ac:dyDescent="0.3">
      <c r="A258" s="3">
        <v>233</v>
      </c>
      <c r="B258" s="3">
        <v>1.1876665659577685</v>
      </c>
      <c r="C258" s="3">
        <v>2.1233434042231547E-2</v>
      </c>
    </row>
    <row r="259" spans="1:3" x14ac:dyDescent="0.3">
      <c r="A259" s="3">
        <v>234</v>
      </c>
      <c r="B259" s="3">
        <v>1.1910368001068798</v>
      </c>
      <c r="C259" s="3">
        <v>1.5163199893120094E-2</v>
      </c>
    </row>
    <row r="260" spans="1:3" x14ac:dyDescent="0.3">
      <c r="A260" s="3">
        <v>235</v>
      </c>
      <c r="B260" s="3">
        <v>1.1888770695207653</v>
      </c>
      <c r="C260" s="3">
        <v>7.7229304792347797E-3</v>
      </c>
    </row>
    <row r="261" spans="1:3" x14ac:dyDescent="0.3">
      <c r="A261" s="3">
        <v>236</v>
      </c>
      <c r="B261" s="3">
        <v>1.1811490225448653</v>
      </c>
      <c r="C261" s="3">
        <v>1.0550977455134669E-2</v>
      </c>
    </row>
    <row r="262" spans="1:3" x14ac:dyDescent="0.3">
      <c r="A262" s="3">
        <v>237</v>
      </c>
      <c r="B262" s="3">
        <v>1.1771816491103479</v>
      </c>
      <c r="C262" s="3">
        <v>7.1183508896519587E-3</v>
      </c>
    </row>
    <row r="263" spans="1:3" x14ac:dyDescent="0.3">
      <c r="A263" s="3">
        <v>238</v>
      </c>
      <c r="B263" s="3">
        <v>1.1712167792964037</v>
      </c>
      <c r="C263" s="3">
        <v>1.8583220703596304E-2</v>
      </c>
    </row>
    <row r="264" spans="1:3" x14ac:dyDescent="0.3">
      <c r="A264" s="3">
        <v>239</v>
      </c>
      <c r="B264" s="3">
        <v>1.175619441901028</v>
      </c>
      <c r="C264" s="3">
        <v>1.6880558098971932E-2</v>
      </c>
    </row>
    <row r="265" spans="1:3" x14ac:dyDescent="0.3">
      <c r="A265" s="3">
        <v>240</v>
      </c>
      <c r="B265" s="3">
        <v>1.1778061298095508</v>
      </c>
      <c r="C265" s="3">
        <v>2.0593870190449115E-2</v>
      </c>
    </row>
    <row r="266" spans="1:3" x14ac:dyDescent="0.3">
      <c r="A266" s="3">
        <v>241</v>
      </c>
      <c r="B266" s="3">
        <v>1.182558550686716</v>
      </c>
      <c r="C266" s="3">
        <v>1.2641449313284037E-2</v>
      </c>
    </row>
    <row r="267" spans="1:3" x14ac:dyDescent="0.3">
      <c r="A267" s="3">
        <v>242</v>
      </c>
      <c r="B267" s="3">
        <v>1.1800014329448227</v>
      </c>
      <c r="C267" s="3">
        <v>1.2798567055177346E-2</v>
      </c>
    </row>
    <row r="268" spans="1:3" x14ac:dyDescent="0.3">
      <c r="A268" s="3">
        <v>243</v>
      </c>
      <c r="B268" s="3">
        <v>1.1780624039597052</v>
      </c>
      <c r="C268" s="3">
        <v>1.1937596040294762E-2</v>
      </c>
    </row>
    <row r="269" spans="1:3" x14ac:dyDescent="0.3">
      <c r="A269" s="3">
        <v>244</v>
      </c>
      <c r="B269" s="3">
        <v>1.1758039089509387</v>
      </c>
      <c r="C269" s="3">
        <v>2.1996091049061306E-2</v>
      </c>
    </row>
    <row r="270" spans="1:3" x14ac:dyDescent="0.3">
      <c r="A270" s="3">
        <v>245</v>
      </c>
      <c r="B270" s="3">
        <v>1.1820690689612516</v>
      </c>
      <c r="C270" s="3">
        <v>9.4309310387483691E-3</v>
      </c>
    </row>
    <row r="271" spans="1:3" x14ac:dyDescent="0.3">
      <c r="A271" s="3">
        <v>246</v>
      </c>
      <c r="B271" s="3">
        <v>1.1770241393828458</v>
      </c>
      <c r="C271" s="3">
        <v>1.3275860617154134E-2</v>
      </c>
    </row>
    <row r="272" spans="1:3" x14ac:dyDescent="0.3">
      <c r="A272" s="3">
        <v>247</v>
      </c>
      <c r="B272" s="3">
        <v>1.1760415630948933</v>
      </c>
      <c r="C272" s="3">
        <v>1.7058436905106777E-2</v>
      </c>
    </row>
    <row r="273" spans="1:3" x14ac:dyDescent="0.3">
      <c r="A273" s="3">
        <v>248</v>
      </c>
      <c r="B273" s="3">
        <v>1.1782900533242091</v>
      </c>
      <c r="C273" s="3">
        <v>6.6099466757909564E-3</v>
      </c>
    </row>
    <row r="274" spans="1:3" x14ac:dyDescent="0.3">
      <c r="A274" s="3">
        <v>249</v>
      </c>
      <c r="B274" s="3">
        <v>1.1717032040059248</v>
      </c>
      <c r="C274" s="3">
        <v>9.4967959940752689E-3</v>
      </c>
    </row>
    <row r="275" spans="1:3" x14ac:dyDescent="0.3">
      <c r="A275" s="3">
        <v>250</v>
      </c>
      <c r="B275" s="3">
        <v>1.1687047892428859</v>
      </c>
      <c r="C275" s="3">
        <v>7.6952107571139905E-3</v>
      </c>
    </row>
    <row r="276" spans="1:3" x14ac:dyDescent="0.3">
      <c r="A276" s="3">
        <v>251</v>
      </c>
      <c r="B276" s="3">
        <v>1.1648342348572387</v>
      </c>
      <c r="C276" s="3">
        <v>1.4765765142761289E-2</v>
      </c>
    </row>
    <row r="277" spans="1:3" x14ac:dyDescent="0.3">
      <c r="A277" s="3">
        <v>252</v>
      </c>
      <c r="B277" s="3">
        <v>1.1673944096150755</v>
      </c>
      <c r="C277" s="3">
        <v>8.8055903849244554E-3</v>
      </c>
    </row>
    <row r="278" spans="1:3" x14ac:dyDescent="0.3">
      <c r="A278" s="3">
        <v>253</v>
      </c>
      <c r="B278" s="3">
        <v>1.1646689436346085</v>
      </c>
      <c r="C278" s="3">
        <v>6.7310563653915079E-3</v>
      </c>
    </row>
    <row r="279" spans="1:3" x14ac:dyDescent="0.3">
      <c r="A279" s="3">
        <v>254</v>
      </c>
      <c r="B279" s="3">
        <v>1.1607992229805824</v>
      </c>
      <c r="C279" s="3">
        <v>1.2000777019417708E-2</v>
      </c>
    </row>
    <row r="280" spans="1:3" x14ac:dyDescent="0.3">
      <c r="A280" s="3">
        <v>255</v>
      </c>
      <c r="B280" s="3">
        <v>1.161911795852548</v>
      </c>
      <c r="C280" s="3">
        <v>1.5588204147451989E-2</v>
      </c>
    </row>
    <row r="281" spans="1:3" x14ac:dyDescent="0.3">
      <c r="A281" s="3">
        <v>256</v>
      </c>
      <c r="B281" s="3">
        <v>1.1656955359687755</v>
      </c>
      <c r="C281" s="3">
        <v>1.0504464031224403E-2</v>
      </c>
    </row>
    <row r="282" spans="1:3" x14ac:dyDescent="0.3">
      <c r="A282" s="3">
        <v>257</v>
      </c>
      <c r="B282" s="3">
        <v>1.1646631075132623</v>
      </c>
      <c r="C282" s="3">
        <v>1.6436892486737742E-2</v>
      </c>
    </row>
    <row r="283" spans="1:3" x14ac:dyDescent="0.3">
      <c r="A283" s="3">
        <v>258</v>
      </c>
      <c r="B283" s="3">
        <v>1.1686001886988875</v>
      </c>
      <c r="C283" s="3">
        <v>1.8899811301112512E-2</v>
      </c>
    </row>
    <row r="284" spans="1:3" x14ac:dyDescent="0.3">
      <c r="A284" s="3">
        <v>259</v>
      </c>
      <c r="B284" s="3">
        <v>1.1737608352429034</v>
      </c>
      <c r="C284" s="3">
        <v>1.3239164757096633E-2</v>
      </c>
    </row>
    <row r="285" spans="1:3" x14ac:dyDescent="0.3">
      <c r="A285" s="3">
        <v>260</v>
      </c>
      <c r="B285" s="3">
        <v>1.1733765098825182</v>
      </c>
      <c r="C285" s="3">
        <v>1.7823490117481855E-2</v>
      </c>
    </row>
    <row r="286" spans="1:3" x14ac:dyDescent="0.3">
      <c r="A286" s="3">
        <v>261</v>
      </c>
      <c r="B286" s="3">
        <v>1.1767528580635156</v>
      </c>
      <c r="C286" s="3">
        <v>1.2847141936484396E-2</v>
      </c>
    </row>
    <row r="287" spans="1:3" x14ac:dyDescent="0.3">
      <c r="A287" s="3">
        <v>262</v>
      </c>
      <c r="B287" s="3">
        <v>1.1754777730743227</v>
      </c>
      <c r="C287" s="3">
        <v>1.5422226925677407E-2</v>
      </c>
    </row>
    <row r="288" spans="1:3" x14ac:dyDescent="0.3">
      <c r="A288" s="3">
        <v>263</v>
      </c>
      <c r="B288" s="3">
        <v>1.1765188167565848</v>
      </c>
      <c r="C288" s="3">
        <v>1.8081183243415344E-2</v>
      </c>
    </row>
    <row r="289" spans="1:3" x14ac:dyDescent="0.3">
      <c r="A289" s="3">
        <v>264</v>
      </c>
      <c r="B289" s="3">
        <v>1.1794980556923438</v>
      </c>
      <c r="C289" s="3">
        <v>1.8301944307656193E-2</v>
      </c>
    </row>
    <row r="290" spans="1:3" x14ac:dyDescent="0.3">
      <c r="A290" s="3">
        <v>265</v>
      </c>
      <c r="B290" s="3">
        <v>1.1820818528461052</v>
      </c>
      <c r="C290" s="3">
        <v>1.4418147153894667E-2</v>
      </c>
    </row>
    <row r="291" spans="1:3" x14ac:dyDescent="0.3">
      <c r="A291" s="3">
        <v>266</v>
      </c>
      <c r="B291" s="3">
        <v>1.1810452557324875</v>
      </c>
      <c r="C291" s="3">
        <v>1.725474426751239E-2</v>
      </c>
    </row>
    <row r="292" spans="1:3" x14ac:dyDescent="0.3">
      <c r="A292" s="3">
        <v>267</v>
      </c>
      <c r="B292" s="3">
        <v>1.1824892447813349</v>
      </c>
      <c r="C292" s="3">
        <v>2.0810755218665156E-2</v>
      </c>
    </row>
    <row r="293" spans="1:3" x14ac:dyDescent="0.3">
      <c r="A293" s="3">
        <v>268</v>
      </c>
      <c r="B293" s="3">
        <v>1.1865153635207022</v>
      </c>
      <c r="C293" s="3">
        <v>1.6784636479297843E-2</v>
      </c>
    </row>
    <row r="294" spans="1:3" x14ac:dyDescent="0.3">
      <c r="A294" s="3">
        <v>269</v>
      </c>
      <c r="B294" s="3">
        <v>1.1865292590477168</v>
      </c>
      <c r="C294" s="3">
        <v>1.6770740952283258E-2</v>
      </c>
    </row>
    <row r="295" spans="1:3" x14ac:dyDescent="0.3">
      <c r="A295" s="3">
        <v>270</v>
      </c>
      <c r="B295" s="3">
        <v>1.1865292590477168</v>
      </c>
      <c r="C295" s="3">
        <v>1.4970740952283235E-2</v>
      </c>
    </row>
    <row r="296" spans="1:3" x14ac:dyDescent="0.3">
      <c r="A296" s="3">
        <v>271</v>
      </c>
      <c r="B296" s="3">
        <v>1.1850816571618457</v>
      </c>
      <c r="C296" s="3">
        <v>2.4818342838154317E-2</v>
      </c>
    </row>
    <row r="297" spans="1:3" x14ac:dyDescent="0.3">
      <c r="A297" s="3">
        <v>272</v>
      </c>
      <c r="B297" s="3">
        <v>1.1918321302395185</v>
      </c>
      <c r="C297" s="3">
        <v>1.6467869760481424E-2</v>
      </c>
    </row>
    <row r="298" spans="1:3" x14ac:dyDescent="0.3">
      <c r="A298" s="3">
        <v>273</v>
      </c>
      <c r="B298" s="3">
        <v>1.190568717493018</v>
      </c>
      <c r="C298" s="3">
        <v>1.8431282506982116E-2</v>
      </c>
    </row>
    <row r="299" spans="1:3" x14ac:dyDescent="0.3">
      <c r="A299" s="3">
        <v>274</v>
      </c>
      <c r="B299" s="3">
        <v>1.1911272272133231</v>
      </c>
      <c r="C299" s="3">
        <v>2.1172772786676841E-2</v>
      </c>
    </row>
    <row r="300" spans="1:3" x14ac:dyDescent="0.3">
      <c r="A300" s="3">
        <v>275</v>
      </c>
      <c r="B300" s="3">
        <v>1.1937831093778686</v>
      </c>
      <c r="C300" s="3">
        <v>1.801689062213141E-2</v>
      </c>
    </row>
    <row r="301" spans="1:3" x14ac:dyDescent="0.3">
      <c r="A301" s="3">
        <v>276</v>
      </c>
      <c r="B301" s="3">
        <v>1.1933901687907342</v>
      </c>
      <c r="C301" s="3">
        <v>8.4098312092657501E-3</v>
      </c>
    </row>
    <row r="302" spans="1:3" x14ac:dyDescent="0.3">
      <c r="A302" s="3">
        <v>277</v>
      </c>
      <c r="B302" s="3">
        <v>1.1853465465387489</v>
      </c>
      <c r="C302" s="3">
        <v>2.0753453461251015E-2</v>
      </c>
    </row>
    <row r="303" spans="1:3" x14ac:dyDescent="0.3">
      <c r="A303" s="3">
        <v>278</v>
      </c>
      <c r="B303" s="3">
        <v>1.1887769155454118</v>
      </c>
      <c r="C303" s="3">
        <v>1.2523084454588274E-2</v>
      </c>
    </row>
    <row r="304" spans="1:3" x14ac:dyDescent="0.3">
      <c r="A304" s="3">
        <v>279</v>
      </c>
      <c r="B304" s="3">
        <v>1.1849285940029881</v>
      </c>
      <c r="C304" s="3">
        <v>1.5571405997011789E-2</v>
      </c>
    </row>
    <row r="305" spans="1:3" x14ac:dyDescent="0.3">
      <c r="A305" s="3">
        <v>280</v>
      </c>
      <c r="B305" s="3">
        <v>1.1842718756811113</v>
      </c>
      <c r="C305" s="3">
        <v>2.2128124318888664E-2</v>
      </c>
    </row>
    <row r="306" spans="1:3" x14ac:dyDescent="0.3">
      <c r="A306" s="3">
        <v>281</v>
      </c>
      <c r="B306" s="3">
        <v>1.1890145696893664</v>
      </c>
      <c r="C306" s="3">
        <v>2.7285430310633574E-2</v>
      </c>
    </row>
    <row r="307" spans="1:3" x14ac:dyDescent="0.3">
      <c r="A307" s="3">
        <v>282</v>
      </c>
      <c r="B307" s="3">
        <v>1.1969927767835344</v>
      </c>
      <c r="C307" s="3">
        <v>1.5907223216465649E-2</v>
      </c>
    </row>
    <row r="308" spans="1:3" x14ac:dyDescent="0.3">
      <c r="A308" s="3">
        <v>283</v>
      </c>
      <c r="B308" s="3">
        <v>1.1942859308092673</v>
      </c>
      <c r="C308" s="3">
        <v>2.0314069190732642E-2</v>
      </c>
    </row>
    <row r="309" spans="1:3" x14ac:dyDescent="0.3">
      <c r="A309" s="3">
        <v>284</v>
      </c>
      <c r="B309" s="3">
        <v>1.1956436614097754</v>
      </c>
      <c r="C309" s="3">
        <v>1.1256338590224679E-2</v>
      </c>
    </row>
    <row r="310" spans="1:3" x14ac:dyDescent="0.3">
      <c r="A310" s="3">
        <v>285</v>
      </c>
      <c r="B310" s="3">
        <v>1.189455866710512</v>
      </c>
      <c r="C310" s="3">
        <v>1.8344133289488029E-2</v>
      </c>
    </row>
    <row r="311" spans="1:3" x14ac:dyDescent="0.3">
      <c r="A311" s="3">
        <v>286</v>
      </c>
      <c r="B311" s="3">
        <v>1.190158268541845</v>
      </c>
      <c r="C311" s="3">
        <v>2.3841731458154936E-2</v>
      </c>
    </row>
    <row r="312" spans="1:3" x14ac:dyDescent="0.3">
      <c r="A312" s="3">
        <v>287</v>
      </c>
      <c r="B312" s="3">
        <v>1.1951469540102635</v>
      </c>
      <c r="C312" s="3">
        <v>1.9953045989736573E-2</v>
      </c>
    </row>
    <row r="313" spans="1:3" x14ac:dyDescent="0.3">
      <c r="A313" s="3">
        <v>288</v>
      </c>
      <c r="B313" s="3">
        <v>1.1960488300606829</v>
      </c>
      <c r="C313" s="3">
        <v>2.595116993931712E-2</v>
      </c>
    </row>
    <row r="314" spans="1:3" x14ac:dyDescent="0.3">
      <c r="A314" s="3">
        <v>289</v>
      </c>
      <c r="B314" s="3">
        <v>1.2016010276391316</v>
      </c>
      <c r="C314" s="3">
        <v>1.559897236086849E-2</v>
      </c>
    </row>
    <row r="315" spans="1:3" x14ac:dyDescent="0.3">
      <c r="A315" s="3">
        <v>290</v>
      </c>
      <c r="B315" s="3">
        <v>1.1977599317707559</v>
      </c>
      <c r="C315" s="3">
        <v>2.4840068229244006E-2</v>
      </c>
    </row>
    <row r="316" spans="1:3" x14ac:dyDescent="0.3">
      <c r="A316" s="3">
        <v>291</v>
      </c>
      <c r="B316" s="3">
        <v>1.2020893977224347</v>
      </c>
      <c r="C316" s="3">
        <v>1.5810602277565255E-2</v>
      </c>
    </row>
    <row r="317" spans="1:3" x14ac:dyDescent="0.3">
      <c r="A317" s="3">
        <v>292</v>
      </c>
      <c r="B317" s="3">
        <v>1.1983245555229474</v>
      </c>
      <c r="C317" s="3">
        <v>2.3175444477052665E-2</v>
      </c>
    </row>
    <row r="318" spans="1:3" x14ac:dyDescent="0.3">
      <c r="A318" s="3">
        <v>293</v>
      </c>
      <c r="B318" s="3">
        <v>1.2012066974992959</v>
      </c>
      <c r="C318" s="3">
        <v>2.3793302500704216E-2</v>
      </c>
    </row>
    <row r="319" spans="1:3" x14ac:dyDescent="0.3">
      <c r="A319" s="3">
        <v>294</v>
      </c>
      <c r="B319" s="3">
        <v>1.2040314837234958</v>
      </c>
      <c r="C319" s="3">
        <v>1.4968516276504307E-2</v>
      </c>
    </row>
    <row r="320" spans="1:3" x14ac:dyDescent="0.3">
      <c r="A320" s="3">
        <v>295</v>
      </c>
      <c r="B320" s="3">
        <v>1.1992158709728358</v>
      </c>
      <c r="C320" s="3">
        <v>1.9984129027164288E-2</v>
      </c>
    </row>
    <row r="321" spans="1:3" x14ac:dyDescent="0.3">
      <c r="A321" s="3">
        <v>296</v>
      </c>
      <c r="B321" s="3">
        <v>1.1993600409944039</v>
      </c>
      <c r="C321" s="3">
        <v>1.9539959005596241E-2</v>
      </c>
    </row>
    <row r="322" spans="1:3" x14ac:dyDescent="0.3">
      <c r="A322" s="3">
        <v>297</v>
      </c>
      <c r="B322" s="3">
        <v>1.1991193298345058</v>
      </c>
      <c r="C322" s="3">
        <v>2.3380670165494166E-2</v>
      </c>
    </row>
    <row r="323" spans="1:3" x14ac:dyDescent="0.3">
      <c r="A323" s="3">
        <v>298</v>
      </c>
      <c r="B323" s="3">
        <v>1.2020136998746269</v>
      </c>
      <c r="C323" s="3">
        <v>1.9086300125373157E-2</v>
      </c>
    </row>
    <row r="324" spans="1:3" x14ac:dyDescent="0.3">
      <c r="A324" s="3">
        <v>299</v>
      </c>
      <c r="B324" s="3">
        <v>1.2008977920761781</v>
      </c>
      <c r="C324" s="3">
        <v>2.0002207923822013E-2</v>
      </c>
    </row>
    <row r="325" spans="1:3" x14ac:dyDescent="0.3">
      <c r="A325" s="3">
        <v>300</v>
      </c>
      <c r="B325" s="3">
        <v>1.2007330566746284</v>
      </c>
      <c r="C325" s="3">
        <v>1.1666943325371548E-2</v>
      </c>
    </row>
    <row r="326" spans="1:3" x14ac:dyDescent="0.3">
      <c r="A326" s="3">
        <v>301</v>
      </c>
      <c r="B326" s="3">
        <v>1.1938966030591562</v>
      </c>
      <c r="C326" s="3">
        <v>2.2603396940843679E-2</v>
      </c>
    </row>
    <row r="327" spans="1:3" x14ac:dyDescent="0.3">
      <c r="A327" s="3">
        <v>302</v>
      </c>
      <c r="B327" s="3">
        <v>1.1971702960699377</v>
      </c>
      <c r="C327" s="3">
        <v>2.172970393006235E-2</v>
      </c>
    </row>
    <row r="328" spans="1:3" x14ac:dyDescent="0.3">
      <c r="A328" s="3">
        <v>303</v>
      </c>
      <c r="B328" s="3">
        <v>1.1991118262499179</v>
      </c>
      <c r="C328" s="3">
        <v>1.7988173750082215E-2</v>
      </c>
    </row>
    <row r="329" spans="1:3" x14ac:dyDescent="0.3">
      <c r="A329" s="3">
        <v>304</v>
      </c>
      <c r="B329" s="3">
        <v>1.197670894217014</v>
      </c>
      <c r="C329" s="3">
        <v>2.012910578298599E-2</v>
      </c>
    </row>
    <row r="330" spans="1:3" x14ac:dyDescent="0.3">
      <c r="A330" s="3">
        <v>305</v>
      </c>
      <c r="B330" s="3">
        <v>1.1982288481162386</v>
      </c>
      <c r="C330" s="3">
        <v>1.867115188376145E-2</v>
      </c>
    </row>
    <row r="331" spans="1:3" x14ac:dyDescent="0.3">
      <c r="A331" s="3">
        <v>306</v>
      </c>
      <c r="B331" s="3">
        <v>1.1975069925470849</v>
      </c>
      <c r="C331" s="3">
        <v>1.3093007452914973E-2</v>
      </c>
    </row>
    <row r="332" spans="1:3" x14ac:dyDescent="0.3">
      <c r="A332" s="3">
        <v>307</v>
      </c>
      <c r="B332" s="3">
        <v>1.1924378847516734</v>
      </c>
      <c r="C332" s="3">
        <v>1.9362115248326539E-2</v>
      </c>
    </row>
    <row r="333" spans="1:3" x14ac:dyDescent="0.3">
      <c r="A333" s="3">
        <v>308</v>
      </c>
      <c r="B333" s="3">
        <v>1.1933854443115492</v>
      </c>
      <c r="C333" s="3">
        <v>1.9014555688450674E-2</v>
      </c>
    </row>
    <row r="334" spans="1:3" x14ac:dyDescent="0.3">
      <c r="A334" s="3">
        <v>309</v>
      </c>
      <c r="B334" s="3">
        <v>1.1938713131999896</v>
      </c>
      <c r="C334" s="3">
        <v>5.5286868000103961E-3</v>
      </c>
    </row>
    <row r="335" spans="1:3" x14ac:dyDescent="0.3">
      <c r="A335" s="3">
        <v>310</v>
      </c>
      <c r="B335" s="3">
        <v>1.1834180781541626</v>
      </c>
      <c r="C335" s="3">
        <v>7.1819218458375467E-3</v>
      </c>
    </row>
    <row r="336" spans="1:3" x14ac:dyDescent="0.3">
      <c r="A336" s="3">
        <v>311</v>
      </c>
      <c r="B336" s="3">
        <v>1.1763047850085551</v>
      </c>
      <c r="C336" s="3">
        <v>9.6952149914448782E-3</v>
      </c>
    </row>
    <row r="337" spans="1:3" x14ac:dyDescent="0.3">
      <c r="A337" s="3">
        <v>312</v>
      </c>
      <c r="B337" s="3">
        <v>1.1725809018393385</v>
      </c>
      <c r="C337" s="3">
        <v>1.8919098160661507E-2</v>
      </c>
    </row>
    <row r="338" spans="1:3" x14ac:dyDescent="0.3">
      <c r="A338" s="3">
        <v>313</v>
      </c>
      <c r="B338" s="3">
        <v>1.1769913459390913</v>
      </c>
      <c r="C338" s="3">
        <v>1.6808654060908701E-2</v>
      </c>
    </row>
    <row r="339" spans="1:3" x14ac:dyDescent="0.3">
      <c r="A339" s="3">
        <v>314</v>
      </c>
      <c r="B339" s="3">
        <v>1.1788563445396427</v>
      </c>
      <c r="C339" s="3">
        <v>1.3643655460357174E-2</v>
      </c>
    </row>
    <row r="340" spans="1:3" x14ac:dyDescent="0.3">
      <c r="A340" s="3">
        <v>315</v>
      </c>
      <c r="B340" s="3">
        <v>1.1778172462311625</v>
      </c>
      <c r="C340" s="3">
        <v>1.5182753768837598E-2</v>
      </c>
    </row>
    <row r="341" spans="1:3" x14ac:dyDescent="0.3">
      <c r="A341" s="3">
        <v>316</v>
      </c>
      <c r="B341" s="3">
        <v>1.1782157450291029</v>
      </c>
      <c r="C341" s="3">
        <v>1.508425497089716E-2</v>
      </c>
    </row>
    <row r="342" spans="1:3" x14ac:dyDescent="0.3">
      <c r="A342" s="3">
        <v>317</v>
      </c>
      <c r="B342" s="3">
        <v>1.1784584015627828</v>
      </c>
      <c r="C342" s="3">
        <v>1.3941598437217095E-2</v>
      </c>
    </row>
    <row r="343" spans="1:3" x14ac:dyDescent="0.3">
      <c r="A343" s="3">
        <v>318</v>
      </c>
      <c r="B343" s="3">
        <v>1.1777354343514681</v>
      </c>
      <c r="C343" s="3">
        <v>1.1764565648531899E-2</v>
      </c>
    </row>
    <row r="344" spans="1:3" x14ac:dyDescent="0.3">
      <c r="A344" s="3">
        <v>319</v>
      </c>
      <c r="B344" s="3">
        <v>1.1754006856738133</v>
      </c>
      <c r="C344" s="3">
        <v>1.0099314326186715E-2</v>
      </c>
    </row>
    <row r="345" spans="1:3" x14ac:dyDescent="0.3">
      <c r="A345" s="3">
        <v>320</v>
      </c>
      <c r="B345" s="3">
        <v>1.1721757331884313</v>
      </c>
      <c r="C345" s="3">
        <v>1.2624266811568807E-2</v>
      </c>
    </row>
    <row r="346" spans="1:3" x14ac:dyDescent="0.3">
      <c r="A346" s="3">
        <v>321</v>
      </c>
      <c r="B346" s="3">
        <v>1.1716016604778696</v>
      </c>
      <c r="C346" s="3">
        <v>1.4798339522130277E-2</v>
      </c>
    </row>
    <row r="347" spans="1:3" x14ac:dyDescent="0.3">
      <c r="A347" s="3">
        <v>322</v>
      </c>
      <c r="B347" s="3">
        <v>1.1728864723359731</v>
      </c>
      <c r="C347" s="3">
        <v>1.3213527664026836E-2</v>
      </c>
    </row>
    <row r="348" spans="1:3" x14ac:dyDescent="0.3">
      <c r="A348" s="3">
        <v>323</v>
      </c>
      <c r="B348" s="3">
        <v>1.1726496519236391</v>
      </c>
      <c r="C348" s="3">
        <v>9.5503480763607929E-3</v>
      </c>
    </row>
    <row r="349" spans="1:3" x14ac:dyDescent="0.3">
      <c r="A349" s="3">
        <v>324</v>
      </c>
      <c r="B349" s="3">
        <v>1.1695123474392977</v>
      </c>
      <c r="C349" s="3">
        <v>9.3876525607023975E-3</v>
      </c>
    </row>
    <row r="350" spans="1:3" x14ac:dyDescent="0.3">
      <c r="A350" s="3">
        <v>325</v>
      </c>
      <c r="B350" s="3">
        <v>1.1668475721374627</v>
      </c>
      <c r="C350" s="3">
        <v>1.7352427862537212E-2</v>
      </c>
    </row>
    <row r="351" spans="1:3" x14ac:dyDescent="0.3">
      <c r="A351" s="3">
        <v>326</v>
      </c>
      <c r="B351" s="3">
        <v>1.1711007844202532</v>
      </c>
      <c r="C351" s="3">
        <v>1.6199215579746795E-2</v>
      </c>
    </row>
    <row r="352" spans="1:3" x14ac:dyDescent="0.3">
      <c r="A352" s="3">
        <v>327</v>
      </c>
      <c r="B352" s="3">
        <v>1.1736086058156667</v>
      </c>
      <c r="C352" s="3">
        <v>1.2291394184333226E-2</v>
      </c>
    </row>
    <row r="353" spans="1:3" x14ac:dyDescent="0.3">
      <c r="A353" s="3">
        <v>328</v>
      </c>
      <c r="B353" s="3">
        <v>1.1724913084645161</v>
      </c>
      <c r="C353" s="3">
        <v>4.9086915354839E-3</v>
      </c>
    </row>
    <row r="354" spans="1:3" x14ac:dyDescent="0.3">
      <c r="A354" s="3">
        <v>329</v>
      </c>
      <c r="B354" s="3">
        <v>1.165651519922561</v>
      </c>
      <c r="C354" s="3">
        <v>1.7848480077439E-2</v>
      </c>
    </row>
    <row r="355" spans="1:3" x14ac:dyDescent="0.3">
      <c r="A355" s="3">
        <v>330</v>
      </c>
      <c r="B355" s="3">
        <v>1.170533659473199</v>
      </c>
      <c r="C355" s="3">
        <v>1.0666340526801044E-2</v>
      </c>
    </row>
    <row r="356" spans="1:3" x14ac:dyDescent="0.3">
      <c r="A356" s="3">
        <v>331</v>
      </c>
      <c r="B356" s="3">
        <v>1.1687008984953218</v>
      </c>
      <c r="C356" s="3">
        <v>1.1799101504678333E-2</v>
      </c>
    </row>
    <row r="357" spans="1:3" x14ac:dyDescent="0.3">
      <c r="A357" s="3">
        <v>332</v>
      </c>
      <c r="B357" s="3">
        <v>1.1681315502639451</v>
      </c>
      <c r="C357" s="3">
        <v>1.1668449736054853E-2</v>
      </c>
    </row>
    <row r="358" spans="1:3" x14ac:dyDescent="0.3">
      <c r="A358" s="3">
        <v>333</v>
      </c>
      <c r="B358" s="3">
        <v>1.1675666486012131</v>
      </c>
      <c r="C358" s="3">
        <v>1.0333351398786883E-2</v>
      </c>
    </row>
    <row r="359" spans="1:3" x14ac:dyDescent="0.3">
      <c r="A359" s="3">
        <v>334</v>
      </c>
      <c r="B359" s="3">
        <v>1.1660366790145671</v>
      </c>
      <c r="C359" s="3">
        <v>1.3163320985432936E-2</v>
      </c>
    </row>
    <row r="360" spans="1:3" x14ac:dyDescent="0.3">
      <c r="A360" s="3">
        <v>335</v>
      </c>
      <c r="B360" s="3">
        <v>1.1670768889652086</v>
      </c>
      <c r="C360" s="3">
        <v>9.9231110347914875E-3</v>
      </c>
    </row>
    <row r="361" spans="1:3" x14ac:dyDescent="0.3">
      <c r="A361" s="3">
        <v>336</v>
      </c>
      <c r="B361" s="3">
        <v>1.16531121060839</v>
      </c>
      <c r="C361" s="3">
        <v>1.1788789391609988E-2</v>
      </c>
    </row>
    <row r="362" spans="1:3" x14ac:dyDescent="0.3">
      <c r="A362" s="3">
        <v>337</v>
      </c>
      <c r="B362" s="3">
        <v>1.1653855189034963</v>
      </c>
      <c r="C362" s="3">
        <v>1.4514481096503662E-2</v>
      </c>
    </row>
    <row r="363" spans="1:3" x14ac:dyDescent="0.3">
      <c r="A363" s="3">
        <v>338</v>
      </c>
      <c r="B363" s="3">
        <v>1.1676376219698361</v>
      </c>
      <c r="C363" s="3">
        <v>1.3762378030163891E-2</v>
      </c>
    </row>
    <row r="364" spans="1:3" x14ac:dyDescent="0.3">
      <c r="A364" s="3">
        <v>339</v>
      </c>
      <c r="B364" s="3">
        <v>1.1688517383698569</v>
      </c>
      <c r="C364" s="3">
        <v>1.5348261630143023E-2</v>
      </c>
    </row>
    <row r="365" spans="1:3" x14ac:dyDescent="0.3">
      <c r="A365" s="3">
        <v>340</v>
      </c>
      <c r="B365" s="3">
        <v>1.1711077321837606</v>
      </c>
      <c r="C365" s="3">
        <v>1.7492267816239471E-2</v>
      </c>
    </row>
    <row r="366" spans="1:3" x14ac:dyDescent="0.3">
      <c r="A366" s="3">
        <v>341</v>
      </c>
      <c r="B366" s="3">
        <v>1.1746540960665737</v>
      </c>
      <c r="C366" s="3">
        <v>1.2345903933426383E-2</v>
      </c>
    </row>
    <row r="367" spans="1:3" x14ac:dyDescent="0.3">
      <c r="A367" s="3">
        <v>342</v>
      </c>
      <c r="B367" s="3">
        <v>1.1733795668984612</v>
      </c>
      <c r="C367" s="3">
        <v>1.3320433101538853E-2</v>
      </c>
    </row>
    <row r="368" spans="1:3" x14ac:dyDescent="0.3">
      <c r="A368" s="3">
        <v>343</v>
      </c>
      <c r="B368" s="3">
        <v>1.173133853348838</v>
      </c>
      <c r="C368" s="3">
        <v>1.2866146651161925E-2</v>
      </c>
    </row>
    <row r="369" spans="1:3" x14ac:dyDescent="0.3">
      <c r="A369" s="3">
        <v>344</v>
      </c>
      <c r="B369" s="3">
        <v>1.1725700633282672</v>
      </c>
      <c r="C369" s="3">
        <v>1.0929936671732809E-2</v>
      </c>
    </row>
    <row r="370" spans="1:3" x14ac:dyDescent="0.3">
      <c r="A370" s="3">
        <v>345</v>
      </c>
      <c r="B370" s="3">
        <v>1.1705575597796642</v>
      </c>
      <c r="C370" s="3">
        <v>1.2642440220335782E-2</v>
      </c>
    </row>
    <row r="371" spans="1:3" x14ac:dyDescent="0.3">
      <c r="A371" s="3">
        <v>346</v>
      </c>
      <c r="B371" s="3">
        <v>1.1703093450351785</v>
      </c>
      <c r="C371" s="3">
        <v>5.6906549648214622E-3</v>
      </c>
    </row>
    <row r="372" spans="1:3" x14ac:dyDescent="0.3">
      <c r="A372" s="3">
        <v>347</v>
      </c>
      <c r="B372" s="3">
        <v>1.1645181037600731</v>
      </c>
      <c r="C372" s="3">
        <v>9.1818962399268234E-3</v>
      </c>
    </row>
    <row r="373" spans="1:3" x14ac:dyDescent="0.3">
      <c r="A373" s="3">
        <v>348</v>
      </c>
      <c r="B373" s="3">
        <v>1.1626483806803369</v>
      </c>
      <c r="C373" s="3">
        <v>9.151619319663018E-3</v>
      </c>
    </row>
    <row r="374" spans="1:3" x14ac:dyDescent="0.3">
      <c r="A374" s="3">
        <v>349</v>
      </c>
      <c r="B374" s="3">
        <v>1.1611139645250463</v>
      </c>
      <c r="C374" s="3">
        <v>1.2586035474953627E-2</v>
      </c>
    </row>
    <row r="375" spans="1:3" x14ac:dyDescent="0.3">
      <c r="A375" s="3">
        <v>350</v>
      </c>
      <c r="B375" s="3">
        <v>1.1626367084376448</v>
      </c>
      <c r="C375" s="3">
        <v>1.0063291562355303E-2</v>
      </c>
    </row>
    <row r="376" spans="1:3" x14ac:dyDescent="0.3">
      <c r="A376" s="3">
        <v>351</v>
      </c>
      <c r="B376" s="3">
        <v>1.1618377654679819</v>
      </c>
      <c r="C376" s="3">
        <v>1.7262234532018139E-2</v>
      </c>
    </row>
    <row r="377" spans="1:3" x14ac:dyDescent="0.3">
      <c r="A377" s="3">
        <v>352</v>
      </c>
      <c r="B377" s="3">
        <v>1.1669820152901205</v>
      </c>
      <c r="C377" s="3">
        <v>1.0717984709879502E-2</v>
      </c>
    </row>
    <row r="378" spans="1:3" x14ac:dyDescent="0.3">
      <c r="A378" s="3">
        <v>353</v>
      </c>
      <c r="B378" s="3">
        <v>1.1658738889867994</v>
      </c>
      <c r="C378" s="3">
        <v>4.9261110132006181E-3</v>
      </c>
    </row>
    <row r="379" spans="1:3" x14ac:dyDescent="0.3">
      <c r="A379" s="3">
        <v>354</v>
      </c>
      <c r="B379" s="3">
        <v>1.1603208576767297</v>
      </c>
      <c r="C379" s="3">
        <v>1.0679142323270385E-2</v>
      </c>
    </row>
    <row r="380" spans="1:3" x14ac:dyDescent="0.3">
      <c r="A380" s="3">
        <v>355</v>
      </c>
      <c r="B380" s="3">
        <v>1.1604625265034352</v>
      </c>
      <c r="C380" s="3">
        <v>6.9374734965648166E-3</v>
      </c>
    </row>
    <row r="381" spans="1:3" x14ac:dyDescent="0.3">
      <c r="A381" s="3">
        <v>356</v>
      </c>
      <c r="B381" s="3">
        <v>1.1575678785527737</v>
      </c>
      <c r="C381" s="3">
        <v>1.2032121447226318E-2</v>
      </c>
    </row>
    <row r="382" spans="1:3" x14ac:dyDescent="0.3">
      <c r="A382" s="3">
        <v>357</v>
      </c>
      <c r="B382" s="3">
        <v>1.1593271649671655</v>
      </c>
      <c r="C382" s="3">
        <v>1.497283503283442E-2</v>
      </c>
    </row>
    <row r="383" spans="1:3" x14ac:dyDescent="0.3">
      <c r="A383" s="3">
        <v>358</v>
      </c>
      <c r="B383" s="3">
        <v>1.1631131283677152</v>
      </c>
      <c r="C383" s="3">
        <v>1.2186871632284824E-2</v>
      </c>
    </row>
    <row r="384" spans="1:3" x14ac:dyDescent="0.3">
      <c r="A384" s="3">
        <v>359</v>
      </c>
      <c r="B384" s="3">
        <v>1.1639304134330373</v>
      </c>
      <c r="C384" s="3">
        <v>1.3069586566962776E-2</v>
      </c>
    </row>
    <row r="385" spans="1:3" x14ac:dyDescent="0.3">
      <c r="A385" s="3">
        <v>360</v>
      </c>
      <c r="B385" s="3">
        <v>1.1653003720973185</v>
      </c>
      <c r="C385" s="3">
        <v>9.6996279026815291E-3</v>
      </c>
    </row>
    <row r="386" spans="1:3" x14ac:dyDescent="0.3">
      <c r="A386" s="3">
        <v>361</v>
      </c>
      <c r="B386" s="3">
        <v>1.1636966500366468</v>
      </c>
      <c r="C386" s="3">
        <v>1.5603349963353219E-2</v>
      </c>
    </row>
    <row r="387" spans="1:3" x14ac:dyDescent="0.3">
      <c r="A387" s="3">
        <v>362</v>
      </c>
      <c r="B387" s="3">
        <v>1.167149251886533</v>
      </c>
      <c r="C387" s="3">
        <v>1.2350748113467036E-2</v>
      </c>
    </row>
    <row r="388" spans="1:3" x14ac:dyDescent="0.3">
      <c r="A388" s="3">
        <v>363</v>
      </c>
      <c r="B388" s="3">
        <v>1.1673220466937513</v>
      </c>
      <c r="C388" s="3">
        <v>1.3377953306248802E-2</v>
      </c>
    </row>
    <row r="389" spans="1:3" x14ac:dyDescent="0.3">
      <c r="A389" s="3">
        <v>364</v>
      </c>
      <c r="B389" s="3">
        <v>1.1682876704387459</v>
      </c>
      <c r="C389" s="3">
        <v>1.5412329561254046E-2</v>
      </c>
    </row>
    <row r="390" spans="1:3" x14ac:dyDescent="0.3">
      <c r="A390" s="3">
        <v>365</v>
      </c>
      <c r="B390" s="3">
        <v>1.1707036751750146</v>
      </c>
      <c r="C390" s="3">
        <v>1.6596324824985409E-2</v>
      </c>
    </row>
    <row r="391" spans="1:3" x14ac:dyDescent="0.3">
      <c r="A391" s="3">
        <v>366</v>
      </c>
      <c r="B391" s="3">
        <v>1.1736072162629654</v>
      </c>
      <c r="C391" s="3">
        <v>1.4592783737034543E-2</v>
      </c>
    </row>
    <row r="392" spans="1:3" x14ac:dyDescent="0.3">
      <c r="A392" s="3">
        <v>367</v>
      </c>
      <c r="B392" s="3">
        <v>1.1743410219853514</v>
      </c>
      <c r="C392" s="3">
        <v>1.2458978014648681E-2</v>
      </c>
    </row>
    <row r="393" spans="1:3" x14ac:dyDescent="0.3">
      <c r="A393" s="3">
        <v>368</v>
      </c>
      <c r="B393" s="3">
        <v>1.1732176106023144</v>
      </c>
      <c r="C393" s="3">
        <v>1.068238939768551E-2</v>
      </c>
    </row>
    <row r="394" spans="1:3" x14ac:dyDescent="0.3">
      <c r="A394" s="3">
        <v>369</v>
      </c>
      <c r="B394" s="3">
        <v>1.1708814723719581</v>
      </c>
      <c r="C394" s="3">
        <v>1.0418527628041963E-2</v>
      </c>
    </row>
    <row r="395" spans="1:3" x14ac:dyDescent="0.3">
      <c r="A395" s="3">
        <v>370</v>
      </c>
      <c r="B395" s="3">
        <v>1.1687824324644758</v>
      </c>
      <c r="C395" s="3">
        <v>1.3717567535524333E-2</v>
      </c>
    </row>
    <row r="396" spans="1:3" x14ac:dyDescent="0.3">
      <c r="A396" s="3">
        <v>371</v>
      </c>
      <c r="B396" s="3">
        <v>1.1697402747143424</v>
      </c>
      <c r="C396" s="3">
        <v>1.1659725285657618E-2</v>
      </c>
    </row>
    <row r="397" spans="1:3" x14ac:dyDescent="0.3">
      <c r="A397" s="3">
        <v>372</v>
      </c>
      <c r="B397" s="3">
        <v>1.1688589640439044</v>
      </c>
      <c r="C397" s="3">
        <v>1.1941035956095636E-2</v>
      </c>
    </row>
    <row r="398" spans="1:3" x14ac:dyDescent="0.3">
      <c r="A398" s="3">
        <v>373</v>
      </c>
      <c r="B398" s="3">
        <v>1.1683733730660044</v>
      </c>
      <c r="C398" s="3">
        <v>1.1826626933995499E-2</v>
      </c>
    </row>
    <row r="399" spans="1:3" x14ac:dyDescent="0.3">
      <c r="A399" s="3">
        <v>374</v>
      </c>
      <c r="B399" s="3">
        <v>1.1678891716408053</v>
      </c>
      <c r="C399" s="3">
        <v>1.3610828359194693E-2</v>
      </c>
    </row>
    <row r="400" spans="1:3" x14ac:dyDescent="0.3">
      <c r="A400" s="3">
        <v>375</v>
      </c>
      <c r="B400" s="3">
        <v>1.1689329944284705</v>
      </c>
      <c r="C400" s="3">
        <v>7.4670055715293504E-3</v>
      </c>
    </row>
    <row r="401" spans="1:3" x14ac:dyDescent="0.3">
      <c r="A401" s="3">
        <v>376</v>
      </c>
      <c r="B401" s="3">
        <v>1.1648350685888595</v>
      </c>
      <c r="C401" s="3">
        <v>7.664931411140552E-3</v>
      </c>
    </row>
    <row r="402" spans="1:3" x14ac:dyDescent="0.3">
      <c r="A402" s="3">
        <v>377</v>
      </c>
      <c r="B402" s="3">
        <v>1.1616844243985842</v>
      </c>
      <c r="C402" s="3">
        <v>1.0815575601415883E-2</v>
      </c>
    </row>
    <row r="403" spans="1:3" x14ac:dyDescent="0.3">
      <c r="A403" s="3">
        <v>378</v>
      </c>
      <c r="B403" s="3">
        <v>1.1616735858875129</v>
      </c>
      <c r="C403" s="3">
        <v>1.0626414112486993E-2</v>
      </c>
    </row>
    <row r="404" spans="1:3" x14ac:dyDescent="0.3">
      <c r="A404" s="3">
        <v>379</v>
      </c>
      <c r="B404" s="3">
        <v>1.1615127412335271</v>
      </c>
      <c r="C404" s="3">
        <v>7.0872587664729814E-3</v>
      </c>
    </row>
    <row r="405" spans="1:3" x14ac:dyDescent="0.3">
      <c r="A405" s="3">
        <v>380</v>
      </c>
      <c r="B405" s="3">
        <v>1.1585365593137114</v>
      </c>
      <c r="C405" s="3">
        <v>1.5063440686288621E-2</v>
      </c>
    </row>
    <row r="406" spans="1:3" x14ac:dyDescent="0.3">
      <c r="A406" s="3">
        <v>381</v>
      </c>
      <c r="B406" s="3">
        <v>1.1625473929733625</v>
      </c>
      <c r="C406" s="3">
        <v>8.8526070266374823E-3</v>
      </c>
    </row>
    <row r="407" spans="1:3" x14ac:dyDescent="0.3">
      <c r="A407" s="3">
        <v>382</v>
      </c>
      <c r="B407" s="3">
        <v>1.1607919973065346</v>
      </c>
      <c r="C407" s="3">
        <v>8.6080026934653997E-3</v>
      </c>
    </row>
    <row r="408" spans="1:3" x14ac:dyDescent="0.3">
      <c r="A408" s="3">
        <v>383</v>
      </c>
      <c r="B408" s="3">
        <v>1.1591774367347916</v>
      </c>
      <c r="C408" s="3">
        <v>8.9225632652083497E-3</v>
      </c>
    </row>
    <row r="409" spans="1:3" x14ac:dyDescent="0.3">
      <c r="A409" s="3">
        <v>384</v>
      </c>
      <c r="B409" s="3">
        <v>1.1581263882730788</v>
      </c>
      <c r="C409" s="3">
        <v>1.3736117269211867E-3</v>
      </c>
    </row>
    <row r="410" spans="1:3" x14ac:dyDescent="0.3">
      <c r="A410" s="3">
        <v>385</v>
      </c>
      <c r="B410" s="3">
        <v>1.151206455314671</v>
      </c>
      <c r="C410" s="3">
        <v>6.8935446853288784E-3</v>
      </c>
    </row>
    <row r="411" spans="1:3" x14ac:dyDescent="0.3">
      <c r="A411" s="3">
        <v>386</v>
      </c>
      <c r="B411" s="3">
        <v>1.150056642430306</v>
      </c>
      <c r="C411" s="3">
        <v>9.3433575696939553E-3</v>
      </c>
    </row>
    <row r="412" spans="1:3" x14ac:dyDescent="0.3">
      <c r="A412" s="3">
        <v>387</v>
      </c>
      <c r="B412" s="3">
        <v>1.1510982419336488</v>
      </c>
      <c r="C412" s="3">
        <v>1.1001758066351064E-2</v>
      </c>
    </row>
    <row r="413" spans="1:3" x14ac:dyDescent="0.3">
      <c r="A413" s="3">
        <v>388</v>
      </c>
      <c r="B413" s="3">
        <v>1.1532732575994791</v>
      </c>
      <c r="C413" s="3">
        <v>6.3267424005208905E-3</v>
      </c>
    </row>
    <row r="414" spans="1:3" x14ac:dyDescent="0.3">
      <c r="A414" s="3">
        <v>389</v>
      </c>
      <c r="B414" s="3">
        <v>1.1512702030092461</v>
      </c>
      <c r="C414" s="3">
        <v>4.3297969907538647E-3</v>
      </c>
    </row>
    <row r="415" spans="1:3" x14ac:dyDescent="0.3">
      <c r="A415" s="3">
        <v>390</v>
      </c>
      <c r="B415" s="3">
        <v>1.1480463621660255</v>
      </c>
      <c r="C415" s="3">
        <v>6.9536378339745131E-3</v>
      </c>
    </row>
    <row r="416" spans="1:3" x14ac:dyDescent="0.3">
      <c r="A416" s="3">
        <v>391</v>
      </c>
      <c r="B416" s="3">
        <v>1.1475527117824567</v>
      </c>
      <c r="C416" s="3">
        <v>9.1472882175434034E-3</v>
      </c>
    </row>
    <row r="417" spans="1:3" x14ac:dyDescent="0.3">
      <c r="A417" s="3">
        <v>392</v>
      </c>
      <c r="B417" s="3">
        <v>1.1489182238780933</v>
      </c>
      <c r="C417" s="3">
        <v>6.1817761219067346E-3</v>
      </c>
    </row>
    <row r="418" spans="1:3" x14ac:dyDescent="0.3">
      <c r="A418" s="3">
        <v>393</v>
      </c>
      <c r="B418" s="3">
        <v>1.1476361911253927</v>
      </c>
      <c r="C418" s="3">
        <v>5.063808874607334E-3</v>
      </c>
    </row>
    <row r="419" spans="1:3" x14ac:dyDescent="0.3">
      <c r="A419" s="3">
        <v>394</v>
      </c>
      <c r="B419" s="3">
        <v>1.14570160870892</v>
      </c>
      <c r="C419" s="3">
        <v>1.3498391291079992E-2</v>
      </c>
    </row>
    <row r="420" spans="1:3" x14ac:dyDescent="0.3">
      <c r="A420" s="3">
        <v>395</v>
      </c>
      <c r="B420" s="3">
        <v>1.1509223901104875</v>
      </c>
      <c r="C420" s="3">
        <v>8.4776098895125163E-3</v>
      </c>
    </row>
    <row r="421" spans="1:3" x14ac:dyDescent="0.3">
      <c r="A421" s="3">
        <v>396</v>
      </c>
      <c r="B421" s="3">
        <v>1.1511012989495921</v>
      </c>
      <c r="C421" s="3">
        <v>8.8987010504077979E-3</v>
      </c>
    </row>
    <row r="422" spans="1:3" x14ac:dyDescent="0.3">
      <c r="A422" s="3">
        <v>397</v>
      </c>
      <c r="B422" s="3">
        <v>1.1515843887326296</v>
      </c>
      <c r="C422" s="3">
        <v>9.3156112673704605E-3</v>
      </c>
    </row>
    <row r="423" spans="1:3" x14ac:dyDescent="0.3">
      <c r="A423" s="3">
        <v>398</v>
      </c>
      <c r="B423" s="3">
        <v>1.1523098571388068</v>
      </c>
      <c r="C423" s="3">
        <v>1.0890142861193164E-2</v>
      </c>
    </row>
    <row r="424" spans="1:3" x14ac:dyDescent="0.3">
      <c r="A424" s="3">
        <v>399</v>
      </c>
      <c r="B424" s="3">
        <v>1.1541620718545049</v>
      </c>
      <c r="C424" s="3">
        <v>1.0737928145495124E-2</v>
      </c>
    </row>
    <row r="425" spans="1:3" x14ac:dyDescent="0.3">
      <c r="A425" s="3">
        <v>400</v>
      </c>
      <c r="B425" s="3">
        <v>1.1555356433558099</v>
      </c>
      <c r="C425" s="3">
        <v>6.5643566441899726E-3</v>
      </c>
    </row>
    <row r="426" spans="1:3" x14ac:dyDescent="0.3">
      <c r="A426" s="3">
        <v>401</v>
      </c>
      <c r="B426" s="3">
        <v>1.1532885426791952</v>
      </c>
      <c r="C426" s="3">
        <v>1.1411457320804841E-2</v>
      </c>
    </row>
    <row r="427" spans="1:3" x14ac:dyDescent="0.3">
      <c r="A427" s="3">
        <v>402</v>
      </c>
      <c r="B427" s="3">
        <v>1.1553717416858809</v>
      </c>
      <c r="C427" s="3">
        <v>5.2282583141192163E-3</v>
      </c>
    </row>
    <row r="428" spans="1:3" x14ac:dyDescent="0.3">
      <c r="A428" s="3">
        <v>403</v>
      </c>
      <c r="B428" s="3">
        <v>1.1520816519532224</v>
      </c>
      <c r="C428" s="3">
        <v>7.4183480467775453E-3</v>
      </c>
    </row>
    <row r="429" spans="1:3" x14ac:dyDescent="0.3">
      <c r="A429" s="3">
        <v>404</v>
      </c>
      <c r="B429" s="3">
        <v>1.151185612024149</v>
      </c>
      <c r="C429" s="3">
        <v>9.2143879758510572E-3</v>
      </c>
    </row>
    <row r="430" spans="1:3" x14ac:dyDescent="0.3">
      <c r="A430" s="3">
        <v>405</v>
      </c>
      <c r="B430" s="3">
        <v>1.1519063559511413</v>
      </c>
      <c r="C430" s="3">
        <v>1.5993644048858613E-2</v>
      </c>
    </row>
    <row r="431" spans="1:3" x14ac:dyDescent="0.3">
      <c r="A431" s="3">
        <v>406</v>
      </c>
      <c r="B431" s="3">
        <v>1.1579405316704667</v>
      </c>
      <c r="C431" s="3">
        <v>-1.8405316704668273E-3</v>
      </c>
    </row>
    <row r="432" spans="1:3" x14ac:dyDescent="0.3">
      <c r="A432" s="3">
        <v>407</v>
      </c>
      <c r="B432" s="3">
        <v>1.1484715403758339</v>
      </c>
      <c r="C432" s="3">
        <v>1.2128459624166199E-2</v>
      </c>
    </row>
    <row r="433" spans="1:3" x14ac:dyDescent="0.3">
      <c r="A433" s="3">
        <v>408</v>
      </c>
      <c r="B433" s="3">
        <v>1.1520577516467572</v>
      </c>
      <c r="C433" s="3">
        <v>5.6422483532427847E-3</v>
      </c>
    </row>
    <row r="434" spans="1:3" x14ac:dyDescent="0.3">
      <c r="A434" s="3">
        <v>409</v>
      </c>
      <c r="B434" s="3">
        <v>1.1497380101382779</v>
      </c>
      <c r="C434" s="3">
        <v>1.126198986172211E-2</v>
      </c>
    </row>
    <row r="435" spans="1:3" x14ac:dyDescent="0.3">
      <c r="A435" s="3">
        <v>410</v>
      </c>
      <c r="B435" s="3">
        <v>1.152383887523373</v>
      </c>
      <c r="C435" s="3">
        <v>2.8161124766270529E-3</v>
      </c>
    </row>
    <row r="436" spans="1:3" x14ac:dyDescent="0.3">
      <c r="A436" s="3">
        <v>411</v>
      </c>
      <c r="B436" s="3">
        <v>1.147728563605618</v>
      </c>
      <c r="C436" s="3">
        <v>8.8714363943820373E-3</v>
      </c>
    </row>
    <row r="437" spans="1:3" x14ac:dyDescent="0.3">
      <c r="A437" s="3">
        <v>412</v>
      </c>
      <c r="B437" s="3">
        <v>1.148838357372181</v>
      </c>
      <c r="C437" s="3">
        <v>9.7616426278190893E-3</v>
      </c>
    </row>
    <row r="438" spans="1:3" x14ac:dyDescent="0.3">
      <c r="A438" s="3">
        <v>413</v>
      </c>
      <c r="B438" s="3">
        <v>1.1504506946596018</v>
      </c>
      <c r="C438" s="3">
        <v>8.6493053403982056E-3</v>
      </c>
    </row>
    <row r="439" spans="1:3" x14ac:dyDescent="0.3">
      <c r="A439" s="3">
        <v>414</v>
      </c>
      <c r="B439" s="3">
        <v>1.1508583645053718</v>
      </c>
      <c r="C439" s="3">
        <v>-3.0583645053718911E-3</v>
      </c>
    </row>
    <row r="440" spans="1:3" x14ac:dyDescent="0.3">
      <c r="A440" s="3">
        <v>415</v>
      </c>
      <c r="B440" s="3">
        <v>1.1417720311078827</v>
      </c>
      <c r="C440" s="3">
        <v>3.2279688921172944E-3</v>
      </c>
    </row>
    <row r="441" spans="1:3" x14ac:dyDescent="0.3">
      <c r="A441" s="3">
        <v>416</v>
      </c>
      <c r="B441" s="3">
        <v>1.1394888020610301</v>
      </c>
      <c r="C441" s="3">
        <v>5.511197938969925E-3</v>
      </c>
    </row>
    <row r="442" spans="1:3" x14ac:dyDescent="0.3">
      <c r="A442" s="3">
        <v>417</v>
      </c>
      <c r="B442" s="3">
        <v>1.1394810205659021</v>
      </c>
      <c r="C442" s="3">
        <v>-2.7810205659020149E-3</v>
      </c>
    </row>
    <row r="443" spans="1:3" x14ac:dyDescent="0.3">
      <c r="A443" s="3">
        <v>418</v>
      </c>
      <c r="B443" s="3">
        <v>1.1328059674254967</v>
      </c>
      <c r="C443" s="3">
        <v>-9.0596742549675646E-4</v>
      </c>
    </row>
    <row r="444" spans="1:3" x14ac:dyDescent="0.3">
      <c r="A444" s="3">
        <v>419</v>
      </c>
      <c r="B444" s="3">
        <v>1.1289226291549959</v>
      </c>
      <c r="C444" s="3">
        <v>2.9773708450040459E-3</v>
      </c>
    </row>
    <row r="445" spans="1:3" x14ac:dyDescent="0.3">
      <c r="A445" s="3">
        <v>420</v>
      </c>
      <c r="B445" s="3">
        <v>1.1289092894490618</v>
      </c>
      <c r="C445" s="3">
        <v>7.9907105509382514E-3</v>
      </c>
    </row>
    <row r="446" spans="1:3" x14ac:dyDescent="0.3">
      <c r="A446" s="3">
        <v>421</v>
      </c>
      <c r="B446" s="3">
        <v>1.1329304057987037</v>
      </c>
      <c r="C446" s="3">
        <v>-4.1304057987037179E-3</v>
      </c>
    </row>
    <row r="447" spans="1:3" x14ac:dyDescent="0.3">
      <c r="A447" s="3">
        <v>422</v>
      </c>
      <c r="B447" s="3">
        <v>1.1264300928392985</v>
      </c>
      <c r="C447" s="3">
        <v>-3.0300928392985593E-3</v>
      </c>
    </row>
    <row r="448" spans="1:3" x14ac:dyDescent="0.3">
      <c r="A448" s="3">
        <v>423</v>
      </c>
      <c r="B448" s="3">
        <v>1.1220647764279217</v>
      </c>
      <c r="C448" s="3">
        <v>2.53522357207836E-3</v>
      </c>
    </row>
    <row r="449" spans="1:3" x14ac:dyDescent="0.3">
      <c r="A449" s="3">
        <v>424</v>
      </c>
      <c r="B449" s="3">
        <v>1.12301483718266</v>
      </c>
      <c r="C449" s="3">
        <v>-3.3148371826601242E-3</v>
      </c>
    </row>
    <row r="450" spans="1:3" x14ac:dyDescent="0.3">
      <c r="A450" s="3">
        <v>425</v>
      </c>
      <c r="B450" s="3">
        <v>1.1190774780864945</v>
      </c>
      <c r="C450" s="3">
        <v>1.5225219135055479E-3</v>
      </c>
    </row>
    <row r="451" spans="1:3" x14ac:dyDescent="0.3">
      <c r="A451" s="3">
        <v>426</v>
      </c>
      <c r="B451" s="3">
        <v>1.1197876614129556</v>
      </c>
      <c r="C451" s="3">
        <v>1.1912338587044324E-2</v>
      </c>
    </row>
    <row r="452" spans="1:3" x14ac:dyDescent="0.3">
      <c r="A452" s="3">
        <v>427</v>
      </c>
      <c r="B452" s="3">
        <v>1.128717040904023</v>
      </c>
      <c r="C452" s="3">
        <v>3.8295909597696465E-4</v>
      </c>
    </row>
    <row r="453" spans="1:3" x14ac:dyDescent="0.3">
      <c r="A453" s="3">
        <v>428</v>
      </c>
      <c r="B453" s="3">
        <v>1.126656908472182</v>
      </c>
      <c r="C453" s="3">
        <v>6.9430915278179128E-3</v>
      </c>
    </row>
    <row r="454" spans="1:3" x14ac:dyDescent="0.3">
      <c r="A454" s="3">
        <v>429</v>
      </c>
      <c r="B454" s="3">
        <v>1.1302686875128118</v>
      </c>
      <c r="C454" s="3">
        <v>1.6313124871880635E-3</v>
      </c>
    </row>
    <row r="455" spans="1:3" x14ac:dyDescent="0.3">
      <c r="A455" s="3">
        <v>430</v>
      </c>
      <c r="B455" s="3">
        <v>1.1289140139282468</v>
      </c>
      <c r="C455" s="3">
        <v>9.8598607175315323E-4</v>
      </c>
    </row>
    <row r="456" spans="1:3" x14ac:dyDescent="0.3">
      <c r="A456" s="3">
        <v>431</v>
      </c>
      <c r="B456" s="3">
        <v>1.1273008429092051</v>
      </c>
      <c r="C456" s="3">
        <v>3.9991570907949026E-3</v>
      </c>
    </row>
    <row r="457" spans="1:3" x14ac:dyDescent="0.3">
      <c r="A457" s="3">
        <v>432</v>
      </c>
      <c r="B457" s="3">
        <v>1.128421197276299</v>
      </c>
      <c r="C457" s="3">
        <v>7.8802723701087984E-5</v>
      </c>
    </row>
    <row r="458" spans="1:3" x14ac:dyDescent="0.3">
      <c r="A458" s="3">
        <v>433</v>
      </c>
      <c r="B458" s="3">
        <v>1.1261732628680639</v>
      </c>
      <c r="C458" s="3">
        <v>1.267371319362276E-4</v>
      </c>
    </row>
    <row r="459" spans="1:3" x14ac:dyDescent="0.3">
      <c r="A459" s="3">
        <v>434</v>
      </c>
      <c r="B459" s="3">
        <v>1.1243961901790931</v>
      </c>
      <c r="C459" s="3">
        <v>9.8038098209070057E-3</v>
      </c>
    </row>
    <row r="460" spans="1:3" x14ac:dyDescent="0.3">
      <c r="A460" s="3">
        <v>435</v>
      </c>
      <c r="B460" s="3">
        <v>1.130743439979641</v>
      </c>
      <c r="C460" s="3">
        <v>-1.5434399796410148E-3</v>
      </c>
    </row>
    <row r="461" spans="1:3" x14ac:dyDescent="0.3">
      <c r="A461" s="3">
        <v>436</v>
      </c>
      <c r="B461" s="3">
        <v>1.126744278562682</v>
      </c>
      <c r="C461" s="3">
        <v>4.3557214373179942E-3</v>
      </c>
    </row>
    <row r="462" spans="1:3" x14ac:dyDescent="0.3">
      <c r="A462" s="3">
        <v>437</v>
      </c>
      <c r="B462" s="3">
        <v>1.1282584072485313</v>
      </c>
      <c r="C462" s="3">
        <v>4.1592751468755296E-5</v>
      </c>
    </row>
    <row r="463" spans="1:3" x14ac:dyDescent="0.3">
      <c r="A463" s="3">
        <v>438</v>
      </c>
      <c r="B463" s="3">
        <v>1.1260118623929973</v>
      </c>
      <c r="C463" s="3">
        <v>-3.1186239299740848E-4</v>
      </c>
    </row>
    <row r="464" spans="1:3" x14ac:dyDescent="0.3">
      <c r="A464" s="3">
        <v>439</v>
      </c>
      <c r="B464" s="3">
        <v>1.1239131003960554</v>
      </c>
      <c r="C464" s="3">
        <v>4.5868996039446497E-3</v>
      </c>
    </row>
    <row r="465" spans="1:3" x14ac:dyDescent="0.3">
      <c r="A465" s="3">
        <v>440</v>
      </c>
      <c r="B465" s="3">
        <v>1.1261576998778073</v>
      </c>
      <c r="C465" s="3">
        <v>6.6423001221926903E-3</v>
      </c>
    </row>
    <row r="466" spans="1:3" x14ac:dyDescent="0.3">
      <c r="A466" s="3">
        <v>441</v>
      </c>
      <c r="B466" s="3">
        <v>1.1296236414336276</v>
      </c>
      <c r="C466" s="3">
        <v>-5.7236414336276908E-3</v>
      </c>
    </row>
    <row r="467" spans="1:3" x14ac:dyDescent="0.3">
      <c r="A467" s="3">
        <v>442</v>
      </c>
      <c r="B467" s="3">
        <v>1.1224780044844975</v>
      </c>
      <c r="C467" s="3">
        <v>5.0219955155024198E-3</v>
      </c>
    </row>
    <row r="468" spans="1:3" x14ac:dyDescent="0.3">
      <c r="A468" s="3">
        <v>443</v>
      </c>
      <c r="B468" s="3">
        <v>1.1253484742181536</v>
      </c>
      <c r="C468" s="3">
        <v>2.9515257818464313E-3</v>
      </c>
    </row>
    <row r="469" spans="1:3" x14ac:dyDescent="0.3">
      <c r="A469" s="3">
        <v>444</v>
      </c>
      <c r="B469" s="3">
        <v>1.1260018576135469</v>
      </c>
      <c r="C469" s="3">
        <v>6.3981423864531983E-3</v>
      </c>
    </row>
    <row r="470" spans="1:3" x14ac:dyDescent="0.3">
      <c r="A470" s="3">
        <v>445</v>
      </c>
      <c r="B470" s="3">
        <v>1.1293013963045757</v>
      </c>
      <c r="C470" s="3">
        <v>3.4986036954243183E-3</v>
      </c>
    </row>
    <row r="471" spans="1:3" x14ac:dyDescent="0.3">
      <c r="A471" s="3">
        <v>446</v>
      </c>
      <c r="B471" s="3">
        <v>1.1296344799446991</v>
      </c>
      <c r="C471" s="3">
        <v>2.0655200553008068E-3</v>
      </c>
    </row>
    <row r="472" spans="1:3" x14ac:dyDescent="0.3">
      <c r="A472" s="3">
        <v>447</v>
      </c>
      <c r="B472" s="3">
        <v>1.1287509459899387</v>
      </c>
      <c r="C472" s="3">
        <v>3.7490540100613146E-3</v>
      </c>
    </row>
    <row r="473" spans="1:3" x14ac:dyDescent="0.3">
      <c r="A473" s="3">
        <v>448</v>
      </c>
      <c r="B473" s="3">
        <v>1.1293912675899385</v>
      </c>
      <c r="C473" s="3">
        <v>1.5087324100615529E-3</v>
      </c>
    </row>
    <row r="474" spans="1:3" x14ac:dyDescent="0.3">
      <c r="A474" s="3">
        <v>449</v>
      </c>
      <c r="B474" s="3">
        <v>1.1281067336423753</v>
      </c>
      <c r="C474" s="3">
        <v>6.6932663576246831E-3</v>
      </c>
    </row>
    <row r="475" spans="1:3" x14ac:dyDescent="0.3">
      <c r="A475" s="3">
        <v>450</v>
      </c>
      <c r="B475" s="3">
        <v>1.1312387578264513</v>
      </c>
      <c r="C475" s="3">
        <v>1.0612421735487487E-3</v>
      </c>
    </row>
    <row r="476" spans="1:3" x14ac:dyDescent="0.3">
      <c r="A476" s="3">
        <v>451</v>
      </c>
      <c r="B476" s="3">
        <v>1.129239038162702</v>
      </c>
      <c r="C476" s="3">
        <v>7.5609618372980414E-3</v>
      </c>
    </row>
    <row r="477" spans="1:3" x14ac:dyDescent="0.3">
      <c r="A477" s="3">
        <v>452</v>
      </c>
      <c r="B477" s="3">
        <v>1.1328510951138722</v>
      </c>
      <c r="C477" s="3">
        <v>-3.4510951138722046E-3</v>
      </c>
    </row>
    <row r="478" spans="1:3" x14ac:dyDescent="0.3">
      <c r="A478" s="3">
        <v>453</v>
      </c>
      <c r="B478" s="3">
        <v>1.1269123488907153</v>
      </c>
      <c r="C478" s="3">
        <v>1.5876511092847156E-3</v>
      </c>
    </row>
    <row r="479" spans="1:3" x14ac:dyDescent="0.3">
      <c r="A479" s="3">
        <v>454</v>
      </c>
      <c r="B479" s="3">
        <v>1.1261679825677982</v>
      </c>
      <c r="C479" s="3">
        <v>5.1320174322018186E-3</v>
      </c>
    </row>
    <row r="480" spans="1:3" x14ac:dyDescent="0.3">
      <c r="A480" s="3">
        <v>455</v>
      </c>
      <c r="B480" s="3">
        <v>1.1284173065287348</v>
      </c>
      <c r="C480" s="3">
        <v>6.8269347126515001E-4</v>
      </c>
    </row>
    <row r="481" spans="1:3" x14ac:dyDescent="0.3">
      <c r="A481" s="3">
        <v>456</v>
      </c>
      <c r="B481" s="3">
        <v>1.1266557968300208</v>
      </c>
      <c r="C481" s="3">
        <v>9.2442031699790927E-3</v>
      </c>
    </row>
    <row r="482" spans="1:3" x14ac:dyDescent="0.3">
      <c r="A482" s="3">
        <v>457</v>
      </c>
      <c r="B482" s="3">
        <v>1.1321184010336471</v>
      </c>
      <c r="C482" s="3">
        <v>2.8159896635293613E-4</v>
      </c>
    </row>
    <row r="483" spans="1:3" x14ac:dyDescent="0.3">
      <c r="A483" s="3">
        <v>458</v>
      </c>
      <c r="B483" s="3">
        <v>1.1293225175056378</v>
      </c>
      <c r="C483" s="3">
        <v>7.0774824943622416E-3</v>
      </c>
    </row>
    <row r="484" spans="1:3" x14ac:dyDescent="0.3">
      <c r="A484" s="3">
        <v>459</v>
      </c>
      <c r="B484" s="3">
        <v>1.1325296837164411</v>
      </c>
      <c r="C484" s="3">
        <v>1.1670316283558968E-2</v>
      </c>
    </row>
    <row r="485" spans="1:3" x14ac:dyDescent="0.3">
      <c r="A485" s="3">
        <v>460</v>
      </c>
      <c r="B485" s="3">
        <v>1.1388137416434942</v>
      </c>
      <c r="C485" s="3">
        <v>6.4862583565057363E-3</v>
      </c>
    </row>
    <row r="486" spans="1:3" x14ac:dyDescent="0.3">
      <c r="A486" s="3">
        <v>461</v>
      </c>
      <c r="B486" s="3">
        <v>1.1397200642625582</v>
      </c>
      <c r="C486" s="3">
        <v>1.6799357374417401E-3</v>
      </c>
    </row>
    <row r="487" spans="1:3" x14ac:dyDescent="0.3">
      <c r="A487" s="3">
        <v>462</v>
      </c>
      <c r="B487" s="3">
        <v>1.1365866505257807</v>
      </c>
      <c r="C487" s="3">
        <v>4.1133494742193744E-3</v>
      </c>
    </row>
    <row r="488" spans="1:3" x14ac:dyDescent="0.3">
      <c r="A488" s="3">
        <v>463</v>
      </c>
      <c r="B488" s="3">
        <v>1.1360128557257594</v>
      </c>
      <c r="C488" s="3">
        <v>-3.5128557257593229E-3</v>
      </c>
    </row>
    <row r="489" spans="1:3" x14ac:dyDescent="0.3">
      <c r="A489" s="3">
        <v>464</v>
      </c>
      <c r="B489" s="3">
        <v>1.1294162795385647</v>
      </c>
      <c r="C489" s="3">
        <v>4.6837204614353922E-3</v>
      </c>
    </row>
    <row r="490" spans="1:3" x14ac:dyDescent="0.3">
      <c r="A490" s="3">
        <v>465</v>
      </c>
      <c r="B490" s="3">
        <v>1.1306802481061462</v>
      </c>
      <c r="C490" s="3">
        <v>3.1975189385380354E-4</v>
      </c>
    </row>
    <row r="491" spans="1:3" x14ac:dyDescent="0.3">
      <c r="A491" s="3">
        <v>466</v>
      </c>
      <c r="B491" s="3">
        <v>1.128191602538013</v>
      </c>
      <c r="C491" s="3">
        <v>5.8083974619869139E-3</v>
      </c>
    </row>
    <row r="492" spans="1:3" x14ac:dyDescent="0.3">
      <c r="A492" s="3">
        <v>467</v>
      </c>
      <c r="B492" s="3">
        <v>1.1305956571210489</v>
      </c>
      <c r="C492" s="3">
        <v>1.7043428789511594E-3</v>
      </c>
    </row>
    <row r="493" spans="1:3" x14ac:dyDescent="0.3">
      <c r="A493" s="3">
        <v>468</v>
      </c>
      <c r="B493" s="3">
        <v>1.1292368148783796</v>
      </c>
      <c r="C493" s="3">
        <v>6.6318512162033549E-4</v>
      </c>
    </row>
    <row r="494" spans="1:3" x14ac:dyDescent="0.3">
      <c r="A494" s="3">
        <v>469</v>
      </c>
      <c r="B494" s="3">
        <v>1.1273019545513663</v>
      </c>
      <c r="C494" s="3">
        <v>-3.6019545513663598E-3</v>
      </c>
    </row>
    <row r="495" spans="1:3" x14ac:dyDescent="0.3">
      <c r="A495" s="3">
        <v>470</v>
      </c>
      <c r="B495" s="3">
        <v>1.1223091004248433</v>
      </c>
      <c r="C495" s="3">
        <v>-8.0091004248432629E-3</v>
      </c>
    </row>
    <row r="496" spans="1:3" x14ac:dyDescent="0.3">
      <c r="A496" s="3">
        <v>471</v>
      </c>
      <c r="B496" s="3">
        <v>1.1147321712340186</v>
      </c>
      <c r="C496" s="3">
        <v>-4.3217123401850799E-4</v>
      </c>
    </row>
    <row r="497" spans="1:3" x14ac:dyDescent="0.3">
      <c r="A497" s="3">
        <v>472</v>
      </c>
      <c r="B497" s="3">
        <v>1.1147060476432311</v>
      </c>
      <c r="C497" s="3">
        <v>8.5939523567688525E-3</v>
      </c>
    </row>
    <row r="498" spans="1:3" x14ac:dyDescent="0.3">
      <c r="A498" s="3">
        <v>473</v>
      </c>
      <c r="B498" s="3">
        <v>1.1219440570725865</v>
      </c>
      <c r="C498" s="3">
        <v>4.9559429274135258E-3</v>
      </c>
    </row>
    <row r="499" spans="1:3" x14ac:dyDescent="0.3">
      <c r="A499" s="3">
        <v>474</v>
      </c>
      <c r="B499" s="3">
        <v>1.1248642727929548</v>
      </c>
      <c r="C499" s="3">
        <v>5.4357272070453266E-3</v>
      </c>
    </row>
    <row r="500" spans="1:3" x14ac:dyDescent="0.3">
      <c r="A500" s="3">
        <v>475</v>
      </c>
      <c r="B500" s="3">
        <v>1.1276086366901621</v>
      </c>
      <c r="C500" s="3">
        <v>1.6191363309837836E-2</v>
      </c>
    </row>
    <row r="501" spans="1:3" x14ac:dyDescent="0.3">
      <c r="A501" s="3">
        <v>476</v>
      </c>
      <c r="B501" s="3">
        <v>1.1384750997925648</v>
      </c>
      <c r="C501" s="3">
        <v>6.1249002074352799E-3</v>
      </c>
    </row>
    <row r="502" spans="1:3" x14ac:dyDescent="0.3">
      <c r="A502" s="3">
        <v>477</v>
      </c>
      <c r="B502" s="3">
        <v>1.139155996331447</v>
      </c>
      <c r="C502" s="3">
        <v>5.0440036685530654E-3</v>
      </c>
    </row>
    <row r="503" spans="1:3" x14ac:dyDescent="0.3">
      <c r="A503" s="3">
        <v>478</v>
      </c>
      <c r="B503" s="3">
        <v>1.1388365303077983</v>
      </c>
      <c r="C503" s="3">
        <v>2.5634696922016698E-3</v>
      </c>
    </row>
    <row r="504" spans="1:3" x14ac:dyDescent="0.3">
      <c r="A504" s="3">
        <v>479</v>
      </c>
      <c r="B504" s="3">
        <v>1.1365835935098374</v>
      </c>
      <c r="C504" s="3">
        <v>5.6164064901627064E-3</v>
      </c>
    </row>
    <row r="505" spans="1:3" x14ac:dyDescent="0.3">
      <c r="A505" s="3">
        <v>480</v>
      </c>
      <c r="B505" s="3">
        <v>1.1372191906306521</v>
      </c>
      <c r="C505" s="3">
        <v>5.4808093693479165E-3</v>
      </c>
    </row>
    <row r="506" spans="1:3" x14ac:dyDescent="0.3">
      <c r="A506" s="3">
        <v>481</v>
      </c>
      <c r="B506" s="3">
        <v>1.1376235255499385</v>
      </c>
      <c r="C506" s="3">
        <v>-2.7235255499384881E-3</v>
      </c>
    </row>
    <row r="507" spans="1:3" x14ac:dyDescent="0.3">
      <c r="A507" s="3">
        <v>482</v>
      </c>
      <c r="B507" s="3">
        <v>1.1313519735971986</v>
      </c>
      <c r="C507" s="3">
        <v>-8.5197359719857424E-4</v>
      </c>
    </row>
    <row r="508" spans="1:3" x14ac:dyDescent="0.3">
      <c r="A508" s="3">
        <v>483</v>
      </c>
      <c r="B508" s="3">
        <v>1.127791714187371</v>
      </c>
      <c r="C508" s="3">
        <v>7.8082858126289345E-3</v>
      </c>
    </row>
    <row r="509" spans="1:3" x14ac:dyDescent="0.3">
      <c r="A509" s="3">
        <v>484</v>
      </c>
      <c r="B509" s="3">
        <v>1.1318810248002327</v>
      </c>
      <c r="C509" s="3">
        <v>5.4189751997673063E-3</v>
      </c>
    </row>
    <row r="510" spans="1:3" x14ac:dyDescent="0.3">
      <c r="A510" s="3">
        <v>485</v>
      </c>
      <c r="B510" s="3">
        <v>1.1332623777966659</v>
      </c>
      <c r="C510" s="3">
        <v>2.7376222033339559E-3</v>
      </c>
    </row>
    <row r="511" spans="1:3" x14ac:dyDescent="0.3">
      <c r="A511" s="3">
        <v>486</v>
      </c>
      <c r="B511" s="3">
        <v>1.132221612024944</v>
      </c>
      <c r="C511" s="3">
        <v>-1.2161202494387346E-4</v>
      </c>
    </row>
    <row r="512" spans="1:3" x14ac:dyDescent="0.3">
      <c r="A512" s="3">
        <v>487</v>
      </c>
      <c r="B512" s="3">
        <v>1.1290815284351996</v>
      </c>
      <c r="C512" s="3">
        <v>1.9184715648004058E-3</v>
      </c>
    </row>
    <row r="513" spans="1:3" x14ac:dyDescent="0.3">
      <c r="A513" s="3">
        <v>488</v>
      </c>
      <c r="B513" s="3">
        <v>1.1281860443272069</v>
      </c>
      <c r="C513" s="3">
        <v>4.313955672793135E-3</v>
      </c>
    </row>
    <row r="514" spans="1:3" x14ac:dyDescent="0.3">
      <c r="A514" s="3">
        <v>489</v>
      </c>
      <c r="B514" s="3">
        <v>1.1293893222161564</v>
      </c>
      <c r="C514" s="3">
        <v>1.510677783843617E-3</v>
      </c>
    </row>
    <row r="515" spans="1:3" x14ac:dyDescent="0.3">
      <c r="A515" s="3">
        <v>490</v>
      </c>
      <c r="B515" s="3">
        <v>1.1281067336423753</v>
      </c>
      <c r="C515" s="3">
        <v>-9.0067336423753641E-3</v>
      </c>
    </row>
    <row r="516" spans="1:3" x14ac:dyDescent="0.3">
      <c r="A516" s="3">
        <v>491</v>
      </c>
      <c r="B516" s="3">
        <v>1.1186124524885759</v>
      </c>
      <c r="C516" s="3">
        <v>8.0875475114241535E-3</v>
      </c>
    </row>
    <row r="517" spans="1:3" x14ac:dyDescent="0.3">
      <c r="A517" s="3">
        <v>492</v>
      </c>
      <c r="B517" s="3">
        <v>1.124691755896277</v>
      </c>
      <c r="C517" s="3">
        <v>-2.791755896277115E-3</v>
      </c>
    </row>
    <row r="518" spans="1:3" x14ac:dyDescent="0.3">
      <c r="A518" s="3">
        <v>493</v>
      </c>
      <c r="B518" s="3">
        <v>1.1208526054016827</v>
      </c>
      <c r="C518" s="3">
        <v>-8.2526054016827111E-3</v>
      </c>
    </row>
    <row r="519" spans="1:3" x14ac:dyDescent="0.3">
      <c r="A519" s="3">
        <v>494</v>
      </c>
      <c r="B519" s="3">
        <v>1.1133599892854151</v>
      </c>
      <c r="C519" s="3">
        <v>-1.2599892854150418E-3</v>
      </c>
    </row>
    <row r="520" spans="1:3" x14ac:dyDescent="0.3">
      <c r="A520" s="3">
        <v>495</v>
      </c>
      <c r="B520" s="3">
        <v>1.1129320319702038</v>
      </c>
      <c r="C520" s="3">
        <v>-6.5320319702037999E-3</v>
      </c>
    </row>
    <row r="521" spans="1:3" x14ac:dyDescent="0.3">
      <c r="A521" s="3">
        <v>496</v>
      </c>
      <c r="B521" s="3">
        <v>1.1083465697789106</v>
      </c>
      <c r="C521" s="3">
        <v>-1.5746569778910535E-2</v>
      </c>
    </row>
    <row r="522" spans="1:3" x14ac:dyDescent="0.3">
      <c r="A522" s="3">
        <v>497</v>
      </c>
      <c r="B522" s="3">
        <v>1.0972324477531024</v>
      </c>
      <c r="C522" s="3">
        <v>-1.2032447753102415E-2</v>
      </c>
    </row>
    <row r="523" spans="1:3" x14ac:dyDescent="0.3">
      <c r="A523" s="3">
        <v>498</v>
      </c>
      <c r="B523" s="3">
        <v>1.091242843901072</v>
      </c>
      <c r="C523" s="3">
        <v>-1.3428439010718662E-3</v>
      </c>
    </row>
    <row r="524" spans="1:3" x14ac:dyDescent="0.3">
      <c r="A524" s="3">
        <v>499</v>
      </c>
      <c r="B524" s="3">
        <v>1.0950021278897535</v>
      </c>
      <c r="C524" s="3">
        <v>1.2497872110246444E-2</v>
      </c>
    </row>
    <row r="525" spans="1:3" x14ac:dyDescent="0.3">
      <c r="A525" s="3">
        <v>500</v>
      </c>
      <c r="B525" s="3">
        <v>1.1091695192358868</v>
      </c>
      <c r="C525" s="3">
        <v>-1.0869519235886749E-2</v>
      </c>
    </row>
    <row r="526" spans="1:3" x14ac:dyDescent="0.3">
      <c r="A526" s="3">
        <v>501</v>
      </c>
      <c r="B526" s="3">
        <v>1.1018195774076374</v>
      </c>
      <c r="C526" s="3">
        <v>-1.0919577407637382E-2</v>
      </c>
    </row>
    <row r="527" spans="1:3" x14ac:dyDescent="0.3">
      <c r="A527" s="3">
        <v>502</v>
      </c>
      <c r="B527" s="3">
        <v>1.0958427574404603</v>
      </c>
      <c r="C527" s="3">
        <v>-1.942757440460241E-3</v>
      </c>
    </row>
    <row r="528" spans="1:3" x14ac:dyDescent="0.3">
      <c r="A528" s="3">
        <v>503</v>
      </c>
      <c r="B528" s="3">
        <v>1.098234861870264</v>
      </c>
      <c r="C528" s="3">
        <v>-3.1348618702640163E-3</v>
      </c>
    </row>
    <row r="529" spans="1:3" x14ac:dyDescent="0.3">
      <c r="A529" s="3">
        <v>504</v>
      </c>
      <c r="B529" s="3">
        <v>1.0992082671103867</v>
      </c>
      <c r="C529" s="3">
        <v>3.9917328896132975E-3</v>
      </c>
    </row>
    <row r="530" spans="1:3" x14ac:dyDescent="0.3">
      <c r="A530" s="3">
        <v>505</v>
      </c>
      <c r="B530" s="3">
        <v>1.1057258105232899</v>
      </c>
      <c r="C530" s="3">
        <v>3.1741894767101098E-3</v>
      </c>
    </row>
    <row r="531" spans="1:3" x14ac:dyDescent="0.3">
      <c r="A531" s="3">
        <v>506</v>
      </c>
      <c r="B531" s="3">
        <v>1.1103323939156453</v>
      </c>
      <c r="C531" s="3">
        <v>-4.8323939156453832E-3</v>
      </c>
    </row>
    <row r="532" spans="1:3" x14ac:dyDescent="0.3">
      <c r="A532" s="3">
        <v>507</v>
      </c>
      <c r="B532" s="3">
        <v>1.1076138756986855</v>
      </c>
      <c r="C532" s="3">
        <v>-6.2138756986855892E-3</v>
      </c>
    </row>
    <row r="533" spans="1:3" x14ac:dyDescent="0.3">
      <c r="A533" s="3">
        <v>508</v>
      </c>
      <c r="B533" s="3">
        <v>1.1043071113336094</v>
      </c>
      <c r="C533" s="3">
        <v>-1.6071113336093568E-3</v>
      </c>
    </row>
    <row r="534" spans="1:3" x14ac:dyDescent="0.3">
      <c r="A534" s="3">
        <v>509</v>
      </c>
      <c r="B534" s="3">
        <v>1.1053412072523643</v>
      </c>
      <c r="C534" s="3">
        <v>-4.9412072523642436E-3</v>
      </c>
    </row>
    <row r="535" spans="1:3" x14ac:dyDescent="0.3">
      <c r="A535" s="3">
        <v>510</v>
      </c>
      <c r="B535" s="3">
        <v>1.1034951065685528</v>
      </c>
      <c r="C535" s="3">
        <v>-3.895106568552853E-3</v>
      </c>
    </row>
    <row r="536" spans="1:3" x14ac:dyDescent="0.3">
      <c r="A536" s="3">
        <v>511</v>
      </c>
      <c r="B536" s="3">
        <v>1.1028453360101833</v>
      </c>
      <c r="C536" s="3">
        <v>-4.745336010183232E-3</v>
      </c>
    </row>
    <row r="537" spans="1:3" x14ac:dyDescent="0.3">
      <c r="A537" s="3">
        <v>512</v>
      </c>
      <c r="B537" s="3">
        <v>1.1016367778209686</v>
      </c>
      <c r="C537" s="3">
        <v>-3.8367778209684733E-3</v>
      </c>
    </row>
    <row r="538" spans="1:3" x14ac:dyDescent="0.3">
      <c r="A538" s="3">
        <v>513</v>
      </c>
      <c r="B538" s="3">
        <v>1.1013913421818855</v>
      </c>
      <c r="C538" s="3">
        <v>7.1086578181145388E-3</v>
      </c>
    </row>
    <row r="539" spans="1:3" x14ac:dyDescent="0.3">
      <c r="A539" s="3">
        <v>514</v>
      </c>
      <c r="B539" s="3">
        <v>1.1099956974384981</v>
      </c>
      <c r="C539" s="3">
        <v>5.604302561501795E-3</v>
      </c>
    </row>
    <row r="540" spans="1:3" x14ac:dyDescent="0.3">
      <c r="A540" s="3">
        <v>515</v>
      </c>
      <c r="B540" s="3">
        <v>1.1157354190828008</v>
      </c>
      <c r="C540" s="3">
        <v>-9.2354190828007887E-3</v>
      </c>
    </row>
    <row r="541" spans="1:3" x14ac:dyDescent="0.3">
      <c r="A541" s="3">
        <v>516</v>
      </c>
      <c r="B541" s="3">
        <v>1.1084367189748137</v>
      </c>
      <c r="C541" s="3">
        <v>-3.1367189748137125E-3</v>
      </c>
    </row>
    <row r="542" spans="1:3" x14ac:dyDescent="0.3">
      <c r="A542" s="3">
        <v>517</v>
      </c>
      <c r="B542" s="3">
        <v>1.1074463611917329</v>
      </c>
      <c r="C542" s="3">
        <v>-1.0446361191732922E-2</v>
      </c>
    </row>
    <row r="543" spans="1:3" x14ac:dyDescent="0.3">
      <c r="A543" s="3">
        <v>518</v>
      </c>
      <c r="B543" s="3">
        <v>1.1007679731248439</v>
      </c>
      <c r="C543" s="3">
        <v>-1.0467973124843821E-2</v>
      </c>
    </row>
    <row r="544" spans="1:3" x14ac:dyDescent="0.3">
      <c r="A544" s="3">
        <v>519</v>
      </c>
      <c r="B544" s="3">
        <v>1.0953566106414796</v>
      </c>
      <c r="C544" s="3">
        <v>-6.056610641479665E-3</v>
      </c>
    </row>
    <row r="545" spans="1:3" x14ac:dyDescent="0.3">
      <c r="A545" s="3">
        <v>520</v>
      </c>
      <c r="B545" s="3">
        <v>1.0945337673653515</v>
      </c>
      <c r="C545" s="3">
        <v>-6.7337673653513619E-3</v>
      </c>
    </row>
    <row r="546" spans="1:3" x14ac:dyDescent="0.3">
      <c r="A546" s="3">
        <v>521</v>
      </c>
      <c r="B546" s="3">
        <v>1.093324653355056</v>
      </c>
      <c r="C546" s="3">
        <v>-5.7246533550561196E-3</v>
      </c>
    </row>
    <row r="547" spans="1:3" x14ac:dyDescent="0.3">
      <c r="A547" s="3">
        <v>522</v>
      </c>
      <c r="B547" s="3">
        <v>1.093159640042966</v>
      </c>
      <c r="C547" s="3">
        <v>-4.859640042965907E-3</v>
      </c>
    </row>
    <row r="548" spans="1:3" x14ac:dyDescent="0.3">
      <c r="A548" s="3">
        <v>523</v>
      </c>
      <c r="B548" s="3">
        <v>1.0937220405108352</v>
      </c>
      <c r="C548" s="3">
        <v>-1.1122040510835207E-2</v>
      </c>
    </row>
    <row r="549" spans="1:3" x14ac:dyDescent="0.3">
      <c r="A549" s="3">
        <v>524</v>
      </c>
      <c r="B549" s="3">
        <v>1.0891399132460255</v>
      </c>
      <c r="C549" s="3">
        <v>-6.3991324602552524E-4</v>
      </c>
    </row>
    <row r="550" spans="1:3" x14ac:dyDescent="0.3">
      <c r="A550" s="3">
        <v>525</v>
      </c>
      <c r="B550" s="3">
        <v>1.0938689896378062</v>
      </c>
      <c r="C550" s="3">
        <v>-1.1168989637806215E-2</v>
      </c>
    </row>
    <row r="551" spans="1:3" x14ac:dyDescent="0.3">
      <c r="A551" s="3">
        <v>526</v>
      </c>
      <c r="B551" s="3">
        <v>1.0892208913940991</v>
      </c>
      <c r="C551" s="3">
        <v>-8.6208913940990506E-3</v>
      </c>
    </row>
    <row r="552" spans="1:3" x14ac:dyDescent="0.3">
      <c r="A552" s="3">
        <v>527</v>
      </c>
      <c r="B552" s="3">
        <v>1.0875159037159126</v>
      </c>
      <c r="C552" s="3">
        <v>-9.5159037159124882E-3</v>
      </c>
    </row>
    <row r="553" spans="1:3" x14ac:dyDescent="0.3">
      <c r="A553" s="3">
        <v>528</v>
      </c>
      <c r="B553" s="3">
        <v>1.0854190870927527</v>
      </c>
      <c r="C553" s="3">
        <v>-6.8190870927526959E-3</v>
      </c>
    </row>
    <row r="554" spans="1:3" x14ac:dyDescent="0.3">
      <c r="A554" s="3">
        <v>529</v>
      </c>
      <c r="B554" s="3">
        <v>1.0858943953806621</v>
      </c>
      <c r="C554" s="3">
        <v>-8.9439538066216073E-4</v>
      </c>
    </row>
    <row r="555" spans="1:3" x14ac:dyDescent="0.3">
      <c r="A555" s="3">
        <v>530</v>
      </c>
      <c r="B555" s="3">
        <v>1.0910430917714453</v>
      </c>
      <c r="C555" s="3">
        <v>-7.4430917714454203E-3</v>
      </c>
    </row>
    <row r="556" spans="1:3" x14ac:dyDescent="0.3">
      <c r="A556" s="3">
        <v>531</v>
      </c>
      <c r="B556" s="3">
        <v>1.0899349654681243</v>
      </c>
      <c r="C556" s="3">
        <v>-1.053496546812438E-2</v>
      </c>
    </row>
    <row r="557" spans="1:3" x14ac:dyDescent="0.3">
      <c r="A557" s="3">
        <v>532</v>
      </c>
      <c r="B557" s="3">
        <v>1.086553336986861</v>
      </c>
      <c r="C557" s="3">
        <v>-1.5453336986861022E-2</v>
      </c>
    </row>
    <row r="558" spans="1:3" x14ac:dyDescent="0.3">
      <c r="A558" s="3">
        <v>533</v>
      </c>
      <c r="B558" s="3">
        <v>1.0798666116037632</v>
      </c>
      <c r="C558" s="3">
        <v>-1.6266611603763081E-2</v>
      </c>
    </row>
    <row r="559" spans="1:3" x14ac:dyDescent="0.3">
      <c r="A559" s="3">
        <v>534</v>
      </c>
      <c r="B559" s="3">
        <v>1.0738118705044564</v>
      </c>
      <c r="C559" s="3">
        <v>-1.8311870504456262E-2</v>
      </c>
    </row>
    <row r="560" spans="1:3" x14ac:dyDescent="0.3">
      <c r="A560" s="3">
        <v>535</v>
      </c>
      <c r="B560" s="3">
        <v>1.0672768187275146</v>
      </c>
      <c r="C560" s="3">
        <v>-1.7876818727514454E-2</v>
      </c>
    </row>
    <row r="561" spans="1:3" x14ac:dyDescent="0.3">
      <c r="A561" s="3">
        <v>536</v>
      </c>
      <c r="B561" s="3">
        <v>1.0623485460271878</v>
      </c>
      <c r="C561" s="3">
        <v>-8.2485460271877198E-3</v>
      </c>
    </row>
    <row r="562" spans="1:3" x14ac:dyDescent="0.3">
      <c r="A562" s="3">
        <v>537</v>
      </c>
      <c r="B562" s="3">
        <v>1.0661114428528933</v>
      </c>
      <c r="C562" s="3">
        <v>-1.5711442852893276E-2</v>
      </c>
    </row>
    <row r="563" spans="1:3" x14ac:dyDescent="0.3">
      <c r="A563" s="3">
        <v>538</v>
      </c>
      <c r="B563" s="3">
        <v>1.063148878549552</v>
      </c>
      <c r="C563" s="3">
        <v>-1.1148878549551933E-2</v>
      </c>
    </row>
    <row r="564" spans="1:3" x14ac:dyDescent="0.3">
      <c r="A564" s="3">
        <v>539</v>
      </c>
      <c r="B564" s="3">
        <v>1.0644253530914465</v>
      </c>
      <c r="C564" s="3">
        <v>-2.325353091446436E-3</v>
      </c>
    </row>
    <row r="565" spans="1:3" x14ac:dyDescent="0.3">
      <c r="A565" s="3">
        <v>540</v>
      </c>
      <c r="B565" s="3">
        <v>1.0725524546863676</v>
      </c>
      <c r="C565" s="3">
        <v>-1.855245468636757E-2</v>
      </c>
    </row>
    <row r="566" spans="1:3" x14ac:dyDescent="0.3">
      <c r="A566" s="3">
        <v>541</v>
      </c>
      <c r="B566" s="3">
        <v>1.0660663151645173</v>
      </c>
      <c r="C566" s="3">
        <v>-1.0966315164517404E-2</v>
      </c>
    </row>
    <row r="567" spans="1:3" x14ac:dyDescent="0.3">
      <c r="A567" s="3">
        <v>542</v>
      </c>
      <c r="B567" s="3">
        <v>1.0669284500076748</v>
      </c>
      <c r="C567" s="3">
        <v>-1.1428450007674673E-2</v>
      </c>
    </row>
    <row r="568" spans="1:3" x14ac:dyDescent="0.3">
      <c r="A568" s="3">
        <v>543</v>
      </c>
      <c r="B568" s="3">
        <v>1.0672531963315897</v>
      </c>
      <c r="C568" s="3">
        <v>-1.4553196331589691E-2</v>
      </c>
    </row>
    <row r="569" spans="1:3" x14ac:dyDescent="0.3">
      <c r="A569" s="3">
        <v>544</v>
      </c>
      <c r="B569" s="3">
        <v>1.0650024828179512</v>
      </c>
      <c r="C569" s="3">
        <v>-1.3902482817951256E-2</v>
      </c>
    </row>
    <row r="570" spans="1:3" x14ac:dyDescent="0.3">
      <c r="A570" s="3">
        <v>545</v>
      </c>
      <c r="B570" s="3">
        <v>1.0637079440909376</v>
      </c>
      <c r="C570" s="3">
        <v>-2.5807944090937562E-2</v>
      </c>
    </row>
    <row r="571" spans="1:3" x14ac:dyDescent="0.3">
      <c r="A571" s="3">
        <v>546</v>
      </c>
      <c r="B571" s="3">
        <v>1.0530877503592386</v>
      </c>
      <c r="C571" s="3">
        <v>-1.1987750359238714E-2</v>
      </c>
    </row>
    <row r="572" spans="1:3" x14ac:dyDescent="0.3">
      <c r="A572" s="3">
        <v>547</v>
      </c>
      <c r="B572" s="3">
        <v>1.0556245806316904</v>
      </c>
      <c r="C572" s="3">
        <v>-1.2524580631690485E-2</v>
      </c>
    </row>
    <row r="573" spans="1:3" x14ac:dyDescent="0.3">
      <c r="A573" s="3">
        <v>548</v>
      </c>
      <c r="B573" s="3">
        <v>1.0572419203088366</v>
      </c>
      <c r="C573" s="3">
        <v>-2.5419203088365983E-3</v>
      </c>
    </row>
    <row r="574" spans="1:3" x14ac:dyDescent="0.3">
      <c r="A574" s="3">
        <v>549</v>
      </c>
      <c r="B574" s="3">
        <v>1.0665764684508117</v>
      </c>
      <c r="C574" s="3">
        <v>-1.9976468450811691E-2</v>
      </c>
    </row>
    <row r="575" spans="1:3" x14ac:dyDescent="0.3">
      <c r="A575" s="3">
        <v>550</v>
      </c>
      <c r="B575" s="3">
        <v>1.0600944975870659</v>
      </c>
      <c r="C575" s="3">
        <v>-1.4944975870658794E-3</v>
      </c>
    </row>
    <row r="576" spans="1:3" x14ac:dyDescent="0.3">
      <c r="A576" s="3">
        <v>551</v>
      </c>
      <c r="B576" s="3">
        <v>1.0697226660724426</v>
      </c>
      <c r="C576" s="3">
        <v>-1.3722666072442546E-2</v>
      </c>
    </row>
    <row r="577" spans="1:3" x14ac:dyDescent="0.3">
      <c r="A577" s="3">
        <v>552</v>
      </c>
      <c r="B577" s="3">
        <v>1.0676650348354642</v>
      </c>
      <c r="C577" s="3">
        <v>1.2349651645358062E-3</v>
      </c>
    </row>
    <row r="578" spans="1:3" x14ac:dyDescent="0.3">
      <c r="A578" s="3">
        <v>553</v>
      </c>
      <c r="B578" s="3">
        <v>1.0780322893434922</v>
      </c>
      <c r="C578" s="3">
        <v>-4.6322893434922463E-3</v>
      </c>
    </row>
    <row r="579" spans="1:3" x14ac:dyDescent="0.3">
      <c r="A579" s="3">
        <v>554</v>
      </c>
      <c r="B579" s="3">
        <v>1.0816871445178675</v>
      </c>
      <c r="C579" s="3">
        <v>-1.3687144517867456E-2</v>
      </c>
    </row>
    <row r="580" spans="1:3" x14ac:dyDescent="0.3">
      <c r="A580" s="3">
        <v>555</v>
      </c>
      <c r="B580" s="3">
        <v>1.0773568448345678</v>
      </c>
      <c r="C580" s="3">
        <v>-4.9568448345678195E-3</v>
      </c>
    </row>
    <row r="581" spans="1:3" x14ac:dyDescent="0.3">
      <c r="A581" s="3">
        <v>556</v>
      </c>
      <c r="B581" s="3">
        <v>1.0808804200530768</v>
      </c>
      <c r="C581" s="3">
        <v>-8.1804200530768423E-3</v>
      </c>
    </row>
    <row r="582" spans="1:3" x14ac:dyDescent="0.3">
      <c r="A582" s="3">
        <v>557</v>
      </c>
      <c r="B582" s="3">
        <v>1.0811339150978281</v>
      </c>
      <c r="C582" s="3">
        <v>-3.4339150978279775E-3</v>
      </c>
    </row>
    <row r="583" spans="1:3" x14ac:dyDescent="0.3">
      <c r="A583" s="3">
        <v>558</v>
      </c>
      <c r="B583" s="3">
        <v>1.0851558651790909</v>
      </c>
      <c r="C583" s="3">
        <v>-1.1855865179090985E-2</v>
      </c>
    </row>
    <row r="584" spans="1:3" x14ac:dyDescent="0.3">
      <c r="A584" s="3">
        <v>559</v>
      </c>
      <c r="B584" s="3">
        <v>1.0816311783184205</v>
      </c>
      <c r="C584" s="3">
        <v>-1.7031178318420492E-2</v>
      </c>
    </row>
    <row r="585" spans="1:3" x14ac:dyDescent="0.3">
      <c r="A585" s="3">
        <v>560</v>
      </c>
      <c r="B585" s="3">
        <v>1.0746222078062708</v>
      </c>
      <c r="C585" s="3">
        <v>-1.2220780627081318E-4</v>
      </c>
    </row>
    <row r="586" spans="1:3" x14ac:dyDescent="0.3">
      <c r="A586" s="3">
        <v>561</v>
      </c>
      <c r="B586" s="3">
        <v>1.0825598399615564</v>
      </c>
      <c r="C586" s="3">
        <v>-1.0759839961556272E-2</v>
      </c>
    </row>
    <row r="587" spans="1:3" x14ac:dyDescent="0.3">
      <c r="A587" s="3">
        <v>562</v>
      </c>
      <c r="B587" s="3">
        <v>1.0804159502762389</v>
      </c>
      <c r="C587" s="3">
        <v>-1.1015950276239028E-2</v>
      </c>
    </row>
    <row r="588" spans="1:3" x14ac:dyDescent="0.3">
      <c r="A588" s="3">
        <v>563</v>
      </c>
      <c r="B588" s="3">
        <v>1.0784783108438227</v>
      </c>
      <c r="C588" s="3">
        <v>-8.5783108438226563E-3</v>
      </c>
    </row>
    <row r="589" spans="1:3" x14ac:dyDescent="0.3">
      <c r="A589" s="3">
        <v>564</v>
      </c>
      <c r="B589" s="3">
        <v>1.0788737526258201</v>
      </c>
      <c r="C589" s="3">
        <v>-7.4737526258201736E-3</v>
      </c>
    </row>
    <row r="590" spans="1:3" x14ac:dyDescent="0.3">
      <c r="A590" s="3">
        <v>565</v>
      </c>
      <c r="B590" s="3">
        <v>1.0800814770834137</v>
      </c>
      <c r="C590" s="3">
        <v>-1.8681477083413833E-2</v>
      </c>
    </row>
    <row r="591" spans="1:3" x14ac:dyDescent="0.3">
      <c r="A591" s="3">
        <v>566</v>
      </c>
      <c r="B591" s="3">
        <v>1.0720434130422345</v>
      </c>
      <c r="C591" s="3">
        <v>-2.0543413042234393E-2</v>
      </c>
    </row>
    <row r="592" spans="1:3" x14ac:dyDescent="0.3">
      <c r="A592" s="3">
        <v>567</v>
      </c>
      <c r="B592" s="3">
        <v>1.0640538116159144</v>
      </c>
      <c r="C592" s="3">
        <v>-2.3253811615914444E-2</v>
      </c>
    </row>
    <row r="593" spans="1:3" x14ac:dyDescent="0.3">
      <c r="A593" s="3">
        <v>568</v>
      </c>
      <c r="B593" s="3">
        <v>1.0554211094841919</v>
      </c>
      <c r="C593" s="3">
        <v>-1.4021109484191774E-2</v>
      </c>
    </row>
    <row r="594" spans="1:3" x14ac:dyDescent="0.3">
      <c r="A594" s="3">
        <v>569</v>
      </c>
      <c r="B594" s="3">
        <v>1.0558739070183376</v>
      </c>
      <c r="C594" s="3">
        <v>-1.1573907018337604E-2</v>
      </c>
    </row>
    <row r="595" spans="1:3" x14ac:dyDescent="0.3">
      <c r="A595" s="3">
        <v>570</v>
      </c>
      <c r="B595" s="3">
        <v>1.0582078219643716</v>
      </c>
      <c r="C595" s="3">
        <v>-3.5078219643716047E-3</v>
      </c>
    </row>
    <row r="596" spans="1:3" x14ac:dyDescent="0.3">
      <c r="A596" s="3">
        <v>571</v>
      </c>
      <c r="B596" s="3">
        <v>1.0665798033772953</v>
      </c>
      <c r="C596" s="3">
        <v>-1.6779803377295233E-2</v>
      </c>
    </row>
    <row r="597" spans="1:3" x14ac:dyDescent="0.3">
      <c r="A597" s="3">
        <v>572</v>
      </c>
      <c r="B597" s="3">
        <v>1.0626680120508367</v>
      </c>
      <c r="C597" s="3">
        <v>-1.1768012050836774E-2</v>
      </c>
    </row>
    <row r="598" spans="1:3" x14ac:dyDescent="0.3">
      <c r="A598" s="3">
        <v>573</v>
      </c>
      <c r="B598" s="3">
        <v>1.0635390400312834</v>
      </c>
      <c r="C598" s="3">
        <v>-1.103904003128342E-2</v>
      </c>
    </row>
    <row r="599" spans="1:3" x14ac:dyDescent="0.3">
      <c r="A599" s="3">
        <v>574</v>
      </c>
      <c r="B599" s="3">
        <v>1.064828854279112</v>
      </c>
      <c r="C599" s="3">
        <v>-8.3288542791120079E-3</v>
      </c>
    </row>
    <row r="600" spans="1:3" x14ac:dyDescent="0.3">
      <c r="A600" s="3">
        <v>575</v>
      </c>
      <c r="B600" s="3">
        <v>1.0680501939274702</v>
      </c>
      <c r="C600" s="3">
        <v>-1.5750193927470235E-2</v>
      </c>
    </row>
    <row r="601" spans="1:3" x14ac:dyDescent="0.3">
      <c r="A601" s="3">
        <v>576</v>
      </c>
      <c r="B601" s="3">
        <v>1.0646835726153829</v>
      </c>
      <c r="C601" s="3">
        <v>-9.28357261538304E-3</v>
      </c>
    </row>
    <row r="602" spans="1:3" x14ac:dyDescent="0.3">
      <c r="A602" s="3">
        <v>577</v>
      </c>
      <c r="B602" s="3">
        <v>1.0671649925094684</v>
      </c>
      <c r="C602" s="3">
        <v>-8.8649925094683724E-3</v>
      </c>
    </row>
    <row r="603" spans="1:3" x14ac:dyDescent="0.3">
      <c r="A603" s="3">
        <v>578</v>
      </c>
      <c r="B603" s="3">
        <v>1.0695058552190098</v>
      </c>
      <c r="C603" s="3">
        <v>-1.7705855219009692E-2</v>
      </c>
    </row>
    <row r="604" spans="1:3" x14ac:dyDescent="0.3">
      <c r="A604" s="3">
        <v>579</v>
      </c>
      <c r="B604" s="3">
        <v>1.0642864633701439</v>
      </c>
      <c r="C604" s="3">
        <v>-2.0386463370143826E-2</v>
      </c>
    </row>
    <row r="605" spans="1:3" x14ac:dyDescent="0.3">
      <c r="A605" s="3">
        <v>580</v>
      </c>
      <c r="B605" s="3">
        <v>1.0579150353525908</v>
      </c>
      <c r="C605" s="3">
        <v>-9.7150353525907729E-3</v>
      </c>
    </row>
    <row r="606" spans="1:3" x14ac:dyDescent="0.3">
      <c r="A606" s="3">
        <v>581</v>
      </c>
      <c r="B606" s="3">
        <v>1.0613512404805996</v>
      </c>
      <c r="C606" s="3">
        <v>-1.855124048059964E-2</v>
      </c>
    </row>
    <row r="607" spans="1:3" x14ac:dyDescent="0.3">
      <c r="A607" s="3">
        <v>582</v>
      </c>
      <c r="B607" s="3">
        <v>1.057020384976219</v>
      </c>
      <c r="C607" s="3">
        <v>-1.4920384976218948E-2</v>
      </c>
    </row>
    <row r="608" spans="1:3" x14ac:dyDescent="0.3">
      <c r="A608" s="3">
        <v>583</v>
      </c>
      <c r="B608" s="3">
        <v>1.0564424215180934</v>
      </c>
      <c r="C608" s="3">
        <v>-2.9842421518093465E-2</v>
      </c>
    </row>
    <row r="609" spans="1:3" x14ac:dyDescent="0.3">
      <c r="A609" s="3">
        <v>584</v>
      </c>
      <c r="B609" s="3">
        <v>1.0439750154604215</v>
      </c>
      <c r="C609" s="3">
        <v>-2.587501546042148E-2</v>
      </c>
    </row>
    <row r="610" spans="1:3" x14ac:dyDescent="0.3">
      <c r="A610" s="3">
        <v>585</v>
      </c>
      <c r="B610" s="3">
        <v>1.037096041532285</v>
      </c>
      <c r="C610" s="3">
        <v>-2.1196041532284937E-2</v>
      </c>
    </row>
    <row r="611" spans="1:3" x14ac:dyDescent="0.3">
      <c r="A611" s="3">
        <v>586</v>
      </c>
      <c r="B611" s="3">
        <v>1.0353031279425178</v>
      </c>
      <c r="C611" s="3">
        <v>-1.7003127942517793E-2</v>
      </c>
    </row>
    <row r="612" spans="1:3" x14ac:dyDescent="0.3">
      <c r="A612" s="3">
        <v>587</v>
      </c>
      <c r="B612" s="3">
        <v>1.0372271497584593</v>
      </c>
      <c r="C612" s="3">
        <v>-3.3327149758459296E-2</v>
      </c>
    </row>
    <row r="613" spans="1:3" x14ac:dyDescent="0.3">
      <c r="A613" s="3">
        <v>588</v>
      </c>
      <c r="B613" s="3">
        <v>1.0256530045244578</v>
      </c>
      <c r="C613" s="3">
        <v>-2.2053004524457798E-2</v>
      </c>
    </row>
    <row r="614" spans="1:3" x14ac:dyDescent="0.3">
      <c r="A614" s="3">
        <v>589</v>
      </c>
      <c r="B614" s="3">
        <v>1.025371718425677</v>
      </c>
      <c r="C614" s="3">
        <v>-1.9371718425676976E-2</v>
      </c>
    </row>
    <row r="615" spans="1:3" x14ac:dyDescent="0.3">
      <c r="A615" s="3">
        <v>590</v>
      </c>
      <c r="B615" s="3">
        <v>1.0273010205418842</v>
      </c>
      <c r="C615" s="3">
        <v>-2.5701020541884168E-2</v>
      </c>
    </row>
    <row r="616" spans="1:3" x14ac:dyDescent="0.3">
      <c r="A616" s="3">
        <v>591</v>
      </c>
      <c r="B616" s="3">
        <v>1.0237691080071665</v>
      </c>
      <c r="C616" s="3">
        <v>-1.5069108007166543E-2</v>
      </c>
    </row>
    <row r="617" spans="1:3" x14ac:dyDescent="0.3">
      <c r="A617" s="3">
        <v>592</v>
      </c>
      <c r="B617" s="3">
        <v>1.0294668651598851</v>
      </c>
      <c r="C617" s="3">
        <v>-1.5366865159885057E-2</v>
      </c>
    </row>
    <row r="618" spans="1:3" x14ac:dyDescent="0.3">
      <c r="A618" s="3">
        <v>593</v>
      </c>
      <c r="B618" s="3">
        <v>1.033829402465859</v>
      </c>
      <c r="C618" s="3">
        <v>-1.1429402465858995E-2</v>
      </c>
    </row>
    <row r="619" spans="1:3" x14ac:dyDescent="0.3">
      <c r="A619" s="3">
        <v>594</v>
      </c>
      <c r="B619" s="3">
        <v>1.0405194627754402</v>
      </c>
      <c r="C619" s="3">
        <v>-2.2819462775440114E-2</v>
      </c>
    </row>
    <row r="620" spans="1:3" x14ac:dyDescent="0.3">
      <c r="A620" s="3">
        <v>595</v>
      </c>
      <c r="B620" s="3">
        <v>1.0367626799816214</v>
      </c>
      <c r="C620" s="3">
        <v>-1.3962679981621484E-2</v>
      </c>
    </row>
    <row r="621" spans="1:3" x14ac:dyDescent="0.3">
      <c r="A621" s="3">
        <v>596</v>
      </c>
      <c r="B621" s="3">
        <v>1.0408511568628622</v>
      </c>
      <c r="C621" s="3">
        <v>-1.9851156862862318E-2</v>
      </c>
    </row>
    <row r="622" spans="1:3" x14ac:dyDescent="0.3">
      <c r="A622" s="3">
        <v>597</v>
      </c>
      <c r="B622" s="3">
        <v>1.039417728414546</v>
      </c>
      <c r="C622" s="3">
        <v>-1.741772841454603E-2</v>
      </c>
    </row>
    <row r="623" spans="1:3" x14ac:dyDescent="0.3">
      <c r="A623" s="3">
        <v>598</v>
      </c>
      <c r="B623" s="3">
        <v>1.0402169492947493</v>
      </c>
      <c r="C623" s="3">
        <v>-2.8816949294749206E-2</v>
      </c>
    </row>
    <row r="624" spans="1:3" x14ac:dyDescent="0.3">
      <c r="A624" s="3">
        <v>599</v>
      </c>
      <c r="B624" s="3">
        <v>1.0316949617389115</v>
      </c>
      <c r="C624" s="3">
        <v>-1.1494961738911513E-2</v>
      </c>
    </row>
    <row r="625" spans="1:3" x14ac:dyDescent="0.3">
      <c r="A625" s="3">
        <v>600</v>
      </c>
      <c r="B625" s="3">
        <v>1.03874266799701</v>
      </c>
      <c r="C625" s="3">
        <v>-1.9142667997009921E-2</v>
      </c>
    </row>
    <row r="626" spans="1:3" x14ac:dyDescent="0.3">
      <c r="A626" s="3">
        <v>601</v>
      </c>
      <c r="B626" s="3">
        <v>1.0382845901625988</v>
      </c>
      <c r="C626" s="3">
        <v>-1.6484590162598733E-2</v>
      </c>
    </row>
    <row r="627" spans="1:3" x14ac:dyDescent="0.3">
      <c r="A627" s="3">
        <v>602</v>
      </c>
      <c r="B627" s="3">
        <v>1.0400522138931994</v>
      </c>
      <c r="C627" s="3">
        <v>-1.3952213893199339E-2</v>
      </c>
    </row>
    <row r="628" spans="1:3" x14ac:dyDescent="0.3">
      <c r="A628" s="3">
        <v>603</v>
      </c>
      <c r="B628" s="3">
        <v>1.0435164879857779</v>
      </c>
      <c r="C628" s="3">
        <v>-2.7116487985777926E-2</v>
      </c>
    </row>
    <row r="629" spans="1:3" x14ac:dyDescent="0.3">
      <c r="A629" s="3">
        <v>604</v>
      </c>
      <c r="B629" s="3">
        <v>1.0357274724207053</v>
      </c>
      <c r="C629" s="3">
        <v>-1.9327472420705316E-2</v>
      </c>
    </row>
    <row r="630" spans="1:3" x14ac:dyDescent="0.3">
      <c r="A630" s="3">
        <v>605</v>
      </c>
      <c r="B630" s="3">
        <v>1.035700515098297</v>
      </c>
      <c r="C630" s="3">
        <v>-1.1400515098296982E-2</v>
      </c>
    </row>
    <row r="631" spans="1:3" x14ac:dyDescent="0.3">
      <c r="A631" s="3">
        <v>606</v>
      </c>
      <c r="B631" s="3">
        <v>1.042053878930731</v>
      </c>
      <c r="C631" s="3">
        <v>-2.3953878930730976E-2</v>
      </c>
    </row>
    <row r="632" spans="1:3" x14ac:dyDescent="0.3">
      <c r="A632" s="3">
        <v>607</v>
      </c>
      <c r="B632" s="3">
        <v>1.0370896495898581</v>
      </c>
      <c r="C632" s="3">
        <v>-1.7589649589857981E-2</v>
      </c>
    </row>
    <row r="633" spans="1:3" x14ac:dyDescent="0.3">
      <c r="A633" s="3">
        <v>608</v>
      </c>
      <c r="B633" s="3">
        <v>1.03819833171426</v>
      </c>
      <c r="C633" s="3">
        <v>-1.7098331714260118E-2</v>
      </c>
    </row>
    <row r="634" spans="1:3" x14ac:dyDescent="0.3">
      <c r="A634" s="3">
        <v>609</v>
      </c>
      <c r="B634" s="3">
        <v>1.0394889796937092</v>
      </c>
      <c r="C634" s="3">
        <v>-9.7889796937091766E-3</v>
      </c>
    </row>
    <row r="635" spans="1:3" x14ac:dyDescent="0.3">
      <c r="A635" s="3">
        <v>610</v>
      </c>
      <c r="B635" s="3">
        <v>1.0464097463837381</v>
      </c>
      <c r="C635" s="3">
        <v>-1.4709746383738009E-2</v>
      </c>
    </row>
    <row r="636" spans="1:3" x14ac:dyDescent="0.3">
      <c r="A636" s="3">
        <v>611</v>
      </c>
      <c r="B636" s="3">
        <v>1.04804209323006</v>
      </c>
      <c r="C636" s="3">
        <v>-2.2242093230059989E-2</v>
      </c>
    </row>
    <row r="637" spans="1:3" x14ac:dyDescent="0.3">
      <c r="A637" s="3">
        <v>612</v>
      </c>
      <c r="B637" s="3">
        <v>1.0433027341482886</v>
      </c>
      <c r="C637" s="3">
        <v>-2.7302734148288543E-2</v>
      </c>
    </row>
    <row r="638" spans="1:3" x14ac:dyDescent="0.3">
      <c r="A638" s="3">
        <v>613</v>
      </c>
      <c r="B638" s="3">
        <v>1.035404949381113</v>
      </c>
      <c r="C638" s="3">
        <v>-1.8404949381113145E-2</v>
      </c>
    </row>
    <row r="639" spans="1:3" x14ac:dyDescent="0.3">
      <c r="A639" s="3">
        <v>614</v>
      </c>
      <c r="B639" s="3">
        <v>1.0361819374180927</v>
      </c>
      <c r="C639" s="3">
        <v>-1.8181937418092708E-2</v>
      </c>
    </row>
    <row r="640" spans="1:3" x14ac:dyDescent="0.3">
      <c r="A640" s="3">
        <v>615</v>
      </c>
      <c r="B640" s="3">
        <v>1.036988939793424</v>
      </c>
      <c r="C640" s="3">
        <v>-2.8188939793424073E-2</v>
      </c>
    </row>
    <row r="641" spans="1:3" x14ac:dyDescent="0.3">
      <c r="A641" s="3">
        <v>616</v>
      </c>
      <c r="B641" s="3">
        <v>1.029592864815486</v>
      </c>
      <c r="C641" s="3">
        <v>-2.6192864815485883E-2</v>
      </c>
    </row>
    <row r="642" spans="1:3" x14ac:dyDescent="0.3">
      <c r="A642" s="3">
        <v>617</v>
      </c>
      <c r="B642" s="3">
        <v>1.0252244913881658</v>
      </c>
      <c r="C642" s="3">
        <v>-3.1124491388165865E-2</v>
      </c>
    </row>
    <row r="643" spans="1:3" x14ac:dyDescent="0.3">
      <c r="A643" s="3">
        <v>618</v>
      </c>
      <c r="B643" s="3">
        <v>1.0177302078086561</v>
      </c>
      <c r="C643" s="3">
        <v>-2.1030207808656054E-2</v>
      </c>
    </row>
    <row r="644" spans="1:3" x14ac:dyDescent="0.3">
      <c r="A644" s="3">
        <v>619</v>
      </c>
      <c r="B644" s="3">
        <v>1.0197953426302226</v>
      </c>
      <c r="C644" s="3">
        <v>-2.3295342630222593E-2</v>
      </c>
    </row>
    <row r="645" spans="1:3" x14ac:dyDescent="0.3">
      <c r="A645" s="3">
        <v>620</v>
      </c>
      <c r="B645" s="3">
        <v>1.0196417236502848</v>
      </c>
      <c r="C645" s="3">
        <v>-2.2241723650284873E-2</v>
      </c>
    </row>
    <row r="646" spans="1:3" x14ac:dyDescent="0.3">
      <c r="A646" s="3">
        <v>621</v>
      </c>
      <c r="B646" s="3">
        <v>1.0203649687721394</v>
      </c>
      <c r="C646" s="3">
        <v>-2.4264968772139461E-2</v>
      </c>
    </row>
    <row r="647" spans="1:3" x14ac:dyDescent="0.3">
      <c r="A647" s="3">
        <v>622</v>
      </c>
      <c r="B647" s="3">
        <v>1.0193219797160955</v>
      </c>
      <c r="C647" s="3">
        <v>-1.982197971609545E-2</v>
      </c>
    </row>
    <row r="648" spans="1:3" x14ac:dyDescent="0.3">
      <c r="A648" s="3">
        <v>623</v>
      </c>
      <c r="B648" s="3">
        <v>1.0220527259968279</v>
      </c>
      <c r="C648" s="3">
        <v>-2.0852725996827859E-2</v>
      </c>
    </row>
    <row r="649" spans="1:3" x14ac:dyDescent="0.3">
      <c r="A649" s="3">
        <v>624</v>
      </c>
      <c r="B649" s="3">
        <v>1.0234293545140762</v>
      </c>
      <c r="C649" s="3">
        <v>-1.7729354514076201E-2</v>
      </c>
    </row>
    <row r="650" spans="1:3" x14ac:dyDescent="0.3">
      <c r="A650" s="3">
        <v>625</v>
      </c>
      <c r="B650" s="3">
        <v>1.0270530837079388</v>
      </c>
      <c r="C650" s="3">
        <v>-3.2653083707938846E-2</v>
      </c>
    </row>
    <row r="651" spans="1:3" x14ac:dyDescent="0.3">
      <c r="A651" s="3">
        <v>626</v>
      </c>
      <c r="B651" s="3">
        <v>1.0179778667320614</v>
      </c>
      <c r="C651" s="3">
        <v>-2.287786673206138E-2</v>
      </c>
    </row>
    <row r="652" spans="1:3" x14ac:dyDescent="0.3">
      <c r="A652" s="3">
        <v>627</v>
      </c>
      <c r="B652" s="3">
        <v>1.018509419129958</v>
      </c>
      <c r="C652" s="3">
        <v>-2.5909419129957922E-2</v>
      </c>
    </row>
    <row r="653" spans="1:3" x14ac:dyDescent="0.3">
      <c r="A653" s="3">
        <v>628</v>
      </c>
      <c r="B653" s="3">
        <v>1.0165008063289191</v>
      </c>
      <c r="C653" s="3">
        <v>-2.630080632891918E-2</v>
      </c>
    </row>
    <row r="654" spans="1:3" x14ac:dyDescent="0.3">
      <c r="A654" s="3">
        <v>629</v>
      </c>
      <c r="B654" s="3">
        <v>1.0145637227175839</v>
      </c>
      <c r="C654" s="3">
        <v>-1.4663722717583871E-2</v>
      </c>
    </row>
    <row r="655" spans="1:3" x14ac:dyDescent="0.3">
      <c r="A655" s="3">
        <v>630</v>
      </c>
      <c r="B655" s="3">
        <v>1.0223580185829222</v>
      </c>
      <c r="C655" s="3">
        <v>-2.2958018582922235E-2</v>
      </c>
    </row>
    <row r="656" spans="1:3" x14ac:dyDescent="0.3">
      <c r="A656" s="3">
        <v>631</v>
      </c>
      <c r="B656" s="3">
        <v>1.0219828642703661</v>
      </c>
      <c r="C656" s="3">
        <v>-1.8082864270366095E-2</v>
      </c>
    </row>
    <row r="657" spans="1:3" x14ac:dyDescent="0.3">
      <c r="A657" s="3">
        <v>632</v>
      </c>
      <c r="B657" s="3">
        <v>1.0256004794323426</v>
      </c>
      <c r="C657" s="3">
        <v>-1.3700479432342538E-2</v>
      </c>
    </row>
    <row r="658" spans="1:3" x14ac:dyDescent="0.3">
      <c r="A658" s="3">
        <v>633</v>
      </c>
      <c r="B658" s="3">
        <v>1.0320467715660826</v>
      </c>
      <c r="C658" s="3">
        <v>-3.5046771566082602E-2</v>
      </c>
    </row>
    <row r="659" spans="1:3" x14ac:dyDescent="0.3">
      <c r="A659" s="3">
        <v>634</v>
      </c>
      <c r="B659" s="3">
        <v>1.0200860776873732</v>
      </c>
      <c r="C659" s="3">
        <v>-2.2386077687373218E-2</v>
      </c>
    </row>
    <row r="660" spans="1:3" x14ac:dyDescent="0.3">
      <c r="A660" s="3">
        <v>635</v>
      </c>
      <c r="B660" s="3">
        <v>1.0206076253058196</v>
      </c>
      <c r="C660" s="3">
        <v>-2.0707625305819599E-2</v>
      </c>
    </row>
    <row r="661" spans="1:3" x14ac:dyDescent="0.3">
      <c r="A661" s="3">
        <v>636</v>
      </c>
      <c r="B661" s="3">
        <v>1.0223788618734442</v>
      </c>
      <c r="C661" s="3">
        <v>-2.0878861873444121E-2</v>
      </c>
    </row>
    <row r="662" spans="1:3" x14ac:dyDescent="0.3">
      <c r="A662" s="3">
        <v>637</v>
      </c>
      <c r="B662" s="3">
        <v>1.0236717331372158</v>
      </c>
      <c r="C662" s="3">
        <v>-2.1471733137215843E-2</v>
      </c>
    </row>
    <row r="663" spans="1:3" x14ac:dyDescent="0.3">
      <c r="A663" s="3">
        <v>638</v>
      </c>
      <c r="B663" s="3">
        <v>1.0242391359948102</v>
      </c>
      <c r="C663" s="3">
        <v>-2.7239135994810204E-2</v>
      </c>
    </row>
    <row r="664" spans="1:3" x14ac:dyDescent="0.3">
      <c r="A664" s="3">
        <v>639</v>
      </c>
      <c r="B664" s="3">
        <v>1.0200591203649647</v>
      </c>
      <c r="C664" s="3">
        <v>-3.6359120364964692E-2</v>
      </c>
    </row>
    <row r="665" spans="1:3" x14ac:dyDescent="0.3">
      <c r="A665" s="3">
        <v>640</v>
      </c>
      <c r="B665" s="3">
        <v>1.0093484995268225</v>
      </c>
      <c r="C665" s="3">
        <v>-2.5748499526822455E-2</v>
      </c>
    </row>
    <row r="666" spans="1:3" x14ac:dyDescent="0.3">
      <c r="A666" s="3">
        <v>641</v>
      </c>
      <c r="B666" s="3">
        <v>1.0092311150979707</v>
      </c>
      <c r="C666" s="3">
        <v>-4.0231115097970727E-2</v>
      </c>
    </row>
    <row r="667" spans="1:3" x14ac:dyDescent="0.3">
      <c r="A667" s="3">
        <v>642</v>
      </c>
      <c r="B667" s="3">
        <v>0.99748917744647603</v>
      </c>
      <c r="C667" s="3">
        <v>-3.6889177446476018E-2</v>
      </c>
    </row>
    <row r="668" spans="1:3" x14ac:dyDescent="0.3">
      <c r="A668" s="3">
        <v>643</v>
      </c>
      <c r="B668" s="3">
        <v>0.99069312704019508</v>
      </c>
      <c r="C668" s="3">
        <v>-3.1493127040195024E-2</v>
      </c>
    </row>
    <row r="669" spans="1:3" x14ac:dyDescent="0.3">
      <c r="A669" s="3">
        <v>644</v>
      </c>
      <c r="B669" s="3">
        <v>0.98954386997691068</v>
      </c>
      <c r="C669" s="3">
        <v>-1.6143869976910641E-2</v>
      </c>
    </row>
    <row r="670" spans="1:3" x14ac:dyDescent="0.3">
      <c r="A670" s="3">
        <v>645</v>
      </c>
      <c r="B670" s="3">
        <v>1.0009599496623294</v>
      </c>
      <c r="C670" s="3">
        <v>-1.9559949662329323E-2</v>
      </c>
    </row>
    <row r="671" spans="1:3" x14ac:dyDescent="0.3">
      <c r="A671" s="3">
        <v>646</v>
      </c>
      <c r="B671" s="3">
        <v>1.007433199118478</v>
      </c>
      <c r="C671" s="3">
        <v>-2.7533199118477958E-2</v>
      </c>
    </row>
    <row r="672" spans="1:3" x14ac:dyDescent="0.3">
      <c r="A672" s="3">
        <v>647</v>
      </c>
      <c r="B672" s="3">
        <v>1.006249097056809</v>
      </c>
      <c r="C672" s="3">
        <v>-2.3849097056808932E-2</v>
      </c>
    </row>
    <row r="673" spans="1:3" x14ac:dyDescent="0.3">
      <c r="A673" s="3">
        <v>648</v>
      </c>
      <c r="B673" s="3">
        <v>1.0082554865735254</v>
      </c>
      <c r="C673" s="3">
        <v>-9.9554865735254072E-3</v>
      </c>
    </row>
    <row r="674" spans="1:3" x14ac:dyDescent="0.3">
      <c r="A674" s="3">
        <v>649</v>
      </c>
      <c r="B674" s="3">
        <v>1.0210495843288938</v>
      </c>
      <c r="C674" s="3">
        <v>-3.2849584328893844E-2</v>
      </c>
    </row>
    <row r="675" spans="1:3" x14ac:dyDescent="0.3">
      <c r="A675" s="3">
        <v>650</v>
      </c>
      <c r="B675" s="3">
        <v>1.0129711170785238</v>
      </c>
      <c r="C675" s="3">
        <v>-3.4171117078523827E-2</v>
      </c>
    </row>
    <row r="676" spans="1:3" x14ac:dyDescent="0.3">
      <c r="A676" s="3">
        <v>651</v>
      </c>
      <c r="B676" s="3">
        <v>1.0053833493766278</v>
      </c>
      <c r="C676" s="3">
        <v>-3.12833493766278E-2</v>
      </c>
    </row>
    <row r="677" spans="1:3" x14ac:dyDescent="0.3">
      <c r="A677" s="3">
        <v>652</v>
      </c>
      <c r="B677" s="3">
        <v>1.0015773764171767</v>
      </c>
      <c r="C677" s="3">
        <v>-3.1577376417176728E-2</v>
      </c>
    </row>
    <row r="678" spans="1:3" x14ac:dyDescent="0.3">
      <c r="A678" s="3">
        <v>653</v>
      </c>
      <c r="B678" s="3">
        <v>0.99826699921507656</v>
      </c>
      <c r="C678" s="3">
        <v>-2.7966999215076505E-2</v>
      </c>
    </row>
    <row r="679" spans="1:3" x14ac:dyDescent="0.3">
      <c r="A679" s="3">
        <v>654</v>
      </c>
      <c r="B679" s="3">
        <v>0.99849687186390312</v>
      </c>
      <c r="C679" s="3">
        <v>-2.8096871863903083E-2</v>
      </c>
    </row>
    <row r="680" spans="1:3" x14ac:dyDescent="0.3">
      <c r="A680" s="3">
        <v>655</v>
      </c>
      <c r="B680" s="3">
        <v>0.99857812792251677</v>
      </c>
      <c r="C680" s="3">
        <v>-2.1278127922516821E-2</v>
      </c>
    </row>
    <row r="681" spans="1:3" x14ac:dyDescent="0.3">
      <c r="A681" s="3">
        <v>656</v>
      </c>
      <c r="B681" s="3">
        <v>1.0041275463955628</v>
      </c>
      <c r="C681" s="3">
        <v>-3.2227546395562801E-2</v>
      </c>
    </row>
    <row r="682" spans="1:3" x14ac:dyDescent="0.3">
      <c r="A682" s="3">
        <v>657</v>
      </c>
      <c r="B682" s="3">
        <v>0.99980391656522982</v>
      </c>
      <c r="C682" s="3">
        <v>-1.6003916565229814E-2</v>
      </c>
    </row>
    <row r="683" spans="1:3" x14ac:dyDescent="0.3">
      <c r="A683" s="3">
        <v>658</v>
      </c>
      <c r="B683" s="3">
        <v>1.0093591663082015</v>
      </c>
      <c r="C683" s="3">
        <v>-2.4159166308201585E-2</v>
      </c>
    </row>
    <row r="684" spans="1:3" x14ac:dyDescent="0.3">
      <c r="A684" s="3">
        <v>659</v>
      </c>
      <c r="B684" s="3">
        <v>1.0105181502403962</v>
      </c>
      <c r="C684" s="3">
        <v>-3.3418150240396183E-2</v>
      </c>
    </row>
    <row r="685" spans="1:3" x14ac:dyDescent="0.3">
      <c r="A685" s="3">
        <v>660</v>
      </c>
      <c r="B685" s="3">
        <v>1.0040078325015405</v>
      </c>
      <c r="C685" s="3">
        <v>-2.5707832501540517E-2</v>
      </c>
    </row>
    <row r="686" spans="1:3" x14ac:dyDescent="0.3">
      <c r="A686" s="3">
        <v>661</v>
      </c>
      <c r="B686" s="3">
        <v>1.0049503896716907</v>
      </c>
      <c r="C686" s="3">
        <v>-1.8950389671690715E-2</v>
      </c>
    </row>
    <row r="687" spans="1:3" x14ac:dyDescent="0.3">
      <c r="A687" s="3">
        <v>662</v>
      </c>
      <c r="B687" s="3">
        <v>1.011146243776623</v>
      </c>
      <c r="C687" s="3">
        <v>-2.3746243776622933E-2</v>
      </c>
    </row>
    <row r="688" spans="1:3" x14ac:dyDescent="0.3">
      <c r="A688" s="3">
        <v>663</v>
      </c>
      <c r="B688" s="3">
        <v>1.0122935554661252</v>
      </c>
      <c r="C688" s="3">
        <v>-1.5893555466125253E-2</v>
      </c>
    </row>
    <row r="689" spans="1:3" x14ac:dyDescent="0.3">
      <c r="A689" s="3">
        <v>664</v>
      </c>
      <c r="B689" s="3">
        <v>1.0195354556430445</v>
      </c>
      <c r="C689" s="3">
        <v>-1.1835455643044446E-2</v>
      </c>
    </row>
    <row r="690" spans="1:3" x14ac:dyDescent="0.3">
      <c r="A690" s="3">
        <v>665</v>
      </c>
      <c r="B690" s="3">
        <v>1.0286481905418614</v>
      </c>
      <c r="C690" s="3">
        <v>-3.2448190541861432E-2</v>
      </c>
    </row>
    <row r="691" spans="1:3" x14ac:dyDescent="0.3">
      <c r="A691" s="3">
        <v>666</v>
      </c>
      <c r="B691" s="3">
        <v>1.0194310268287383</v>
      </c>
      <c r="C691" s="3">
        <v>-2.3131026828738355E-2</v>
      </c>
    </row>
    <row r="692" spans="1:3" x14ac:dyDescent="0.3">
      <c r="A692" s="3">
        <v>667</v>
      </c>
      <c r="B692" s="3">
        <v>1.0194794894435975</v>
      </c>
      <c r="C692" s="3">
        <v>-3.1179489443597497E-2</v>
      </c>
    </row>
    <row r="693" spans="1:3" x14ac:dyDescent="0.3">
      <c r="A693" s="3">
        <v>668</v>
      </c>
      <c r="B693" s="3">
        <v>1.0130459811947108</v>
      </c>
      <c r="C693" s="3">
        <v>-2.5645981194710732E-2</v>
      </c>
    </row>
    <row r="694" spans="1:3" x14ac:dyDescent="0.3">
      <c r="A694" s="3">
        <v>669</v>
      </c>
      <c r="B694" s="3">
        <v>1.0122999474085519</v>
      </c>
      <c r="C694" s="3">
        <v>-3.0599947408551875E-2</v>
      </c>
    </row>
    <row r="695" spans="1:3" x14ac:dyDescent="0.3">
      <c r="A695" s="3">
        <v>670</v>
      </c>
      <c r="B695" s="3">
        <v>1.0077133735750976</v>
      </c>
      <c r="C695" s="3">
        <v>-3.2613373575097637E-2</v>
      </c>
    </row>
    <row r="696" spans="1:3" x14ac:dyDescent="0.3">
      <c r="A696" s="3">
        <v>671</v>
      </c>
      <c r="B696" s="3">
        <v>1.0023896590927737</v>
      </c>
      <c r="C696" s="3">
        <v>-6.3896590927736696E-3</v>
      </c>
    </row>
    <row r="697" spans="1:3" x14ac:dyDescent="0.3">
      <c r="A697" s="3">
        <v>672</v>
      </c>
      <c r="B697" s="3">
        <v>1.019179583338617</v>
      </c>
      <c r="C697" s="3">
        <v>-1.7279583338617011E-2</v>
      </c>
    </row>
    <row r="698" spans="1:3" x14ac:dyDescent="0.3">
      <c r="A698" s="3">
        <v>673</v>
      </c>
      <c r="B698" s="3">
        <v>1.0239825839341159</v>
      </c>
      <c r="C698" s="3">
        <v>-1.6782583934115802E-2</v>
      </c>
    </row>
    <row r="699" spans="1:3" x14ac:dyDescent="0.3">
      <c r="A699" s="3">
        <v>674</v>
      </c>
      <c r="B699" s="3">
        <v>1.0282613639866134</v>
      </c>
      <c r="C699" s="3">
        <v>-2.7161363986613285E-2</v>
      </c>
    </row>
    <row r="700" spans="1:3" x14ac:dyDescent="0.3">
      <c r="A700" s="3">
        <v>675</v>
      </c>
      <c r="B700" s="3">
        <v>1.0233703312986859</v>
      </c>
      <c r="C700" s="3">
        <v>-2.5703312986860016E-3</v>
      </c>
    </row>
    <row r="701" spans="1:3" x14ac:dyDescent="0.3">
      <c r="A701" s="3">
        <v>676</v>
      </c>
      <c r="B701" s="3">
        <v>1.0391965771733169</v>
      </c>
      <c r="C701" s="3">
        <v>-3.9965771733170286E-3</v>
      </c>
    </row>
    <row r="702" spans="1:3" x14ac:dyDescent="0.3">
      <c r="A702" s="3">
        <v>677</v>
      </c>
      <c r="B702" s="3">
        <v>1.0508321406367231</v>
      </c>
      <c r="C702" s="3">
        <v>-1.8332140636723171E-2</v>
      </c>
    </row>
    <row r="703" spans="1:3" x14ac:dyDescent="0.3">
      <c r="A703" s="3">
        <v>678</v>
      </c>
      <c r="B703" s="3">
        <v>1.0487007569257185</v>
      </c>
      <c r="C703" s="3">
        <v>-1.3900756925718571E-2</v>
      </c>
    </row>
    <row r="704" spans="1:3" x14ac:dyDescent="0.3">
      <c r="A704" s="3">
        <v>679</v>
      </c>
      <c r="B704" s="3">
        <v>1.0505429668619659</v>
      </c>
      <c r="C704" s="3">
        <v>-1.1342966861966008E-2</v>
      </c>
    </row>
    <row r="705" spans="1:3" x14ac:dyDescent="0.3">
      <c r="A705" s="3">
        <v>680</v>
      </c>
      <c r="B705" s="3">
        <v>1.0540879411920776</v>
      </c>
      <c r="C705" s="3">
        <v>-1.8087941192077572E-2</v>
      </c>
    </row>
    <row r="706" spans="1:3" x14ac:dyDescent="0.3">
      <c r="A706" s="3">
        <v>681</v>
      </c>
      <c r="B706" s="3">
        <v>1.0515266547920799</v>
      </c>
      <c r="C706" s="3">
        <v>-1.9126654792079867E-2</v>
      </c>
    </row>
    <row r="707" spans="1:3" x14ac:dyDescent="0.3">
      <c r="A707" s="3">
        <v>682</v>
      </c>
      <c r="B707" s="3">
        <v>1.0486225578830481</v>
      </c>
      <c r="C707" s="3">
        <v>-2.4522557883048135E-2</v>
      </c>
    </row>
    <row r="708" spans="1:3" x14ac:dyDescent="0.3">
      <c r="A708" s="3">
        <v>683</v>
      </c>
      <c r="B708" s="3">
        <v>1.0419374999631923</v>
      </c>
      <c r="C708" s="3">
        <v>-1.1737499963192288E-2</v>
      </c>
    </row>
    <row r="709" spans="1:3" x14ac:dyDescent="0.3">
      <c r="A709" s="3">
        <v>684</v>
      </c>
      <c r="B709" s="3">
        <v>1.046820195334911</v>
      </c>
      <c r="C709" s="3">
        <v>-7.3201953349109061E-3</v>
      </c>
    </row>
    <row r="710" spans="1:3" x14ac:dyDescent="0.3">
      <c r="A710" s="3">
        <v>685</v>
      </c>
      <c r="B710" s="3">
        <v>1.0543164242882026</v>
      </c>
      <c r="C710" s="3">
        <v>-1.3516424288202655E-2</v>
      </c>
    </row>
    <row r="711" spans="1:3" x14ac:dyDescent="0.3">
      <c r="A711" s="3">
        <v>686</v>
      </c>
      <c r="B711" s="3">
        <v>1.0553877602193569</v>
      </c>
      <c r="C711" s="3">
        <v>-1.5887760219356784E-2</v>
      </c>
    </row>
    <row r="712" spans="1:3" x14ac:dyDescent="0.3">
      <c r="A712" s="3">
        <v>687</v>
      </c>
      <c r="B712" s="3">
        <v>1.0543458828054737</v>
      </c>
      <c r="C712" s="3">
        <v>-2.0645882805473637E-2</v>
      </c>
    </row>
    <row r="713" spans="1:3" x14ac:dyDescent="0.3">
      <c r="A713" s="3">
        <v>688</v>
      </c>
      <c r="B713" s="3">
        <v>1.0496777750028654</v>
      </c>
      <c r="C713" s="3">
        <v>-1.6977775002865458E-2</v>
      </c>
    </row>
    <row r="714" spans="1:3" x14ac:dyDescent="0.3">
      <c r="A714" s="3">
        <v>689</v>
      </c>
      <c r="B714" s="3">
        <v>1.0488574329216001</v>
      </c>
      <c r="C714" s="3">
        <v>-8.357432921600072E-3</v>
      </c>
    </row>
    <row r="715" spans="1:3" x14ac:dyDescent="0.3">
      <c r="A715" s="3">
        <v>690</v>
      </c>
      <c r="B715" s="3">
        <v>1.0551275953216384</v>
      </c>
      <c r="C715" s="3">
        <v>-2.9275953216383321E-3</v>
      </c>
    </row>
    <row r="716" spans="1:3" x14ac:dyDescent="0.3">
      <c r="A716" s="3">
        <v>691</v>
      </c>
      <c r="B716" s="3">
        <v>1.0645586846019433</v>
      </c>
      <c r="C716" s="3">
        <v>-1.075868460194318E-2</v>
      </c>
    </row>
    <row r="717" spans="1:3" x14ac:dyDescent="0.3">
      <c r="A717" s="3">
        <v>692</v>
      </c>
      <c r="B717" s="3">
        <v>1.0658779573670427</v>
      </c>
      <c r="C717" s="3">
        <v>-1.6777957367042795E-2</v>
      </c>
    </row>
    <row r="718" spans="1:3" x14ac:dyDescent="0.3">
      <c r="A718" s="3">
        <v>693</v>
      </c>
      <c r="B718" s="3">
        <v>1.0621025545670242</v>
      </c>
      <c r="C718" s="3">
        <v>-1.520255456702424E-2</v>
      </c>
    </row>
    <row r="719" spans="1:3" x14ac:dyDescent="0.3">
      <c r="A719" s="3">
        <v>694</v>
      </c>
      <c r="B719" s="3">
        <v>1.0603202015777877</v>
      </c>
      <c r="C719" s="3">
        <v>-9.8202015777877349E-3</v>
      </c>
    </row>
    <row r="720" spans="1:3" x14ac:dyDescent="0.3">
      <c r="A720" s="3">
        <v>695</v>
      </c>
      <c r="B720" s="3">
        <v>1.0632092913176436</v>
      </c>
      <c r="C720" s="3">
        <v>-7.6092913176435406E-3</v>
      </c>
    </row>
    <row r="721" spans="1:3" x14ac:dyDescent="0.3">
      <c r="A721" s="3">
        <v>696</v>
      </c>
      <c r="B721" s="3">
        <v>1.0673208347737289</v>
      </c>
      <c r="C721" s="3">
        <v>-1.4320834773728919E-2</v>
      </c>
    </row>
    <row r="722" spans="1:3" x14ac:dyDescent="0.3">
      <c r="A722" s="3">
        <v>697</v>
      </c>
      <c r="B722" s="3">
        <v>1.0652440277094699</v>
      </c>
      <c r="C722" s="3">
        <v>-1.1744027709469806E-2</v>
      </c>
    </row>
    <row r="723" spans="1:3" x14ac:dyDescent="0.3">
      <c r="A723" s="3">
        <v>698</v>
      </c>
      <c r="B723" s="3">
        <v>1.0656389136703868</v>
      </c>
      <c r="C723" s="3">
        <v>-2.6389136703868221E-3</v>
      </c>
    </row>
    <row r="724" spans="1:3" x14ac:dyDescent="0.3">
      <c r="A724" s="3">
        <v>699</v>
      </c>
      <c r="B724" s="3">
        <v>1.0732804242874077</v>
      </c>
      <c r="C724" s="3">
        <v>-5.0804242874076255E-3</v>
      </c>
    </row>
    <row r="725" spans="1:3" x14ac:dyDescent="0.3">
      <c r="A725" s="3">
        <v>700</v>
      </c>
      <c r="B725" s="3">
        <v>1.077488786792363</v>
      </c>
      <c r="C725" s="3">
        <v>-1.4888786792363051E-2</v>
      </c>
    </row>
    <row r="726" spans="1:3" x14ac:dyDescent="0.3">
      <c r="A726" s="3">
        <v>701</v>
      </c>
      <c r="B726" s="3">
        <v>1.0729995878288592</v>
      </c>
      <c r="C726" s="3">
        <v>-1.4799587828859151E-2</v>
      </c>
    </row>
    <row r="727" spans="1:3" x14ac:dyDescent="0.3">
      <c r="A727" s="3">
        <v>702</v>
      </c>
      <c r="B727" s="3">
        <v>1.0694454424509181</v>
      </c>
      <c r="C727" s="3">
        <v>-8.9454424509181063E-3</v>
      </c>
    </row>
    <row r="728" spans="1:3" x14ac:dyDescent="0.3">
      <c r="A728" s="3">
        <v>703</v>
      </c>
      <c r="B728" s="3">
        <v>1.0712829279079805</v>
      </c>
      <c r="C728" s="3">
        <v>-9.182927907980476E-3</v>
      </c>
    </row>
    <row r="729" spans="1:3" x14ac:dyDescent="0.3">
      <c r="A729" s="3">
        <v>704</v>
      </c>
      <c r="B729" s="3">
        <v>1.0725760770822925</v>
      </c>
      <c r="C729" s="3">
        <v>-1.2276077082292502E-2</v>
      </c>
    </row>
    <row r="730" spans="1:3" x14ac:dyDescent="0.3">
      <c r="A730" s="3">
        <v>705</v>
      </c>
      <c r="B730" s="3">
        <v>1.0711329217650662</v>
      </c>
      <c r="C730" s="3">
        <v>-1.183292176506634E-2</v>
      </c>
    </row>
    <row r="731" spans="1:3" x14ac:dyDescent="0.3">
      <c r="A731" s="3">
        <v>706</v>
      </c>
      <c r="B731" s="3">
        <v>1.0703236961054126</v>
      </c>
      <c r="C731" s="3">
        <v>-8.9236961054126596E-3</v>
      </c>
    </row>
    <row r="732" spans="1:3" x14ac:dyDescent="0.3">
      <c r="A732" s="3">
        <v>707</v>
      </c>
      <c r="B732" s="3">
        <v>1.0720097858668591</v>
      </c>
      <c r="C732" s="3">
        <v>-8.509785866859243E-3</v>
      </c>
    </row>
    <row r="733" spans="1:3" x14ac:dyDescent="0.3">
      <c r="A733" s="3">
        <v>708</v>
      </c>
      <c r="B733" s="3">
        <v>1.0737044908550548</v>
      </c>
      <c r="C733" s="3">
        <v>-9.9044908550547373E-3</v>
      </c>
    </row>
    <row r="734" spans="1:3" x14ac:dyDescent="0.3">
      <c r="A734" s="3">
        <v>709</v>
      </c>
      <c r="B734" s="3">
        <v>1.0739515939573796</v>
      </c>
      <c r="C734" s="3">
        <v>-1.3151593957379637E-2</v>
      </c>
    </row>
    <row r="735" spans="1:3" x14ac:dyDescent="0.3">
      <c r="A735" s="3">
        <v>710</v>
      </c>
      <c r="B735" s="3">
        <v>1.0715397578792152</v>
      </c>
      <c r="C735" s="3">
        <v>-5.4397578792151347E-3</v>
      </c>
    </row>
    <row r="736" spans="1:3" x14ac:dyDescent="0.3">
      <c r="A736" s="3">
        <v>711</v>
      </c>
      <c r="B736" s="3">
        <v>1.075793803893627</v>
      </c>
      <c r="C736" s="3">
        <v>-5.5938038936269585E-3</v>
      </c>
    </row>
    <row r="737" spans="1:3" x14ac:dyDescent="0.3">
      <c r="A737" s="3">
        <v>712</v>
      </c>
      <c r="B737" s="3">
        <v>1.0791058485589688</v>
      </c>
      <c r="C737" s="3">
        <v>2.5294151441031199E-2</v>
      </c>
    </row>
    <row r="738" spans="1:3" x14ac:dyDescent="0.3">
      <c r="A738" s="3">
        <v>713</v>
      </c>
      <c r="B738" s="3">
        <v>1.106621678722671</v>
      </c>
      <c r="C738" s="3">
        <v>-4.0421678722670995E-2</v>
      </c>
    </row>
    <row r="739" spans="1:3" x14ac:dyDescent="0.3">
      <c r="A739" s="3">
        <v>714</v>
      </c>
      <c r="B739" s="3">
        <v>1.0759953952161876</v>
      </c>
      <c r="C739" s="3">
        <v>-2.1395395216187607E-2</v>
      </c>
    </row>
    <row r="740" spans="1:3" x14ac:dyDescent="0.3">
      <c r="A740" s="3">
        <v>715</v>
      </c>
      <c r="B740" s="3">
        <v>1.0665602434586263</v>
      </c>
      <c r="C740" s="3">
        <v>-6.6602434586262582E-3</v>
      </c>
    </row>
    <row r="741" spans="1:3" x14ac:dyDescent="0.3">
      <c r="A741" s="3">
        <v>716</v>
      </c>
      <c r="B741" s="3">
        <v>1.0707903891665729</v>
      </c>
      <c r="C741" s="3">
        <v>-1.879038916657283E-2</v>
      </c>
    </row>
    <row r="742" spans="1:3" x14ac:dyDescent="0.3">
      <c r="A742" s="3">
        <v>717</v>
      </c>
      <c r="B742" s="3">
        <v>1.0644517545927743</v>
      </c>
      <c r="C742" s="3">
        <v>-5.1754592774289065E-5</v>
      </c>
    </row>
    <row r="743" spans="1:3" x14ac:dyDescent="0.3">
      <c r="A743" s="3">
        <v>718</v>
      </c>
      <c r="B743" s="3">
        <v>1.0744021682072029</v>
      </c>
      <c r="C743" s="3">
        <v>-1.6021682072029364E-3</v>
      </c>
    </row>
    <row r="744" spans="1:3" x14ac:dyDescent="0.3">
      <c r="A744" s="3">
        <v>719</v>
      </c>
      <c r="B744" s="3">
        <v>1.0811921045815975</v>
      </c>
      <c r="C744" s="3">
        <v>-7.7921045815976253E-3</v>
      </c>
    </row>
    <row r="745" spans="1:3" x14ac:dyDescent="0.3">
      <c r="A745" s="3">
        <v>720</v>
      </c>
      <c r="B745" s="3">
        <v>1.081697983028939</v>
      </c>
      <c r="C745" s="3">
        <v>-6.1979830289391469E-3</v>
      </c>
    </row>
    <row r="746" spans="1:3" x14ac:dyDescent="0.3">
      <c r="A746" s="3">
        <v>721</v>
      </c>
      <c r="B746" s="3">
        <v>1.0833885193590305</v>
      </c>
      <c r="C746" s="3">
        <v>1.2114806409695422E-3</v>
      </c>
    </row>
    <row r="747" spans="1:3" x14ac:dyDescent="0.3">
      <c r="A747" s="3">
        <v>722</v>
      </c>
      <c r="B747" s="3">
        <v>1.0907127872367248</v>
      </c>
      <c r="C747" s="3">
        <v>-7.9127872367248386E-3</v>
      </c>
    </row>
    <row r="748" spans="1:3" x14ac:dyDescent="0.3">
      <c r="A748" s="3">
        <v>723</v>
      </c>
      <c r="B748" s="3">
        <v>1.0892904752100203</v>
      </c>
      <c r="C748" s="3">
        <v>-7.6904752100204199E-3</v>
      </c>
    </row>
    <row r="749" spans="1:3" x14ac:dyDescent="0.3">
      <c r="A749" s="3">
        <v>724</v>
      </c>
      <c r="B749" s="3">
        <v>1.0883204048963808</v>
      </c>
      <c r="C749" s="3">
        <v>-9.5204048963808408E-3</v>
      </c>
    </row>
    <row r="750" spans="1:3" x14ac:dyDescent="0.3">
      <c r="A750" s="3">
        <v>725</v>
      </c>
      <c r="B750" s="3">
        <v>1.0860652448140982</v>
      </c>
      <c r="C750" s="3">
        <v>-6.8652448140982258E-3</v>
      </c>
    </row>
    <row r="751" spans="1:3" x14ac:dyDescent="0.3">
      <c r="A751" s="3">
        <v>726</v>
      </c>
      <c r="B751" s="3">
        <v>1.0863791526269413</v>
      </c>
      <c r="C751" s="3">
        <v>-3.6791526269412955E-3</v>
      </c>
    </row>
    <row r="752" spans="1:3" x14ac:dyDescent="0.3">
      <c r="A752" s="3">
        <v>727</v>
      </c>
      <c r="B752" s="3">
        <v>1.0891950457138517</v>
      </c>
      <c r="C752" s="3">
        <v>-3.6950457138518189E-3</v>
      </c>
    </row>
    <row r="753" spans="1:3" x14ac:dyDescent="0.3">
      <c r="A753" s="3">
        <v>728</v>
      </c>
      <c r="B753" s="3">
        <v>1.0914565977385615</v>
      </c>
      <c r="C753" s="3">
        <v>-4.6565977385615298E-3</v>
      </c>
    </row>
    <row r="754" spans="1:3" x14ac:dyDescent="0.3">
      <c r="A754" s="3">
        <v>729</v>
      </c>
      <c r="B754" s="3">
        <v>1.0925098694845965</v>
      </c>
      <c r="C754" s="3">
        <v>-4.0098694845964733E-3</v>
      </c>
    </row>
    <row r="755" spans="1:3" x14ac:dyDescent="0.3">
      <c r="A755" s="3">
        <v>730</v>
      </c>
      <c r="B755" s="3">
        <v>1.0938806618804986</v>
      </c>
      <c r="C755" s="3">
        <v>-2.3806618804986801E-3</v>
      </c>
    </row>
    <row r="756" spans="1:3" x14ac:dyDescent="0.3">
      <c r="A756" s="3">
        <v>731</v>
      </c>
      <c r="B756" s="3">
        <v>1.0962980561694686</v>
      </c>
      <c r="C756" s="3">
        <v>-7.3980561694686475E-3</v>
      </c>
    </row>
    <row r="757" spans="1:3" x14ac:dyDescent="0.3">
      <c r="A757" s="3">
        <v>732</v>
      </c>
      <c r="B757" s="3">
        <v>1.0942154129838637</v>
      </c>
      <c r="C757" s="3">
        <v>-7.5154129838637118E-3</v>
      </c>
    </row>
    <row r="758" spans="1:3" x14ac:dyDescent="0.3">
      <c r="A758" s="3">
        <v>733</v>
      </c>
      <c r="B758" s="3">
        <v>1.0924388961159734</v>
      </c>
      <c r="C758" s="3">
        <v>-8.0388961159734151E-3</v>
      </c>
    </row>
    <row r="759" spans="1:3" x14ac:dyDescent="0.3">
      <c r="A759" s="3">
        <v>734</v>
      </c>
      <c r="B759" s="3">
        <v>1.090583068563252</v>
      </c>
      <c r="C759" s="3">
        <v>-4.3830685632519906E-3</v>
      </c>
    </row>
    <row r="760" spans="1:3" x14ac:dyDescent="0.3">
      <c r="A760" s="3">
        <v>735</v>
      </c>
      <c r="B760" s="3">
        <v>1.0920242785066965</v>
      </c>
      <c r="C760" s="3">
        <v>6.8757214933035105E-3</v>
      </c>
    </row>
    <row r="761" spans="1:3" x14ac:dyDescent="0.3">
      <c r="A761" s="3">
        <v>736</v>
      </c>
      <c r="B761" s="3">
        <v>1.1022429164245118</v>
      </c>
      <c r="C761" s="3">
        <v>-1.1242916424511806E-2</v>
      </c>
    </row>
    <row r="762" spans="1:3" x14ac:dyDescent="0.3">
      <c r="A762" s="3">
        <v>737</v>
      </c>
      <c r="B762" s="3">
        <v>1.0959248472306948</v>
      </c>
      <c r="C762" s="3">
        <v>-1.6624847230694906E-2</v>
      </c>
    </row>
    <row r="763" spans="1:3" x14ac:dyDescent="0.3">
      <c r="A763" s="3">
        <v>738</v>
      </c>
      <c r="B763" s="3">
        <v>1.0864934800398498</v>
      </c>
      <c r="C763" s="3">
        <v>-1.3493480039849848E-2</v>
      </c>
    </row>
    <row r="764" spans="1:3" x14ac:dyDescent="0.3">
      <c r="A764" s="3">
        <v>739</v>
      </c>
      <c r="B764" s="3">
        <v>1.081394357906087</v>
      </c>
      <c r="C764" s="3">
        <v>-9.0943579060869251E-3</v>
      </c>
    </row>
    <row r="765" spans="1:3" x14ac:dyDescent="0.3">
      <c r="A765" s="3">
        <v>740</v>
      </c>
      <c r="B765" s="3">
        <v>1.0808138932530986</v>
      </c>
      <c r="C765" s="3">
        <v>-9.9138932530986601E-3</v>
      </c>
    </row>
    <row r="766" spans="1:3" x14ac:dyDescent="0.3">
      <c r="A766" s="3">
        <v>741</v>
      </c>
      <c r="B766" s="3">
        <v>1.0796860353014166</v>
      </c>
      <c r="C766" s="3">
        <v>-6.0860353014164925E-3</v>
      </c>
    </row>
    <row r="767" spans="1:3" x14ac:dyDescent="0.3">
      <c r="A767" s="3">
        <v>742</v>
      </c>
      <c r="B767" s="3">
        <v>1.0818535473826594</v>
      </c>
      <c r="C767" s="3">
        <v>-1.4353547382659482E-2</v>
      </c>
    </row>
    <row r="768" spans="1:3" x14ac:dyDescent="0.3">
      <c r="A768" s="3">
        <v>743</v>
      </c>
      <c r="B768" s="3">
        <v>1.0769552890206839</v>
      </c>
      <c r="C768" s="3">
        <v>-4.9552890206838729E-3</v>
      </c>
    </row>
    <row r="769" spans="1:3" x14ac:dyDescent="0.3">
      <c r="A769" s="3">
        <v>744</v>
      </c>
      <c r="B769" s="3">
        <v>1.0805573411924039</v>
      </c>
      <c r="C769" s="3">
        <v>-7.0573411924039764E-3</v>
      </c>
    </row>
    <row r="770" spans="1:3" x14ac:dyDescent="0.3">
      <c r="A770" s="3">
        <v>745</v>
      </c>
      <c r="B770" s="3">
        <v>1.0817761820716096</v>
      </c>
      <c r="C770" s="3">
        <v>-1.2876182071609676E-2</v>
      </c>
    </row>
    <row r="771" spans="1:3" x14ac:dyDescent="0.3">
      <c r="A771" s="3">
        <v>746</v>
      </c>
      <c r="B771" s="3">
        <v>1.0780809236880435</v>
      </c>
      <c r="C771" s="3">
        <v>-1.1280923688043565E-2</v>
      </c>
    </row>
    <row r="772" spans="1:3" x14ac:dyDescent="0.3">
      <c r="A772" s="3">
        <v>747</v>
      </c>
      <c r="B772" s="3">
        <v>1.0763792709363404</v>
      </c>
      <c r="C772" s="3">
        <v>-6.9792709363405425E-3</v>
      </c>
    </row>
    <row r="773" spans="1:3" x14ac:dyDescent="0.3">
      <c r="A773" s="3">
        <v>748</v>
      </c>
      <c r="B773" s="3">
        <v>1.0784644153168079</v>
      </c>
      <c r="C773" s="3">
        <v>-1.0264415316807884E-2</v>
      </c>
    </row>
    <row r="774" spans="1:3" x14ac:dyDescent="0.3">
      <c r="A774" s="3">
        <v>749</v>
      </c>
      <c r="B774" s="3">
        <v>1.0775065730669418</v>
      </c>
      <c r="C774" s="3">
        <v>-1.2906573066941762E-2</v>
      </c>
    </row>
    <row r="775" spans="1:3" x14ac:dyDescent="0.3">
      <c r="A775" s="3">
        <v>750</v>
      </c>
      <c r="B775" s="3">
        <v>1.0746080343687159</v>
      </c>
      <c r="C775" s="3">
        <v>-1.4508034368715839E-2</v>
      </c>
    </row>
    <row r="776" spans="1:3" x14ac:dyDescent="0.3">
      <c r="A776" s="3">
        <v>751</v>
      </c>
      <c r="B776" s="3">
        <v>1.0709790248745878</v>
      </c>
      <c r="C776" s="3">
        <v>-1.147902487458774E-2</v>
      </c>
    </row>
    <row r="777" spans="1:3" x14ac:dyDescent="0.3">
      <c r="A777" s="3">
        <v>752</v>
      </c>
      <c r="B777" s="3">
        <v>1.0704839849383176</v>
      </c>
      <c r="C777" s="3">
        <v>-1.5883984938317663E-2</v>
      </c>
    </row>
    <row r="778" spans="1:3" x14ac:dyDescent="0.3">
      <c r="A778" s="3">
        <v>753</v>
      </c>
      <c r="B778" s="3">
        <v>1.0665416234524268</v>
      </c>
      <c r="C778" s="3">
        <v>-5.8416234524267807E-3</v>
      </c>
    </row>
    <row r="779" spans="1:3" x14ac:dyDescent="0.3">
      <c r="A779" s="3">
        <v>754</v>
      </c>
      <c r="B779" s="3">
        <v>1.0714337677825154</v>
      </c>
      <c r="C779" s="3">
        <v>-1.3833767782515327E-2</v>
      </c>
    </row>
    <row r="780" spans="1:3" x14ac:dyDescent="0.3">
      <c r="A780" s="3">
        <v>755</v>
      </c>
      <c r="B780" s="3">
        <v>1.0689576281886954</v>
      </c>
      <c r="C780" s="3">
        <v>-2.4576281886954376E-3</v>
      </c>
    </row>
    <row r="781" spans="1:3" x14ac:dyDescent="0.3">
      <c r="A781" s="3">
        <v>756</v>
      </c>
      <c r="B781" s="3">
        <v>1.0761066000643089</v>
      </c>
      <c r="C781" s="3">
        <v>-1.6506600064308818E-2</v>
      </c>
    </row>
    <row r="782" spans="1:3" x14ac:dyDescent="0.3">
      <c r="A782" s="3">
        <v>757</v>
      </c>
      <c r="B782" s="3">
        <v>1.0705821935398891</v>
      </c>
      <c r="C782" s="3">
        <v>-7.3821935398892258E-3</v>
      </c>
    </row>
    <row r="783" spans="1:3" x14ac:dyDescent="0.3">
      <c r="A783" s="3">
        <v>758</v>
      </c>
      <c r="B783" s="3">
        <v>1.0734582214843511</v>
      </c>
      <c r="C783" s="3">
        <v>-5.6582214843510226E-3</v>
      </c>
    </row>
    <row r="784" spans="1:3" x14ac:dyDescent="0.3">
      <c r="A784" s="3">
        <v>759</v>
      </c>
      <c r="B784" s="3">
        <v>1.0771676533054722</v>
      </c>
      <c r="C784" s="3">
        <v>-2.2467653305472179E-2</v>
      </c>
    </row>
    <row r="785" spans="1:3" x14ac:dyDescent="0.3">
      <c r="A785" s="3">
        <v>760</v>
      </c>
      <c r="B785" s="3">
        <v>1.0666451123542642</v>
      </c>
      <c r="C785" s="3">
        <v>-1.2245112354264176E-2</v>
      </c>
    </row>
    <row r="786" spans="1:3" x14ac:dyDescent="0.3">
      <c r="A786" s="3">
        <v>761</v>
      </c>
      <c r="B786" s="3">
        <v>1.0663674390925071</v>
      </c>
      <c r="C786" s="3">
        <v>-8.3674390925070341E-3</v>
      </c>
    </row>
    <row r="787" spans="1:3" x14ac:dyDescent="0.3">
      <c r="A787" s="3">
        <v>762</v>
      </c>
      <c r="B787" s="3">
        <v>1.0692618091326285</v>
      </c>
      <c r="C787" s="3">
        <v>-4.9618091326284475E-3</v>
      </c>
    </row>
    <row r="788" spans="1:3" x14ac:dyDescent="0.3">
      <c r="A788" s="3">
        <v>763</v>
      </c>
      <c r="B788" s="3">
        <v>1.0743384205126276</v>
      </c>
      <c r="C788" s="3">
        <v>-1.4384205126276584E-3</v>
      </c>
    </row>
    <row r="789" spans="1:3" x14ac:dyDescent="0.3">
      <c r="A789" s="3">
        <v>764</v>
      </c>
      <c r="B789" s="3">
        <v>1.0812722489980502</v>
      </c>
      <c r="C789" s="3">
        <v>-8.0722489980502576E-3</v>
      </c>
    </row>
    <row r="790" spans="1:3" x14ac:dyDescent="0.3">
      <c r="A790" s="3">
        <v>765</v>
      </c>
      <c r="B790" s="3">
        <v>1.0815374162854938</v>
      </c>
      <c r="C790" s="3">
        <v>-2.4037416285493718E-2</v>
      </c>
    </row>
    <row r="791" spans="1:3" x14ac:dyDescent="0.3">
      <c r="A791" s="3">
        <v>766</v>
      </c>
      <c r="B791" s="3">
        <v>1.0689119446792394</v>
      </c>
      <c r="C791" s="3">
        <v>-8.411944679239447E-3</v>
      </c>
    </row>
    <row r="792" spans="1:3" x14ac:dyDescent="0.3">
      <c r="A792" s="3">
        <v>767</v>
      </c>
      <c r="B792" s="3">
        <v>1.0712809825341985</v>
      </c>
      <c r="C792" s="3">
        <v>-4.6809825341984634E-3</v>
      </c>
    </row>
    <row r="793" spans="1:3" x14ac:dyDescent="0.3">
      <c r="A793" s="3">
        <v>768</v>
      </c>
      <c r="B793" s="3">
        <v>1.0761950817969703</v>
      </c>
      <c r="C793" s="3">
        <v>-4.2950817969702459E-3</v>
      </c>
    </row>
    <row r="794" spans="1:3" x14ac:dyDescent="0.3">
      <c r="A794" s="3">
        <v>769</v>
      </c>
      <c r="B794" s="3">
        <v>1.0804744176705485</v>
      </c>
      <c r="C794" s="3">
        <v>-3.7744176705485355E-3</v>
      </c>
    </row>
    <row r="795" spans="1:3" x14ac:dyDescent="0.3">
      <c r="A795" s="3">
        <v>770</v>
      </c>
      <c r="B795" s="3">
        <v>1.0843494186248401</v>
      </c>
      <c r="C795" s="3">
        <v>1.150581375159776E-3</v>
      </c>
    </row>
    <row r="796" spans="1:3" x14ac:dyDescent="0.3">
      <c r="A796" s="3">
        <v>771</v>
      </c>
      <c r="B796" s="3">
        <v>1.0914399231061438</v>
      </c>
      <c r="C796" s="3">
        <v>-8.4399231061438318E-3</v>
      </c>
    </row>
    <row r="797" spans="1:3" x14ac:dyDescent="0.3">
      <c r="A797" s="3">
        <v>772</v>
      </c>
      <c r="B797" s="3">
        <v>1.0894538210588687</v>
      </c>
      <c r="C797" s="3">
        <v>-1.3553821058868598E-2</v>
      </c>
    </row>
    <row r="798" spans="1:3" x14ac:dyDescent="0.3">
      <c r="A798" s="3">
        <v>773</v>
      </c>
      <c r="B798" s="3">
        <v>1.08373688807887</v>
      </c>
      <c r="C798" s="3">
        <v>-4.1368880788701379E-3</v>
      </c>
    </row>
    <row r="799" spans="1:3" x14ac:dyDescent="0.3">
      <c r="A799" s="3">
        <v>774</v>
      </c>
      <c r="B799" s="3">
        <v>1.0866927825292441</v>
      </c>
      <c r="C799" s="3">
        <v>-2.3927825292440197E-3</v>
      </c>
    </row>
    <row r="800" spans="1:3" x14ac:dyDescent="0.3">
      <c r="A800" s="3">
        <v>775</v>
      </c>
      <c r="B800" s="3">
        <v>1.0904829145878985</v>
      </c>
      <c r="C800" s="3">
        <v>-6.182914587898436E-3</v>
      </c>
    </row>
    <row r="801" spans="1:3" x14ac:dyDescent="0.3">
      <c r="A801" s="3">
        <v>776</v>
      </c>
      <c r="B801" s="3">
        <v>1.0904959763832922</v>
      </c>
      <c r="C801" s="3">
        <v>-3.9597638329214035E-4</v>
      </c>
    </row>
    <row r="802" spans="1:3" x14ac:dyDescent="0.3">
      <c r="A802" s="3">
        <v>777</v>
      </c>
      <c r="B802" s="3">
        <v>1.0951604713488767</v>
      </c>
      <c r="C802" s="3">
        <v>-1.1260471348876644E-2</v>
      </c>
    </row>
    <row r="803" spans="1:3" x14ac:dyDescent="0.3">
      <c r="A803" s="3">
        <v>778</v>
      </c>
      <c r="B803" s="3">
        <v>1.0901904058866578</v>
      </c>
      <c r="C803" s="3">
        <v>-6.904058866579188E-4</v>
      </c>
    </row>
    <row r="804" spans="1:3" x14ac:dyDescent="0.3">
      <c r="A804" s="3">
        <v>779</v>
      </c>
      <c r="B804" s="3">
        <v>1.0946768257447583</v>
      </c>
      <c r="C804" s="3">
        <v>5.2317425524162076E-4</v>
      </c>
    </row>
    <row r="805" spans="1:3" x14ac:dyDescent="0.3">
      <c r="A805" s="3">
        <v>780</v>
      </c>
      <c r="B805" s="3">
        <v>1.0992764613736066</v>
      </c>
      <c r="C805" s="3">
        <v>-8.9764613736065257E-3</v>
      </c>
    </row>
    <row r="806" spans="1:3" x14ac:dyDescent="0.3">
      <c r="A806" s="3">
        <v>781</v>
      </c>
      <c r="B806" s="3">
        <v>1.0953516082517543</v>
      </c>
      <c r="C806" s="3">
        <v>-3.351608251754179E-3</v>
      </c>
    </row>
    <row r="807" spans="1:3" x14ac:dyDescent="0.3">
      <c r="A807" s="3">
        <v>782</v>
      </c>
      <c r="B807" s="3">
        <v>1.0967051701941581</v>
      </c>
      <c r="C807" s="3">
        <v>-7.00517019415825E-3</v>
      </c>
    </row>
    <row r="808" spans="1:3" x14ac:dyDescent="0.3">
      <c r="A808" s="3">
        <v>783</v>
      </c>
      <c r="B808" s="3">
        <v>1.0948601811525076</v>
      </c>
      <c r="C808" s="3">
        <v>-8.9601811525075181E-3</v>
      </c>
    </row>
    <row r="809" spans="1:3" x14ac:dyDescent="0.3">
      <c r="A809" s="3">
        <v>784</v>
      </c>
      <c r="B809" s="3">
        <v>1.0917977407843533</v>
      </c>
      <c r="C809" s="3">
        <v>-7.9774078435335127E-4</v>
      </c>
    </row>
    <row r="810" spans="1:3" x14ac:dyDescent="0.3">
      <c r="A810" s="3">
        <v>785</v>
      </c>
      <c r="B810" s="3">
        <v>1.0958887188604567</v>
      </c>
      <c r="C810" s="3">
        <v>3.0112811395432981E-3</v>
      </c>
    </row>
    <row r="811" spans="1:3" x14ac:dyDescent="0.3">
      <c r="A811" s="3">
        <v>786</v>
      </c>
      <c r="B811" s="3">
        <v>1.1022562561304459</v>
      </c>
      <c r="C811" s="3">
        <v>2.1437438695541822E-3</v>
      </c>
    </row>
    <row r="812" spans="1:3" x14ac:dyDescent="0.3">
      <c r="A812" s="3">
        <v>787</v>
      </c>
      <c r="B812" s="3">
        <v>1.1067014390477352</v>
      </c>
      <c r="C812" s="3">
        <v>-6.7014390477351249E-3</v>
      </c>
    </row>
    <row r="813" spans="1:3" x14ac:dyDescent="0.3">
      <c r="A813" s="3">
        <v>788</v>
      </c>
      <c r="B813" s="3">
        <v>1.1031781417397666</v>
      </c>
      <c r="C813" s="3">
        <v>-1.0578141739766567E-2</v>
      </c>
    </row>
    <row r="814" spans="1:3" x14ac:dyDescent="0.3">
      <c r="A814" s="3">
        <v>789</v>
      </c>
      <c r="B814" s="3">
        <v>1.0972146614785236</v>
      </c>
      <c r="C814" s="3">
        <v>-1.1466147852368103E-4</v>
      </c>
    </row>
    <row r="815" spans="1:3" x14ac:dyDescent="0.3">
      <c r="A815" s="3">
        <v>790</v>
      </c>
      <c r="B815" s="3">
        <v>1.1008131008132196</v>
      </c>
      <c r="C815" s="3">
        <v>-5.4131008132196623E-3</v>
      </c>
    </row>
    <row r="816" spans="1:3" x14ac:dyDescent="0.3">
      <c r="A816" s="3">
        <v>791</v>
      </c>
      <c r="B816" s="3">
        <v>1.0994584272286543</v>
      </c>
      <c r="C816" s="3">
        <v>-2.7584272286542699E-3</v>
      </c>
    </row>
    <row r="817" spans="1:3" x14ac:dyDescent="0.3">
      <c r="A817" s="3">
        <v>792</v>
      </c>
      <c r="B817" s="3">
        <v>1.1004991930003762</v>
      </c>
      <c r="C817" s="3">
        <v>-1.7991930003762313E-3</v>
      </c>
    </row>
    <row r="818" spans="1:3" x14ac:dyDescent="0.3">
      <c r="A818" s="3">
        <v>793</v>
      </c>
      <c r="B818" s="3">
        <v>1.1021112523772572</v>
      </c>
      <c r="C818" s="3">
        <v>1.9887476227429257E-3</v>
      </c>
    </row>
    <row r="819" spans="1:3" x14ac:dyDescent="0.3">
      <c r="A819" s="3">
        <v>794</v>
      </c>
      <c r="B819" s="3">
        <v>1.1064596162456761</v>
      </c>
      <c r="C819" s="3">
        <v>-9.2596162456761721E-3</v>
      </c>
    </row>
    <row r="820" spans="1:3" x14ac:dyDescent="0.3">
      <c r="A820" s="3">
        <v>795</v>
      </c>
      <c r="B820" s="3">
        <v>1.100925482852346</v>
      </c>
      <c r="C820" s="3">
        <v>3.0745171476540545E-3</v>
      </c>
    </row>
    <row r="821" spans="1:3" x14ac:dyDescent="0.3">
      <c r="A821" s="3">
        <v>796</v>
      </c>
      <c r="B821" s="3">
        <v>1.1063750252605788</v>
      </c>
      <c r="C821" s="3">
        <v>-3.6750252605788347E-3</v>
      </c>
    </row>
    <row r="822" spans="1:3" x14ac:dyDescent="0.3">
      <c r="A822" s="3">
        <v>797</v>
      </c>
      <c r="B822" s="3">
        <v>1.1053484329264118</v>
      </c>
      <c r="C822" s="3">
        <v>-3.3484329264117374E-3</v>
      </c>
    </row>
    <row r="823" spans="1:3" x14ac:dyDescent="0.3">
      <c r="A823" s="3">
        <v>798</v>
      </c>
      <c r="B823" s="3">
        <v>1.1047818638004383</v>
      </c>
      <c r="C823" s="3">
        <v>-7.2818638004383818E-3</v>
      </c>
    </row>
    <row r="824" spans="1:3" x14ac:dyDescent="0.3">
      <c r="A824" s="3">
        <v>799</v>
      </c>
      <c r="B824" s="3">
        <v>1.1011609137119784</v>
      </c>
      <c r="C824" s="3">
        <v>-1.2609137119783398E-3</v>
      </c>
    </row>
    <row r="825" spans="1:3" x14ac:dyDescent="0.3">
      <c r="A825" s="3">
        <v>800</v>
      </c>
      <c r="B825" s="3">
        <v>1.1030785435854933</v>
      </c>
      <c r="C825" s="3">
        <v>2.8214564145068177E-3</v>
      </c>
    </row>
    <row r="826" spans="1:3" x14ac:dyDescent="0.3">
      <c r="A826" s="3">
        <v>801</v>
      </c>
      <c r="B826" s="3">
        <v>1.1079105530580307</v>
      </c>
      <c r="C826" s="3">
        <v>-6.8105530580306883E-3</v>
      </c>
    </row>
    <row r="827" spans="1:3" x14ac:dyDescent="0.3">
      <c r="A827" s="3">
        <v>802</v>
      </c>
      <c r="B827" s="3">
        <v>1.1040669559947918</v>
      </c>
      <c r="C827" s="3">
        <v>-2.3669559947918639E-3</v>
      </c>
    </row>
    <row r="828" spans="1:3" x14ac:dyDescent="0.3">
      <c r="A828" s="3">
        <v>803</v>
      </c>
      <c r="B828" s="3">
        <v>1.1045361502508149</v>
      </c>
      <c r="C828" s="3">
        <v>-4.1361502508148185E-3</v>
      </c>
    </row>
    <row r="829" spans="1:3" x14ac:dyDescent="0.3">
      <c r="A829" s="3">
        <v>804</v>
      </c>
      <c r="B829" s="3">
        <v>1.1034923274631498</v>
      </c>
      <c r="C829" s="3">
        <v>-7.4923274631497616E-3</v>
      </c>
    </row>
    <row r="830" spans="1:3" x14ac:dyDescent="0.3">
      <c r="A830" s="3">
        <v>805</v>
      </c>
      <c r="B830" s="3">
        <v>1.0999501322384413</v>
      </c>
      <c r="C830" s="3">
        <v>-1.9501322384412045E-3</v>
      </c>
    </row>
    <row r="831" spans="1:3" x14ac:dyDescent="0.3">
      <c r="A831" s="3">
        <v>806</v>
      </c>
      <c r="B831" s="3">
        <v>1.1015463507145251</v>
      </c>
      <c r="C831" s="3">
        <v>-1.0146350714525187E-2</v>
      </c>
    </row>
    <row r="832" spans="1:3" x14ac:dyDescent="0.3">
      <c r="A832" s="3">
        <v>807</v>
      </c>
      <c r="B832" s="3">
        <v>1.0962440353438037</v>
      </c>
      <c r="C832" s="3">
        <v>-1.1444035343803671E-2</v>
      </c>
    </row>
    <row r="833" spans="1:3" x14ac:dyDescent="0.3">
      <c r="A833" s="3">
        <v>808</v>
      </c>
      <c r="B833" s="3">
        <v>1.0909178196666169</v>
      </c>
      <c r="C833" s="3">
        <v>-3.7178196666169949E-3</v>
      </c>
    </row>
    <row r="834" spans="1:3" x14ac:dyDescent="0.3">
      <c r="A834" s="3">
        <v>809</v>
      </c>
      <c r="B834" s="3">
        <v>1.0928296134187858</v>
      </c>
      <c r="C834" s="3">
        <v>-6.7296134187857515E-3</v>
      </c>
    </row>
    <row r="835" spans="1:3" x14ac:dyDescent="0.3">
      <c r="A835" s="3">
        <v>810</v>
      </c>
      <c r="B835" s="3">
        <v>1.0919516376748315</v>
      </c>
      <c r="C835" s="3">
        <v>-8.0516376748314133E-3</v>
      </c>
    </row>
    <row r="836" spans="1:3" x14ac:dyDescent="0.3">
      <c r="A836" s="3">
        <v>811</v>
      </c>
      <c r="B836" s="3">
        <v>1.0901792894650462</v>
      </c>
      <c r="C836" s="3">
        <v>-1.3279289465046196E-2</v>
      </c>
    </row>
    <row r="837" spans="1:3" x14ac:dyDescent="0.3">
      <c r="A837" s="3">
        <v>812</v>
      </c>
      <c r="B837" s="3">
        <v>1.0845436125436609</v>
      </c>
      <c r="C837" s="3">
        <v>-4.3436125436608908E-3</v>
      </c>
    </row>
    <row r="838" spans="1:3" x14ac:dyDescent="0.3">
      <c r="A838" s="3">
        <v>813</v>
      </c>
      <c r="B838" s="3">
        <v>1.0871780955966042</v>
      </c>
      <c r="C838" s="3">
        <v>-6.0780955966042161E-3</v>
      </c>
    </row>
    <row r="839" spans="1:3" x14ac:dyDescent="0.3">
      <c r="A839" s="3">
        <v>814</v>
      </c>
      <c r="B839" s="3">
        <v>1.0879110675873693</v>
      </c>
      <c r="C839" s="3">
        <v>-1.111106758736935E-2</v>
      </c>
    </row>
    <row r="840" spans="1:3" x14ac:dyDescent="0.3">
      <c r="A840" s="3">
        <v>815</v>
      </c>
      <c r="B840" s="3">
        <v>1.0844554087215399</v>
      </c>
      <c r="C840" s="3">
        <v>-9.6554087215399154E-3</v>
      </c>
    </row>
    <row r="841" spans="1:3" x14ac:dyDescent="0.3">
      <c r="A841" s="3">
        <v>816</v>
      </c>
      <c r="B841" s="3">
        <v>1.0828350120284507</v>
      </c>
      <c r="C841" s="3">
        <v>-1.0935012028450597E-2</v>
      </c>
    </row>
    <row r="842" spans="1:3" x14ac:dyDescent="0.3">
      <c r="A842" s="3">
        <v>817</v>
      </c>
      <c r="B842" s="3">
        <v>1.0804972063348526</v>
      </c>
      <c r="C842" s="3">
        <v>-8.097206334852558E-3</v>
      </c>
    </row>
    <row r="843" spans="1:3" x14ac:dyDescent="0.3">
      <c r="A843" s="3">
        <v>818</v>
      </c>
      <c r="B843" s="3">
        <v>1.0808912585641481</v>
      </c>
      <c r="C843" s="3">
        <v>-1.0391258564148131E-2</v>
      </c>
    </row>
    <row r="844" spans="1:3" x14ac:dyDescent="0.3">
      <c r="A844" s="3">
        <v>819</v>
      </c>
      <c r="B844" s="3">
        <v>1.0793646239039858</v>
      </c>
      <c r="C844" s="3">
        <v>-6.0646239039858774E-3</v>
      </c>
    </row>
    <row r="845" spans="1:3" x14ac:dyDescent="0.3">
      <c r="A845" s="3">
        <v>820</v>
      </c>
      <c r="B845" s="3">
        <v>1.0816111687595196</v>
      </c>
      <c r="C845" s="3">
        <v>-1.2811168759519598E-2</v>
      </c>
    </row>
    <row r="846" spans="1:3" x14ac:dyDescent="0.3">
      <c r="A846" s="3">
        <v>821</v>
      </c>
      <c r="B846" s="3">
        <v>1.07799994553997</v>
      </c>
      <c r="C846" s="3">
        <v>-1.8999455399699716E-3</v>
      </c>
    </row>
    <row r="847" spans="1:3" x14ac:dyDescent="0.3">
      <c r="A847" s="3">
        <v>822</v>
      </c>
      <c r="B847" s="3">
        <v>1.0838582694361343</v>
      </c>
      <c r="C847" s="3">
        <v>-1.3258269436134285E-2</v>
      </c>
    </row>
    <row r="848" spans="1:3" x14ac:dyDescent="0.3">
      <c r="A848" s="3">
        <v>823</v>
      </c>
      <c r="B848" s="3">
        <v>1.0794553289209694</v>
      </c>
      <c r="C848" s="3">
        <v>-8.2553289209694736E-3</v>
      </c>
    </row>
    <row r="849" spans="1:3" x14ac:dyDescent="0.3">
      <c r="A849" s="3">
        <v>824</v>
      </c>
      <c r="B849" s="3">
        <v>1.0799225778032102</v>
      </c>
      <c r="C849" s="3">
        <v>-1.0822577803210276E-2</v>
      </c>
    </row>
    <row r="850" spans="1:3" x14ac:dyDescent="0.3">
      <c r="A850" s="3">
        <v>825</v>
      </c>
      <c r="B850" s="3">
        <v>1.0782353763996027</v>
      </c>
      <c r="C850" s="3">
        <v>-8.5353763996025567E-3</v>
      </c>
    </row>
    <row r="851" spans="1:3" x14ac:dyDescent="0.3">
      <c r="A851" s="3">
        <v>826</v>
      </c>
      <c r="B851" s="3">
        <v>1.0787120742402134</v>
      </c>
      <c r="C851" s="3">
        <v>-6.120742402133672E-4</v>
      </c>
    </row>
    <row r="852" spans="1:3" x14ac:dyDescent="0.3">
      <c r="A852" s="3">
        <v>827</v>
      </c>
      <c r="B852" s="3">
        <v>1.0854692171708535</v>
      </c>
      <c r="C852" s="3">
        <v>-1.0769217170853551E-2</v>
      </c>
    </row>
    <row r="853" spans="1:3" x14ac:dyDescent="0.3">
      <c r="A853" s="3">
        <v>828</v>
      </c>
      <c r="B853" s="3">
        <v>1.0827582025384814</v>
      </c>
      <c r="C853" s="3">
        <v>-7.0582025384813285E-3</v>
      </c>
    </row>
    <row r="854" spans="1:3" x14ac:dyDescent="0.3">
      <c r="A854" s="3">
        <v>829</v>
      </c>
      <c r="B854" s="3">
        <v>1.08355297685004</v>
      </c>
      <c r="C854" s="3">
        <v>-4.4529768500400913E-3</v>
      </c>
    </row>
    <row r="855" spans="1:3" x14ac:dyDescent="0.3">
      <c r="A855" s="3">
        <v>830</v>
      </c>
      <c r="B855" s="3">
        <v>1.0862901150731992</v>
      </c>
      <c r="C855" s="3">
        <v>-3.1901150731992178E-3</v>
      </c>
    </row>
    <row r="856" spans="1:3" x14ac:dyDescent="0.3">
      <c r="A856" s="3">
        <v>831</v>
      </c>
      <c r="B856" s="3">
        <v>1.0895164571112828</v>
      </c>
      <c r="C856" s="3">
        <v>4.9835428887172739E-3</v>
      </c>
    </row>
    <row r="857" spans="1:3" x14ac:dyDescent="0.3">
      <c r="A857" s="3">
        <v>832</v>
      </c>
      <c r="B857" s="3">
        <v>1.0986957188100781</v>
      </c>
      <c r="C857" s="3">
        <v>-5.395718810078165E-3</v>
      </c>
    </row>
    <row r="858" spans="1:3" x14ac:dyDescent="0.3">
      <c r="A858" s="3">
        <v>833</v>
      </c>
      <c r="B858" s="3">
        <v>1.0977623326877572</v>
      </c>
      <c r="C858" s="3">
        <v>-5.5623326877571877E-3</v>
      </c>
    </row>
    <row r="859" spans="1:3" x14ac:dyDescent="0.3">
      <c r="A859" s="3">
        <v>834</v>
      </c>
      <c r="B859" s="3">
        <v>1.0968743521643527</v>
      </c>
      <c r="C859" s="3">
        <v>-5.2743521643527913E-3</v>
      </c>
    </row>
    <row r="860" spans="1:3" x14ac:dyDescent="0.3">
      <c r="A860" s="3">
        <v>835</v>
      </c>
      <c r="B860" s="3">
        <v>1.0963887611864522</v>
      </c>
      <c r="C860" s="3">
        <v>2.011238813547811E-3</v>
      </c>
    </row>
    <row r="861" spans="1:3" x14ac:dyDescent="0.3">
      <c r="A861" s="3">
        <v>836</v>
      </c>
      <c r="B861" s="3">
        <v>1.1018558119587236</v>
      </c>
      <c r="C861" s="3">
        <v>-6.2558119587237115E-3</v>
      </c>
    </row>
    <row r="862" spans="1:3" x14ac:dyDescent="0.3">
      <c r="A862" s="3">
        <v>837</v>
      </c>
      <c r="B862" s="3">
        <v>1.0996228847196641</v>
      </c>
      <c r="C862" s="3">
        <v>-1.0722884719664094E-2</v>
      </c>
    </row>
    <row r="863" spans="1:3" x14ac:dyDescent="0.3">
      <c r="A863" s="3">
        <v>838</v>
      </c>
      <c r="B863" s="3">
        <v>1.0942268073160157</v>
      </c>
      <c r="C863" s="3">
        <v>-3.8268073160157012E-3</v>
      </c>
    </row>
    <row r="864" spans="1:3" x14ac:dyDescent="0.3">
      <c r="A864" s="3">
        <v>839</v>
      </c>
      <c r="B864" s="3">
        <v>1.0954145222147085</v>
      </c>
      <c r="C864" s="3">
        <v>4.8547778529162144E-4</v>
      </c>
    </row>
    <row r="865" spans="1:3" x14ac:dyDescent="0.3">
      <c r="A865" s="3">
        <v>840</v>
      </c>
      <c r="B865" s="3">
        <v>1.0998419188574191</v>
      </c>
      <c r="C865" s="3">
        <v>-8.7419188574191509E-3</v>
      </c>
    </row>
    <row r="866" spans="1:3" x14ac:dyDescent="0.3">
      <c r="A866" s="3">
        <v>841</v>
      </c>
      <c r="B866" s="3">
        <v>1.0959969322414789</v>
      </c>
      <c r="C866" s="3">
        <v>-9.5969322414788394E-3</v>
      </c>
    </row>
    <row r="867" spans="1:3" x14ac:dyDescent="0.3">
      <c r="A867" s="3">
        <v>842</v>
      </c>
      <c r="B867" s="3">
        <v>1.0922037431668816</v>
      </c>
      <c r="C867" s="3">
        <v>-1.2037431668816545E-3</v>
      </c>
    </row>
    <row r="868" spans="1:3" x14ac:dyDescent="0.3">
      <c r="A868" s="3">
        <v>843</v>
      </c>
      <c r="B868" s="3">
        <v>1.0958901084131583</v>
      </c>
      <c r="C868" s="3">
        <v>-4.7901084131583005E-3</v>
      </c>
    </row>
    <row r="869" spans="1:3" x14ac:dyDescent="0.3">
      <c r="A869" s="3">
        <v>844</v>
      </c>
      <c r="B869" s="3">
        <v>1.0959833146250044</v>
      </c>
      <c r="C869" s="3">
        <v>-8.2833146250045342E-3</v>
      </c>
    </row>
    <row r="870" spans="1:3" x14ac:dyDescent="0.3">
      <c r="A870" s="3">
        <v>845</v>
      </c>
      <c r="B870" s="3">
        <v>1.0932492334177883</v>
      </c>
      <c r="C870" s="3">
        <v>-8.1492334177883929E-3</v>
      </c>
    </row>
    <row r="871" spans="1:3" x14ac:dyDescent="0.3">
      <c r="A871" s="3">
        <v>846</v>
      </c>
      <c r="B871" s="3">
        <v>1.0911488039576047</v>
      </c>
      <c r="C871" s="3">
        <v>-2.4488039576047171E-3</v>
      </c>
    </row>
    <row r="872" spans="1:3" x14ac:dyDescent="0.3">
      <c r="A872" s="3">
        <v>847</v>
      </c>
      <c r="B872" s="3">
        <v>1.0940367820552994</v>
      </c>
      <c r="C872" s="3">
        <v>2.663217944700591E-3</v>
      </c>
    </row>
    <row r="873" spans="1:3" x14ac:dyDescent="0.3">
      <c r="A873" s="3">
        <v>848</v>
      </c>
      <c r="B873" s="3">
        <v>1.1004805729941767</v>
      </c>
      <c r="C873" s="3">
        <v>-5.8057299417657582E-4</v>
      </c>
    </row>
    <row r="874" spans="1:3" x14ac:dyDescent="0.3">
      <c r="A874" s="3">
        <v>849</v>
      </c>
      <c r="B874" s="3">
        <v>1.1030763203011711</v>
      </c>
      <c r="C874" s="3">
        <v>-2.4763203011710644E-3</v>
      </c>
    </row>
    <row r="875" spans="1:3" x14ac:dyDescent="0.3">
      <c r="A875" s="3">
        <v>850</v>
      </c>
      <c r="B875" s="3">
        <v>1.1036481697274103</v>
      </c>
      <c r="C875" s="3">
        <v>9.1518302725897005E-3</v>
      </c>
    </row>
    <row r="876" spans="1:3" x14ac:dyDescent="0.3">
      <c r="A876" s="3">
        <v>851</v>
      </c>
      <c r="B876" s="3">
        <v>1.1134616389943184</v>
      </c>
      <c r="C876" s="3">
        <v>8.9383610056816831E-3</v>
      </c>
    </row>
    <row r="877" spans="1:3" x14ac:dyDescent="0.3">
      <c r="A877" s="3">
        <v>852</v>
      </c>
      <c r="B877" s="3">
        <v>1.1212160874715464</v>
      </c>
      <c r="C877" s="3">
        <v>1.4839125284535903E-3</v>
      </c>
    </row>
    <row r="878" spans="1:3" x14ac:dyDescent="0.3">
      <c r="A878" s="3">
        <v>853</v>
      </c>
      <c r="B878" s="3">
        <v>1.1214840338643932</v>
      </c>
      <c r="C878" s="3">
        <v>1.9159661356067392E-3</v>
      </c>
    </row>
    <row r="879" spans="1:3" x14ac:dyDescent="0.3">
      <c r="A879" s="3">
        <v>854</v>
      </c>
      <c r="B879" s="3">
        <v>1.1220478238849638</v>
      </c>
      <c r="C879" s="3">
        <v>5.5217611503621811E-4</v>
      </c>
    </row>
    <row r="880" spans="1:3" x14ac:dyDescent="0.3">
      <c r="A880" s="3">
        <v>855</v>
      </c>
      <c r="B880" s="3">
        <v>1.1214063906428031</v>
      </c>
      <c r="C880" s="3">
        <v>-1.6063906428032126E-3</v>
      </c>
    </row>
    <row r="881" spans="1:3" x14ac:dyDescent="0.3">
      <c r="A881" s="3">
        <v>856</v>
      </c>
      <c r="B881" s="3">
        <v>1.1191523422026812</v>
      </c>
      <c r="C881" s="3">
        <v>-6.352342202681216E-3</v>
      </c>
    </row>
    <row r="882" spans="1:3" x14ac:dyDescent="0.3">
      <c r="A882" s="3">
        <v>857</v>
      </c>
      <c r="B882" s="3">
        <v>1.1135149978180547</v>
      </c>
      <c r="C882" s="3">
        <v>-1.214997818054675E-3</v>
      </c>
    </row>
    <row r="883" spans="1:3" x14ac:dyDescent="0.3">
      <c r="A883" s="3">
        <v>858</v>
      </c>
      <c r="B883" s="3">
        <v>1.1130934324452699</v>
      </c>
      <c r="C883" s="3">
        <v>-6.8934324452698537E-3</v>
      </c>
    </row>
    <row r="884" spans="1:3" x14ac:dyDescent="0.3">
      <c r="A884" s="3">
        <v>859</v>
      </c>
      <c r="B884" s="3">
        <v>1.1081862809460055</v>
      </c>
      <c r="C884" s="3">
        <v>-2.886280946005515E-3</v>
      </c>
    </row>
    <row r="885" spans="1:3" x14ac:dyDescent="0.3">
      <c r="A885" s="3">
        <v>860</v>
      </c>
      <c r="B885" s="3">
        <v>1.107445527460112</v>
      </c>
      <c r="C885" s="3">
        <v>8.5447253988801819E-4</v>
      </c>
    </row>
    <row r="886" spans="1:3" x14ac:dyDescent="0.3">
      <c r="A886" s="3">
        <v>861</v>
      </c>
      <c r="B886" s="3">
        <v>1.1098556960750345</v>
      </c>
      <c r="C886" s="3">
        <v>-1.2555696075034595E-2</v>
      </c>
    </row>
    <row r="887" spans="1:3" x14ac:dyDescent="0.3">
      <c r="A887" s="3">
        <v>862</v>
      </c>
      <c r="B887" s="3">
        <v>1.101017577422031</v>
      </c>
      <c r="C887" s="3">
        <v>4.8242257796893284E-4</v>
      </c>
    </row>
    <row r="888" spans="1:3" x14ac:dyDescent="0.3">
      <c r="A888" s="3">
        <v>863</v>
      </c>
      <c r="B888" s="3">
        <v>1.1043647449962981</v>
      </c>
      <c r="C888" s="3">
        <v>-5.064744996298165E-3</v>
      </c>
    </row>
    <row r="889" spans="1:3" x14ac:dyDescent="0.3">
      <c r="A889" s="3">
        <v>864</v>
      </c>
      <c r="B889" s="3">
        <v>1.102607126045148</v>
      </c>
      <c r="C889" s="3">
        <v>-4.4071260451479244E-3</v>
      </c>
    </row>
    <row r="890" spans="1:3" x14ac:dyDescent="0.3">
      <c r="A890" s="3">
        <v>865</v>
      </c>
      <c r="B890" s="3">
        <v>1.1017163664163405</v>
      </c>
      <c r="C890" s="3">
        <v>-8.1163664163406146E-3</v>
      </c>
    </row>
    <row r="891" spans="1:3" x14ac:dyDescent="0.3">
      <c r="A891" s="3">
        <v>866</v>
      </c>
      <c r="B891" s="3">
        <v>1.0980138823587267</v>
      </c>
      <c r="C891" s="3">
        <v>-3.6138823587266167E-3</v>
      </c>
    </row>
    <row r="892" spans="1:3" x14ac:dyDescent="0.3">
      <c r="A892" s="3">
        <v>867</v>
      </c>
      <c r="B892" s="3">
        <v>1.0986444770898161</v>
      </c>
      <c r="C892" s="3">
        <v>2.355522910183927E-3</v>
      </c>
    </row>
    <row r="893" spans="1:3" x14ac:dyDescent="0.3">
      <c r="A893" s="3">
        <v>868</v>
      </c>
      <c r="B893" s="3">
        <v>1.1039545739556653</v>
      </c>
      <c r="C893" s="3">
        <v>-3.7545739556652524E-3</v>
      </c>
    </row>
    <row r="894" spans="1:3" x14ac:dyDescent="0.3">
      <c r="A894" s="3">
        <v>869</v>
      </c>
      <c r="B894" s="3">
        <v>1.1033295374353822</v>
      </c>
      <c r="C894" s="3">
        <v>-7.9295374353822723E-3</v>
      </c>
    </row>
    <row r="895" spans="1:3" x14ac:dyDescent="0.3">
      <c r="A895" s="3">
        <v>870</v>
      </c>
      <c r="B895" s="3">
        <v>1.0994670424554034</v>
      </c>
      <c r="C895" s="3">
        <v>-2.1670424554034451E-3</v>
      </c>
    </row>
    <row r="896" spans="1:3" x14ac:dyDescent="0.3">
      <c r="A896" s="3">
        <v>871</v>
      </c>
      <c r="B896" s="3">
        <v>1.1009817269623332</v>
      </c>
      <c r="C896" s="3">
        <v>-3.0817269623331089E-3</v>
      </c>
    </row>
    <row r="897" spans="1:3" x14ac:dyDescent="0.3">
      <c r="A897" s="3">
        <v>872</v>
      </c>
      <c r="B897" s="3">
        <v>1.1014695412245561</v>
      </c>
      <c r="C897" s="3">
        <v>-7.0695412245560529E-3</v>
      </c>
    </row>
    <row r="898" spans="1:3" x14ac:dyDescent="0.3">
      <c r="A898" s="3">
        <v>873</v>
      </c>
      <c r="B898" s="3">
        <v>1.0986564272430486</v>
      </c>
      <c r="C898" s="3">
        <v>-8.2564272430485364E-3</v>
      </c>
    </row>
    <row r="899" spans="1:3" x14ac:dyDescent="0.3">
      <c r="A899" s="3">
        <v>874</v>
      </c>
      <c r="B899" s="3">
        <v>1.0954298072944246</v>
      </c>
      <c r="C899" s="3">
        <v>-5.0298072944245931E-3</v>
      </c>
    </row>
    <row r="900" spans="1:3" x14ac:dyDescent="0.3">
      <c r="A900" s="3">
        <v>875</v>
      </c>
      <c r="B900" s="3">
        <v>1.095418690872813</v>
      </c>
      <c r="C900" s="3">
        <v>-8.0186908728130391E-3</v>
      </c>
    </row>
    <row r="901" spans="1:3" x14ac:dyDescent="0.3">
      <c r="A901" s="3">
        <v>876</v>
      </c>
      <c r="B901" s="3">
        <v>1.0930060210630279</v>
      </c>
      <c r="C901" s="3">
        <v>-5.9060210630279553E-3</v>
      </c>
    </row>
    <row r="902" spans="1:3" x14ac:dyDescent="0.3">
      <c r="A902" s="3">
        <v>877</v>
      </c>
      <c r="B902" s="3">
        <v>1.0927564167658406</v>
      </c>
      <c r="C902" s="3">
        <v>-6.2564167658405445E-3</v>
      </c>
    </row>
    <row r="903" spans="1:3" x14ac:dyDescent="0.3">
      <c r="A903" s="3">
        <v>878</v>
      </c>
      <c r="B903" s="3">
        <v>1.0922730490722627</v>
      </c>
      <c r="C903" s="3">
        <v>-3.1730490722627902E-3</v>
      </c>
    </row>
    <row r="904" spans="1:3" x14ac:dyDescent="0.3">
      <c r="A904" s="3">
        <v>879</v>
      </c>
      <c r="B904" s="3">
        <v>1.0943623621108347</v>
      </c>
      <c r="C904" s="3">
        <v>-9.9623621108346772E-3</v>
      </c>
    </row>
    <row r="905" spans="1:3" x14ac:dyDescent="0.3">
      <c r="A905" s="3">
        <v>880</v>
      </c>
      <c r="B905" s="3">
        <v>1.0905897384162191</v>
      </c>
      <c r="C905" s="3">
        <v>-4.6897384162190026E-3</v>
      </c>
    </row>
    <row r="906" spans="1:3" x14ac:dyDescent="0.3">
      <c r="A906" s="3">
        <v>881</v>
      </c>
      <c r="B906" s="3">
        <v>1.0917830115257179</v>
      </c>
      <c r="C906" s="3">
        <v>-1.0883011525717912E-2</v>
      </c>
    </row>
    <row r="907" spans="1:3" x14ac:dyDescent="0.3">
      <c r="A907" s="3">
        <v>882</v>
      </c>
      <c r="B907" s="3">
        <v>1.0877660638341802</v>
      </c>
      <c r="C907" s="3">
        <v>-7.7660638341801036E-3</v>
      </c>
    </row>
    <row r="908" spans="1:3" x14ac:dyDescent="0.3">
      <c r="A908" s="3">
        <v>883</v>
      </c>
      <c r="B908" s="3">
        <v>1.0870283673642303</v>
      </c>
      <c r="C908" s="3">
        <v>-5.3283673642301466E-3</v>
      </c>
    </row>
    <row r="909" spans="1:3" x14ac:dyDescent="0.3">
      <c r="A909" s="3">
        <v>884</v>
      </c>
      <c r="B909" s="3">
        <v>1.0883930457282458</v>
      </c>
      <c r="C909" s="3">
        <v>-6.9304572824591126E-4</v>
      </c>
    </row>
    <row r="910" spans="1:3" x14ac:dyDescent="0.3">
      <c r="A910" s="3">
        <v>885</v>
      </c>
      <c r="B910" s="3">
        <v>1.0932231098270009</v>
      </c>
      <c r="C910" s="3">
        <v>-8.2310982700084523E-4</v>
      </c>
    </row>
    <row r="911" spans="1:3" x14ac:dyDescent="0.3">
      <c r="A911" s="3">
        <v>886</v>
      </c>
      <c r="B911" s="3">
        <v>1.0970196338280818</v>
      </c>
      <c r="C911" s="3">
        <v>-1.29196338280817E-2</v>
      </c>
    </row>
    <row r="912" spans="1:3" x14ac:dyDescent="0.3">
      <c r="A912" s="3">
        <v>887</v>
      </c>
      <c r="B912" s="3">
        <v>1.0903576424830701</v>
      </c>
      <c r="C912" s="3">
        <v>-1.3057642483070175E-2</v>
      </c>
    </row>
    <row r="913" spans="1:3" x14ac:dyDescent="0.3">
      <c r="A913" s="3">
        <v>888</v>
      </c>
      <c r="B913" s="3">
        <v>1.084865857672713</v>
      </c>
      <c r="C913" s="3">
        <v>-5.4658576727131258E-3</v>
      </c>
    </row>
    <row r="914" spans="1:3" x14ac:dyDescent="0.3">
      <c r="A914" s="3">
        <v>889</v>
      </c>
      <c r="B914" s="3">
        <v>1.0865358286228226</v>
      </c>
      <c r="C914" s="3">
        <v>-1.4535828622822544E-2</v>
      </c>
    </row>
    <row r="915" spans="1:3" x14ac:dyDescent="0.3">
      <c r="A915" s="3">
        <v>890</v>
      </c>
      <c r="B915" s="3">
        <v>1.0805904125466987</v>
      </c>
      <c r="C915" s="3">
        <v>-7.8904125466987551E-3</v>
      </c>
    </row>
    <row r="916" spans="1:3" x14ac:dyDescent="0.3">
      <c r="A916" s="3">
        <v>891</v>
      </c>
      <c r="B916" s="3">
        <v>1.0811328034556669</v>
      </c>
      <c r="C916" s="3">
        <v>-1.1232803455666796E-2</v>
      </c>
    </row>
    <row r="917" spans="1:3" x14ac:dyDescent="0.3">
      <c r="A917" s="3">
        <v>892</v>
      </c>
      <c r="B917" s="3">
        <v>1.0788829236736497</v>
      </c>
      <c r="C917" s="3">
        <v>-8.9829236736496121E-3</v>
      </c>
    </row>
    <row r="918" spans="1:3" x14ac:dyDescent="0.3">
      <c r="A918" s="3">
        <v>893</v>
      </c>
      <c r="B918" s="3">
        <v>1.0788751421785214</v>
      </c>
      <c r="C918" s="3">
        <v>-4.0751421785214514E-3</v>
      </c>
    </row>
    <row r="919" spans="1:3" x14ac:dyDescent="0.3">
      <c r="A919" s="3">
        <v>894</v>
      </c>
      <c r="B919" s="3">
        <v>1.0828158362011704</v>
      </c>
      <c r="C919" s="3">
        <v>-7.6158362011704561E-3</v>
      </c>
    </row>
    <row r="920" spans="1:3" x14ac:dyDescent="0.3">
      <c r="A920" s="3">
        <v>895</v>
      </c>
      <c r="B920" s="3">
        <v>1.083151143125616</v>
      </c>
      <c r="C920" s="3">
        <v>-1.0351143125616025E-2</v>
      </c>
    </row>
    <row r="921" spans="1:3" x14ac:dyDescent="0.3">
      <c r="A921" s="3">
        <v>896</v>
      </c>
      <c r="B921" s="3">
        <v>1.0812221189199491</v>
      </c>
      <c r="C921" s="3">
        <v>-1.7122118919949081E-2</v>
      </c>
    </row>
    <row r="922" spans="1:3" x14ac:dyDescent="0.3">
      <c r="A922" s="3">
        <v>897</v>
      </c>
      <c r="B922" s="3">
        <v>1.0742187066186055</v>
      </c>
      <c r="C922" s="3">
        <v>-8.7187066186056317E-3</v>
      </c>
    </row>
    <row r="923" spans="1:3" x14ac:dyDescent="0.3">
      <c r="A923" s="3">
        <v>898</v>
      </c>
      <c r="B923" s="3">
        <v>1.0753204409794994</v>
      </c>
      <c r="C923" s="3">
        <v>-6.3204409794994643E-3</v>
      </c>
    </row>
    <row r="924" spans="1:3" x14ac:dyDescent="0.3">
      <c r="A924" s="3">
        <v>899</v>
      </c>
      <c r="B924" s="3">
        <v>1.0781391131718128</v>
      </c>
      <c r="C924" s="3">
        <v>-1.0439113171812675E-2</v>
      </c>
    </row>
    <row r="925" spans="1:3" x14ac:dyDescent="0.3">
      <c r="A925" s="3">
        <v>900</v>
      </c>
      <c r="B925" s="3">
        <v>1.0771033497898164</v>
      </c>
      <c r="C925" s="3">
        <v>-1.1203349789816297E-2</v>
      </c>
    </row>
    <row r="926" spans="1:3" x14ac:dyDescent="0.3">
      <c r="A926" s="3">
        <v>901</v>
      </c>
      <c r="B926" s="3">
        <v>1.0756521350669215</v>
      </c>
      <c r="C926" s="3">
        <v>-9.852135066921397E-3</v>
      </c>
    </row>
    <row r="927" spans="1:3" x14ac:dyDescent="0.3">
      <c r="A927" s="3">
        <v>902</v>
      </c>
      <c r="B927" s="3">
        <v>1.0755667103502033</v>
      </c>
      <c r="C927" s="3">
        <v>-1.0366710350203423E-2</v>
      </c>
    </row>
    <row r="928" spans="1:3" x14ac:dyDescent="0.3">
      <c r="A928" s="3">
        <v>903</v>
      </c>
      <c r="B928" s="3">
        <v>1.0750838984777058</v>
      </c>
      <c r="C928" s="3">
        <v>-1.608389847770586E-2</v>
      </c>
    </row>
    <row r="929" spans="1:3" x14ac:dyDescent="0.3">
      <c r="A929" s="3">
        <v>904</v>
      </c>
      <c r="B929" s="3">
        <v>1.0700960467409084</v>
      </c>
      <c r="C929" s="3">
        <v>-1.3096046740908474E-2</v>
      </c>
    </row>
    <row r="930" spans="1:3" x14ac:dyDescent="0.3">
      <c r="A930" s="3">
        <v>905</v>
      </c>
      <c r="B930" s="3">
        <v>1.0684703697475533</v>
      </c>
      <c r="C930" s="3">
        <v>-1.8470369747553228E-2</v>
      </c>
    </row>
    <row r="931" spans="1:3" x14ac:dyDescent="0.3">
      <c r="A931" s="3">
        <v>906</v>
      </c>
      <c r="B931" s="3">
        <v>1.062835248647249</v>
      </c>
      <c r="C931" s="3">
        <v>-6.9352486472489261E-3</v>
      </c>
    </row>
    <row r="932" spans="1:3" x14ac:dyDescent="0.3">
      <c r="A932" s="3">
        <v>907</v>
      </c>
      <c r="B932" s="3">
        <v>1.0675607122020059</v>
      </c>
      <c r="C932" s="3">
        <v>-1.056071220200594E-2</v>
      </c>
    </row>
    <row r="933" spans="1:3" x14ac:dyDescent="0.3">
      <c r="A933" s="3">
        <v>908</v>
      </c>
      <c r="B933" s="3">
        <v>1.0684617545208044</v>
      </c>
      <c r="C933" s="3">
        <v>-2.0861754520804299E-2</v>
      </c>
    </row>
    <row r="934" spans="1:3" x14ac:dyDescent="0.3">
      <c r="A934" s="3">
        <v>909</v>
      </c>
      <c r="B934" s="3">
        <v>1.0609051127994209</v>
      </c>
      <c r="C934" s="3">
        <v>-1.4405112799420916E-2</v>
      </c>
    </row>
    <row r="935" spans="1:3" x14ac:dyDescent="0.3">
      <c r="A935" s="3">
        <v>910</v>
      </c>
      <c r="B935" s="3">
        <v>1.0599943436117123</v>
      </c>
      <c r="C935" s="3">
        <v>-9.6943436117122861E-3</v>
      </c>
    </row>
    <row r="936" spans="1:3" x14ac:dyDescent="0.3">
      <c r="A936" s="3">
        <v>911</v>
      </c>
      <c r="B936" s="3">
        <v>1.0630473350214968</v>
      </c>
      <c r="C936" s="3">
        <v>-8.2473350214968821E-3</v>
      </c>
    </row>
    <row r="937" spans="1:3" x14ac:dyDescent="0.3">
      <c r="A937" s="3">
        <v>912</v>
      </c>
      <c r="B937" s="3">
        <v>1.0666769003367056</v>
      </c>
      <c r="C937" s="3">
        <v>-8.0769003367056058E-3</v>
      </c>
    </row>
    <row r="938" spans="1:3" x14ac:dyDescent="0.3">
      <c r="A938" s="3">
        <v>913</v>
      </c>
      <c r="B938" s="3">
        <v>1.0697454547367466</v>
      </c>
      <c r="C938" s="3">
        <v>-1.3245454736746654E-2</v>
      </c>
    </row>
    <row r="939" spans="1:3" x14ac:dyDescent="0.3">
      <c r="A939" s="3">
        <v>914</v>
      </c>
      <c r="B939" s="3">
        <v>1.0680671464704283</v>
      </c>
      <c r="C939" s="3">
        <v>-7.76714647042831E-3</v>
      </c>
    </row>
    <row r="940" spans="1:3" x14ac:dyDescent="0.3">
      <c r="A940" s="3">
        <v>915</v>
      </c>
      <c r="B940" s="3">
        <v>1.07111735877481</v>
      </c>
      <c r="C940" s="3">
        <v>-9.4173587748098697E-3</v>
      </c>
    </row>
    <row r="941" spans="1:3" x14ac:dyDescent="0.3">
      <c r="A941" s="3">
        <v>916</v>
      </c>
      <c r="B941" s="3">
        <v>1.0722538319532409</v>
      </c>
      <c r="C941" s="3">
        <v>-1.9653831953240886E-2</v>
      </c>
    </row>
    <row r="942" spans="1:3" x14ac:dyDescent="0.3">
      <c r="A942" s="3">
        <v>917</v>
      </c>
      <c r="B942" s="3">
        <v>1.0649392909444564</v>
      </c>
      <c r="C942" s="3">
        <v>-1.403929094445644E-2</v>
      </c>
    </row>
    <row r="943" spans="1:3" x14ac:dyDescent="0.3">
      <c r="A943" s="3">
        <v>918</v>
      </c>
      <c r="B943" s="3">
        <v>1.0635468215264117</v>
      </c>
      <c r="C943" s="3">
        <v>-7.7468215264115958E-3</v>
      </c>
    </row>
    <row r="944" spans="1:3" x14ac:dyDescent="0.3">
      <c r="A944" s="3">
        <v>919</v>
      </c>
      <c r="B944" s="3">
        <v>1.0674827910698756</v>
      </c>
      <c r="C944" s="3">
        <v>-9.9827910698755407E-3</v>
      </c>
    </row>
    <row r="945" spans="1:3" x14ac:dyDescent="0.3">
      <c r="A945" s="3">
        <v>920</v>
      </c>
      <c r="B945" s="3">
        <v>1.0688635882452284</v>
      </c>
      <c r="C945" s="3">
        <v>-1.5363588245228321E-2</v>
      </c>
    </row>
    <row r="946" spans="1:3" x14ac:dyDescent="0.3">
      <c r="A946" s="3">
        <v>921</v>
      </c>
      <c r="B946" s="3">
        <v>1.0656514196447</v>
      </c>
      <c r="C946" s="3">
        <v>-7.7514196446999417E-3</v>
      </c>
    </row>
    <row r="947" spans="1:3" x14ac:dyDescent="0.3">
      <c r="A947" s="3">
        <v>922</v>
      </c>
      <c r="B947" s="3">
        <v>1.0691788856107731</v>
      </c>
      <c r="C947" s="3">
        <v>-9.8788856107732137E-3</v>
      </c>
    </row>
    <row r="948" spans="1:3" x14ac:dyDescent="0.3">
      <c r="A948" s="3">
        <v>923</v>
      </c>
      <c r="B948" s="3">
        <v>1.0703170262524455</v>
      </c>
      <c r="C948" s="3">
        <v>-3.5170262524455431E-3</v>
      </c>
    </row>
    <row r="949" spans="1:3" x14ac:dyDescent="0.3">
      <c r="A949" s="3">
        <v>924</v>
      </c>
      <c r="B949" s="3">
        <v>1.0763525915244725</v>
      </c>
      <c r="C949" s="3">
        <v>-1.7552591524472527E-2</v>
      </c>
    </row>
    <row r="950" spans="1:3" x14ac:dyDescent="0.3">
      <c r="A950" s="3">
        <v>925</v>
      </c>
      <c r="B950" s="3">
        <v>1.0699396486555672</v>
      </c>
      <c r="C950" s="3">
        <v>-1.3639648655567216E-2</v>
      </c>
    </row>
    <row r="951" spans="1:3" x14ac:dyDescent="0.3">
      <c r="A951" s="3">
        <v>926</v>
      </c>
      <c r="B951" s="3">
        <v>1.067906857637523</v>
      </c>
      <c r="C951" s="3">
        <v>-1.1906857637522972E-2</v>
      </c>
    </row>
    <row r="952" spans="1:3" x14ac:dyDescent="0.3">
      <c r="A952" s="3">
        <v>927</v>
      </c>
      <c r="B952" s="3">
        <v>1.0676586428930372</v>
      </c>
      <c r="C952" s="3">
        <v>-1.1258642893037241E-2</v>
      </c>
    </row>
    <row r="953" spans="1:3" x14ac:dyDescent="0.3">
      <c r="A953" s="3">
        <v>928</v>
      </c>
      <c r="B953" s="3">
        <v>1.0679794984693876</v>
      </c>
      <c r="C953" s="3">
        <v>-6.6794984693876458E-3</v>
      </c>
    </row>
    <row r="954" spans="1:3" x14ac:dyDescent="0.3">
      <c r="A954" s="3">
        <v>929</v>
      </c>
      <c r="B954" s="3">
        <v>1.0719213041341977</v>
      </c>
      <c r="C954" s="3">
        <v>-1.4321304134197632E-2</v>
      </c>
    </row>
    <row r="955" spans="1:3" x14ac:dyDescent="0.3">
      <c r="A955" s="3">
        <v>930</v>
      </c>
      <c r="B955" s="3">
        <v>1.0689592956519374</v>
      </c>
      <c r="C955" s="3">
        <v>-1.2159295651937407E-2</v>
      </c>
    </row>
    <row r="956" spans="1:3" x14ac:dyDescent="0.3">
      <c r="A956" s="3">
        <v>931</v>
      </c>
      <c r="B956" s="3">
        <v>1.0683056343460038</v>
      </c>
      <c r="C956" s="3">
        <v>-6.3056343460037301E-3</v>
      </c>
    </row>
    <row r="957" spans="1:3" x14ac:dyDescent="0.3">
      <c r="A957" s="3">
        <v>932</v>
      </c>
      <c r="B957" s="3">
        <v>1.0724853720653089</v>
      </c>
      <c r="C957" s="3">
        <v>4.1462793469104753E-4</v>
      </c>
    </row>
    <row r="958" spans="1:3" x14ac:dyDescent="0.3">
      <c r="A958" s="3">
        <v>933</v>
      </c>
      <c r="B958" s="3">
        <v>1.0812658570556235</v>
      </c>
      <c r="C958" s="3">
        <v>-9.7658570556236057E-3</v>
      </c>
    </row>
    <row r="959" spans="1:3" x14ac:dyDescent="0.3">
      <c r="A959" s="3">
        <v>934</v>
      </c>
      <c r="B959" s="3">
        <v>1.0801702367266155</v>
      </c>
      <c r="C959" s="3">
        <v>-1.0270236726615423E-2</v>
      </c>
    </row>
    <row r="960" spans="1:3" x14ac:dyDescent="0.3">
      <c r="A960" s="3">
        <v>935</v>
      </c>
      <c r="B960" s="3">
        <v>1.0788795887471663</v>
      </c>
      <c r="C960" s="3">
        <v>-8.1795887471662887E-3</v>
      </c>
    </row>
    <row r="961" spans="1:3" x14ac:dyDescent="0.3">
      <c r="A961" s="3">
        <v>936</v>
      </c>
      <c r="B961" s="3">
        <v>1.079518520794464</v>
      </c>
      <c r="C961" s="3">
        <v>-1.2918520794463983E-2</v>
      </c>
    </row>
    <row r="962" spans="1:3" x14ac:dyDescent="0.3">
      <c r="A962" s="3">
        <v>937</v>
      </c>
      <c r="B962" s="3">
        <v>1.0762234286720802</v>
      </c>
      <c r="C962" s="3">
        <v>-8.1234286720801574E-3</v>
      </c>
    </row>
    <row r="963" spans="1:3" x14ac:dyDescent="0.3">
      <c r="A963" s="3">
        <v>938</v>
      </c>
      <c r="B963" s="3">
        <v>1.0774183692448207</v>
      </c>
      <c r="C963" s="3">
        <v>-7.7183692448206109E-3</v>
      </c>
    </row>
    <row r="964" spans="1:3" x14ac:dyDescent="0.3">
      <c r="A964" s="3">
        <v>939</v>
      </c>
      <c r="B964" s="3">
        <v>1.0787092951348105</v>
      </c>
      <c r="C964" s="3">
        <v>9.1907048651895806E-3</v>
      </c>
    </row>
    <row r="965" spans="1:3" x14ac:dyDescent="0.3">
      <c r="A965" s="3">
        <v>940</v>
      </c>
      <c r="B965" s="3">
        <v>1.0933506052161515</v>
      </c>
      <c r="C965" s="3">
        <v>-8.7506052161514525E-3</v>
      </c>
    </row>
    <row r="966" spans="1:3" x14ac:dyDescent="0.3">
      <c r="A966" s="3">
        <v>941</v>
      </c>
      <c r="B966" s="3">
        <v>1.090747248143721</v>
      </c>
      <c r="C966" s="3">
        <v>-5.7472481437210732E-3</v>
      </c>
    </row>
    <row r="967" spans="1:3" x14ac:dyDescent="0.3">
      <c r="A967" s="3">
        <v>942</v>
      </c>
      <c r="B967" s="3">
        <v>1.0910597664038628</v>
      </c>
      <c r="C967" s="3">
        <v>-3.5976640386281566E-4</v>
      </c>
    </row>
    <row r="968" spans="1:3" x14ac:dyDescent="0.3">
      <c r="A968" s="3">
        <v>943</v>
      </c>
      <c r="B968" s="3">
        <v>1.0956449506846158</v>
      </c>
      <c r="C968" s="3">
        <v>-1.8449506846156538E-3</v>
      </c>
    </row>
    <row r="969" spans="1:3" x14ac:dyDescent="0.3">
      <c r="A969" s="3">
        <v>944</v>
      </c>
      <c r="B969" s="3">
        <v>1.0981538837221905</v>
      </c>
      <c r="C969" s="3">
        <v>-7.2538837221904906E-3</v>
      </c>
    </row>
    <row r="970" spans="1:3" x14ac:dyDescent="0.3">
      <c r="A970" s="3">
        <v>945</v>
      </c>
      <c r="B970" s="3">
        <v>1.0958302514661471</v>
      </c>
      <c r="C970" s="3">
        <v>-7.1302514661470973E-3</v>
      </c>
    </row>
    <row r="971" spans="1:3" x14ac:dyDescent="0.3">
      <c r="A971" s="3">
        <v>946</v>
      </c>
      <c r="B971" s="3">
        <v>1.0940529008666364</v>
      </c>
      <c r="C971" s="3">
        <v>-3.6529008666363882E-3</v>
      </c>
    </row>
    <row r="972" spans="1:3" x14ac:dyDescent="0.3">
      <c r="A972" s="3">
        <v>947</v>
      </c>
      <c r="B972" s="3">
        <v>1.095413966393628</v>
      </c>
      <c r="C972" s="3">
        <v>-1.5139663936278858E-3</v>
      </c>
    </row>
    <row r="973" spans="1:3" x14ac:dyDescent="0.3">
      <c r="A973" s="3">
        <v>948</v>
      </c>
      <c r="B973" s="3">
        <v>1.0982334723175624</v>
      </c>
      <c r="C973" s="3">
        <v>-2.9334723175624688E-3</v>
      </c>
    </row>
    <row r="974" spans="1:3" x14ac:dyDescent="0.3">
      <c r="A974" s="3">
        <v>949</v>
      </c>
      <c r="B974" s="3">
        <v>1.0993691117643722</v>
      </c>
      <c r="C974" s="3">
        <v>-3.6911176437226523E-4</v>
      </c>
    </row>
    <row r="975" spans="1:3" x14ac:dyDescent="0.3">
      <c r="A975" s="3">
        <v>950</v>
      </c>
      <c r="B975" s="3">
        <v>1.1023486286106714</v>
      </c>
      <c r="C975" s="3">
        <v>-5.5486286106714022E-3</v>
      </c>
    </row>
    <row r="976" spans="1:3" x14ac:dyDescent="0.3">
      <c r="A976" s="3">
        <v>951</v>
      </c>
      <c r="B976" s="3">
        <v>1.1005896201068199</v>
      </c>
      <c r="C976" s="3">
        <v>-1.198962010681992E-2</v>
      </c>
    </row>
    <row r="977" spans="1:3" x14ac:dyDescent="0.3">
      <c r="A977" s="3">
        <v>952</v>
      </c>
      <c r="B977" s="3">
        <v>1.0939888752615206</v>
      </c>
      <c r="C977" s="3">
        <v>-5.8888752615204876E-3</v>
      </c>
    </row>
    <row r="978" spans="1:3" x14ac:dyDescent="0.3">
      <c r="A978" s="3">
        <v>953</v>
      </c>
      <c r="B978" s="3">
        <v>1.0935639749622525</v>
      </c>
      <c r="C978" s="3">
        <v>-9.963974962252653E-3</v>
      </c>
    </row>
    <row r="979" spans="1:3" x14ac:dyDescent="0.3">
      <c r="A979" s="3">
        <v>954</v>
      </c>
      <c r="B979" s="3">
        <v>1.0899435806948734</v>
      </c>
      <c r="C979" s="3">
        <v>-1.04435806948735E-2</v>
      </c>
    </row>
    <row r="980" spans="1:3" x14ac:dyDescent="0.3">
      <c r="A980" s="3">
        <v>955</v>
      </c>
      <c r="B980" s="3">
        <v>1.0866337593138538</v>
      </c>
      <c r="C980" s="3">
        <v>-1.0433759313853708E-2</v>
      </c>
    </row>
    <row r="981" spans="1:3" x14ac:dyDescent="0.3">
      <c r="A981" s="3">
        <v>956</v>
      </c>
      <c r="B981" s="3">
        <v>1.0839684281909383</v>
      </c>
      <c r="C981" s="3">
        <v>-4.7684281909383675E-3</v>
      </c>
    </row>
    <row r="982" spans="1:3" x14ac:dyDescent="0.3">
      <c r="A982" s="3">
        <v>957</v>
      </c>
      <c r="B982" s="3">
        <v>1.0863719269528938</v>
      </c>
      <c r="C982" s="3">
        <v>-1.0271926952893695E-2</v>
      </c>
    </row>
    <row r="983" spans="1:3" x14ac:dyDescent="0.3">
      <c r="A983" s="3">
        <v>958</v>
      </c>
      <c r="B983" s="3">
        <v>1.0838871721323247</v>
      </c>
      <c r="C983" s="3">
        <v>-7.7871721323246046E-3</v>
      </c>
    </row>
    <row r="984" spans="1:3" x14ac:dyDescent="0.3">
      <c r="A984" s="3">
        <v>959</v>
      </c>
      <c r="B984" s="3">
        <v>1.0838785569055756</v>
      </c>
      <c r="C984" s="3">
        <v>-4.6785569055756149E-3</v>
      </c>
    </row>
    <row r="985" spans="1:3" x14ac:dyDescent="0.3">
      <c r="A985" s="3">
        <v>960</v>
      </c>
      <c r="B985" s="3">
        <v>1.0863716490423534</v>
      </c>
      <c r="C985" s="3">
        <v>9.2835095764653985E-4</v>
      </c>
    </row>
    <row r="986" spans="1:3" x14ac:dyDescent="0.3">
      <c r="A986" s="3">
        <v>961</v>
      </c>
      <c r="B986" s="3">
        <v>1.0928944727555221</v>
      </c>
      <c r="C986" s="3">
        <v>6.2055272444778709E-3</v>
      </c>
    </row>
    <row r="987" spans="1:3" x14ac:dyDescent="0.3">
      <c r="A987" s="3">
        <v>962</v>
      </c>
      <c r="B987" s="3">
        <v>1.1024068180944406</v>
      </c>
      <c r="C987" s="3">
        <v>-1.3006818094440709E-2</v>
      </c>
    </row>
    <row r="988" spans="1:3" x14ac:dyDescent="0.3">
      <c r="A988" s="3">
        <v>963</v>
      </c>
      <c r="B988" s="3">
        <v>1.09463864581989</v>
      </c>
      <c r="C988" s="3">
        <v>-2.4386458198899508E-3</v>
      </c>
    </row>
    <row r="989" spans="1:3" x14ac:dyDescent="0.3">
      <c r="A989" s="3">
        <v>964</v>
      </c>
      <c r="B989" s="3">
        <v>1.0968635136532812</v>
      </c>
      <c r="C989" s="3">
        <v>1.1364863467189235E-3</v>
      </c>
    </row>
    <row r="990" spans="1:3" x14ac:dyDescent="0.3">
      <c r="A990" s="3">
        <v>965</v>
      </c>
      <c r="B990" s="3">
        <v>1.1015357901139939</v>
      </c>
      <c r="C990" s="3">
        <v>-7.7357901139938345E-3</v>
      </c>
    </row>
    <row r="991" spans="1:3" x14ac:dyDescent="0.3">
      <c r="A991" s="3">
        <v>966</v>
      </c>
      <c r="B991" s="3">
        <v>1.098174171191632</v>
      </c>
      <c r="C991" s="3">
        <v>2.6258288083680359E-3</v>
      </c>
    </row>
    <row r="992" spans="1:3" x14ac:dyDescent="0.3">
      <c r="A992" s="3">
        <v>967</v>
      </c>
      <c r="B992" s="3">
        <v>1.103792061838438</v>
      </c>
      <c r="C992" s="3">
        <v>-2.7920618384380536E-3</v>
      </c>
    </row>
    <row r="993" spans="1:3" x14ac:dyDescent="0.3">
      <c r="A993" s="3">
        <v>968</v>
      </c>
      <c r="B993" s="3">
        <v>1.103972360230244</v>
      </c>
      <c r="C993" s="3">
        <v>-3.2723602302440202E-3</v>
      </c>
    </row>
    <row r="994" spans="1:3" x14ac:dyDescent="0.3">
      <c r="A994" s="3">
        <v>969</v>
      </c>
      <c r="B994" s="3">
        <v>1.1037316490703464</v>
      </c>
      <c r="C994" s="3">
        <v>4.6835092965369363E-4</v>
      </c>
    </row>
    <row r="995" spans="1:3" x14ac:dyDescent="0.3">
      <c r="A995" s="3">
        <v>970</v>
      </c>
      <c r="B995" s="3">
        <v>1.1065455967834747</v>
      </c>
      <c r="C995" s="3">
        <v>3.7544032165253149E-3</v>
      </c>
    </row>
    <row r="996" spans="1:3" x14ac:dyDescent="0.3">
      <c r="A996" s="3">
        <v>971</v>
      </c>
      <c r="B996" s="3">
        <v>1.111461085598948</v>
      </c>
      <c r="C996" s="3">
        <v>-5.5610855989478569E-3</v>
      </c>
    </row>
    <row r="997" spans="1:3" x14ac:dyDescent="0.3">
      <c r="A997" s="3">
        <v>972</v>
      </c>
      <c r="B997" s="3">
        <v>1.1079394557542213</v>
      </c>
      <c r="C997" s="3">
        <v>-4.3394557542213441E-3</v>
      </c>
    </row>
    <row r="998" spans="1:3" x14ac:dyDescent="0.3">
      <c r="A998" s="3">
        <v>973</v>
      </c>
      <c r="B998" s="3">
        <v>1.1060775141696126</v>
      </c>
      <c r="C998" s="3">
        <v>-7.0577514169612554E-2</v>
      </c>
    </row>
    <row r="999" spans="1:3" x14ac:dyDescent="0.3">
      <c r="A999" s="3">
        <v>974</v>
      </c>
      <c r="B999" s="3">
        <v>1.0513035175450642</v>
      </c>
      <c r="C999" s="3">
        <v>4.339648245493577E-2</v>
      </c>
    </row>
    <row r="1000" spans="1:3" x14ac:dyDescent="0.3">
      <c r="A1000" s="3">
        <v>975</v>
      </c>
      <c r="B1000" s="3">
        <v>1.098724278046884</v>
      </c>
      <c r="C1000" s="3">
        <v>-6.6242780468839246E-3</v>
      </c>
    </row>
    <row r="1001" spans="1:3" x14ac:dyDescent="0.3">
      <c r="A1001" s="3">
        <v>976</v>
      </c>
      <c r="B1001" s="3">
        <v>1.0967978205849238</v>
      </c>
      <c r="C1001" s="3">
        <v>-2.49782058492376E-3</v>
      </c>
    </row>
    <row r="1002" spans="1:3" x14ac:dyDescent="0.3">
      <c r="A1002" s="3">
        <v>977</v>
      </c>
      <c r="B1002" s="3">
        <v>1.0985598861047188</v>
      </c>
      <c r="C1002" s="3">
        <v>-4.4598861047187022E-3</v>
      </c>
    </row>
    <row r="1003" spans="1:3" x14ac:dyDescent="0.3">
      <c r="A1003" s="3">
        <v>978</v>
      </c>
      <c r="B1003" s="3">
        <v>1.0984051554826195</v>
      </c>
      <c r="C1003" s="3">
        <v>-3.5051554826195375E-3</v>
      </c>
    </row>
    <row r="1004" spans="1:3" x14ac:dyDescent="0.3">
      <c r="A1004" s="3">
        <v>979</v>
      </c>
      <c r="B1004" s="3">
        <v>1.0990479782774816</v>
      </c>
      <c r="C1004" s="3">
        <v>-5.9479782774816137E-3</v>
      </c>
    </row>
    <row r="1005" spans="1:3" x14ac:dyDescent="0.3">
      <c r="A1005" s="3">
        <v>980</v>
      </c>
      <c r="B1005" s="3">
        <v>1.0976025996759329</v>
      </c>
      <c r="C1005" s="3">
        <v>-5.0259967593291321E-4</v>
      </c>
    </row>
    <row r="1006" spans="1:3" x14ac:dyDescent="0.3">
      <c r="A1006" s="3">
        <v>981</v>
      </c>
      <c r="B1006" s="3">
        <v>1.1008144903659209</v>
      </c>
      <c r="C1006" s="3">
        <v>-3.8144903659209639E-3</v>
      </c>
    </row>
    <row r="1007" spans="1:3" x14ac:dyDescent="0.3">
      <c r="A1007" s="3">
        <v>982</v>
      </c>
      <c r="B1007" s="3">
        <v>1.1007451844605398</v>
      </c>
      <c r="C1007" s="3">
        <v>-5.8451844605398318E-3</v>
      </c>
    </row>
    <row r="1008" spans="1:3" x14ac:dyDescent="0.3">
      <c r="A1008" s="3">
        <v>983</v>
      </c>
      <c r="B1008" s="3">
        <v>1.0990560376831502</v>
      </c>
      <c r="C1008" s="3">
        <v>-4.2560376831501934E-3</v>
      </c>
    </row>
    <row r="1009" spans="1:3" x14ac:dyDescent="0.3">
      <c r="A1009" s="3">
        <v>984</v>
      </c>
      <c r="B1009" s="3">
        <v>1.098969779234811</v>
      </c>
      <c r="C1009" s="3">
        <v>-1.1569779234811062E-2</v>
      </c>
    </row>
    <row r="1010" spans="1:3" x14ac:dyDescent="0.3">
      <c r="A1010" s="3">
        <v>985</v>
      </c>
      <c r="B1010" s="3">
        <v>1.0930182491268008</v>
      </c>
      <c r="C1010" s="3">
        <v>-4.9182491268007222E-3</v>
      </c>
    </row>
    <row r="1011" spans="1:3" x14ac:dyDescent="0.3">
      <c r="A1011" s="3">
        <v>986</v>
      </c>
      <c r="B1011" s="3">
        <v>1.0935606400357691</v>
      </c>
      <c r="C1011" s="3">
        <v>-6.1606400357692159E-3</v>
      </c>
    </row>
    <row r="1012" spans="1:3" x14ac:dyDescent="0.3">
      <c r="A1012" s="3">
        <v>987</v>
      </c>
      <c r="B1012" s="3">
        <v>1.0929996291206012</v>
      </c>
      <c r="C1012" s="3">
        <v>-3.2996291206013328E-3</v>
      </c>
    </row>
    <row r="1013" spans="1:3" x14ac:dyDescent="0.3">
      <c r="A1013" s="3">
        <v>988</v>
      </c>
      <c r="B1013" s="3">
        <v>1.0948473972676542</v>
      </c>
      <c r="C1013" s="3">
        <v>-6.7473972676541649E-3</v>
      </c>
    </row>
    <row r="1014" spans="1:3" x14ac:dyDescent="0.3">
      <c r="A1014" s="3">
        <v>989</v>
      </c>
      <c r="B1014" s="3">
        <v>1.0935670319781958</v>
      </c>
      <c r="C1014" s="3">
        <v>-8.4670319781958714E-3</v>
      </c>
    </row>
    <row r="1015" spans="1:3" x14ac:dyDescent="0.3">
      <c r="A1015" s="3">
        <v>990</v>
      </c>
      <c r="B1015" s="3">
        <v>1.0911499155997659</v>
      </c>
      <c r="C1015" s="3">
        <v>-2.8499155997658843E-3</v>
      </c>
    </row>
    <row r="1016" spans="1:3" x14ac:dyDescent="0.3">
      <c r="A1016" s="3">
        <v>991</v>
      </c>
      <c r="B1016" s="3">
        <v>1.093715092747328</v>
      </c>
      <c r="C1016" s="3">
        <v>-9.1150927473280241E-3</v>
      </c>
    </row>
    <row r="1017" spans="1:3" x14ac:dyDescent="0.3">
      <c r="A1017" s="3">
        <v>992</v>
      </c>
      <c r="B1017" s="3">
        <v>1.0907483597858822</v>
      </c>
      <c r="C1017" s="3">
        <v>-5.5483597858823064E-3</v>
      </c>
    </row>
    <row r="1018" spans="1:3" x14ac:dyDescent="0.3">
      <c r="A1018" s="3">
        <v>993</v>
      </c>
      <c r="B1018" s="3">
        <v>1.0912206110578484</v>
      </c>
      <c r="C1018" s="3">
        <v>-7.9206110578484701E-3</v>
      </c>
    </row>
    <row r="1019" spans="1:3" x14ac:dyDescent="0.3">
      <c r="A1019" s="3">
        <v>994</v>
      </c>
      <c r="B1019" s="3">
        <v>1.0896942543082262</v>
      </c>
      <c r="C1019" s="3">
        <v>-5.694254308226121E-3</v>
      </c>
    </row>
    <row r="1020" spans="1:3" x14ac:dyDescent="0.3">
      <c r="A1020" s="3">
        <v>995</v>
      </c>
      <c r="B1020" s="3">
        <v>1.0902519302969107</v>
      </c>
      <c r="C1020" s="3">
        <v>-8.6519302969108036E-3</v>
      </c>
    </row>
    <row r="1021" spans="1:3" x14ac:dyDescent="0.3">
      <c r="A1021" s="3">
        <v>996</v>
      </c>
      <c r="B1021" s="3">
        <v>1.0883237398228645</v>
      </c>
      <c r="C1021" s="3">
        <v>-1.1237398228645112E-3</v>
      </c>
    </row>
    <row r="1022" spans="1:3" x14ac:dyDescent="0.3">
      <c r="A1022" s="3">
        <v>997</v>
      </c>
      <c r="B1022" s="3">
        <v>1.0928207202814963</v>
      </c>
      <c r="C1022" s="3">
        <v>-1.4420720281496324E-2</v>
      </c>
    </row>
    <row r="1023" spans="1:3" x14ac:dyDescent="0.3">
      <c r="A1023" s="3">
        <v>998</v>
      </c>
      <c r="B1023" s="3">
        <v>1.0857591184963831</v>
      </c>
      <c r="C1023" s="3">
        <v>-1.1659118496383014E-2</v>
      </c>
    </row>
    <row r="1024" spans="1:3" x14ac:dyDescent="0.3">
      <c r="A1024" s="3">
        <v>999</v>
      </c>
      <c r="B1024" s="3">
        <v>1.0822765023081453</v>
      </c>
      <c r="C1024" s="3">
        <v>-6.8765023081454046E-3</v>
      </c>
    </row>
    <row r="1025" spans="1:3" x14ac:dyDescent="0.3">
      <c r="A1025" s="3">
        <v>1000</v>
      </c>
      <c r="B1025" s="3">
        <v>1.0833100424058197</v>
      </c>
      <c r="C1025" s="3">
        <v>-6.2100424058197934E-3</v>
      </c>
    </row>
    <row r="1026" spans="1:3" x14ac:dyDescent="0.3">
      <c r="A1026" s="3">
        <v>1001</v>
      </c>
      <c r="B1026" s="3">
        <v>1.0846808348017216</v>
      </c>
      <c r="C1026" s="3">
        <v>-7.0808348017217249E-3</v>
      </c>
    </row>
    <row r="1027" spans="1:3" x14ac:dyDescent="0.3">
      <c r="A1027" s="3">
        <v>1002</v>
      </c>
      <c r="B1027" s="3">
        <v>1.0850876709158708</v>
      </c>
      <c r="C1027" s="3">
        <v>-6.887670915870725E-3</v>
      </c>
    </row>
    <row r="1028" spans="1:3" x14ac:dyDescent="0.3">
      <c r="A1028" s="3">
        <v>1003</v>
      </c>
      <c r="B1028" s="3">
        <v>1.0855715944305295</v>
      </c>
      <c r="C1028" s="3">
        <v>-8.4715944305295832E-3</v>
      </c>
    </row>
    <row r="1029" spans="1:3" x14ac:dyDescent="0.3">
      <c r="A1029" s="3">
        <v>1004</v>
      </c>
      <c r="B1029" s="3">
        <v>1.0846886162968499</v>
      </c>
      <c r="C1029" s="3">
        <v>-1.3788616296849909E-2</v>
      </c>
    </row>
    <row r="1030" spans="1:3" x14ac:dyDescent="0.3">
      <c r="A1030" s="3">
        <v>1005</v>
      </c>
      <c r="B1030" s="3">
        <v>1.0796993750073507</v>
      </c>
      <c r="C1030" s="3">
        <v>-7.1993750073506835E-3</v>
      </c>
    </row>
    <row r="1031" spans="1:3" x14ac:dyDescent="0.3">
      <c r="A1031" s="3">
        <v>1006</v>
      </c>
      <c r="B1031" s="3">
        <v>1.080968901785738</v>
      </c>
      <c r="C1031" s="3">
        <v>-3.8689017857380659E-3</v>
      </c>
    </row>
    <row r="1032" spans="1:3" x14ac:dyDescent="0.3">
      <c r="A1032" s="3">
        <v>1007</v>
      </c>
      <c r="B1032" s="3">
        <v>1.0846727753960532</v>
      </c>
      <c r="C1032" s="3">
        <v>-7.2727753960533104E-3</v>
      </c>
    </row>
    <row r="1033" spans="1:3" x14ac:dyDescent="0.3">
      <c r="A1033" s="3">
        <v>1008</v>
      </c>
      <c r="B1033" s="3">
        <v>1.0849268262618852</v>
      </c>
      <c r="C1033" s="3">
        <v>-7.2268262618850887E-3</v>
      </c>
    </row>
    <row r="1034" spans="1:3" x14ac:dyDescent="0.3">
      <c r="A1034" s="3">
        <v>1009</v>
      </c>
      <c r="B1034" s="3">
        <v>1.0851689269744846</v>
      </c>
      <c r="C1034" s="3">
        <v>-4.8689269744845998E-3</v>
      </c>
    </row>
    <row r="1035" spans="1:3" x14ac:dyDescent="0.3">
      <c r="A1035" s="3">
        <v>1010</v>
      </c>
      <c r="B1035" s="3">
        <v>1.0872607412079192</v>
      </c>
      <c r="C1035" s="3">
        <v>-5.560741207919051E-3</v>
      </c>
    </row>
    <row r="1036" spans="1:3" x14ac:dyDescent="0.3">
      <c r="A1036" s="3">
        <v>1011</v>
      </c>
      <c r="B1036" s="3">
        <v>1.0883938794598667</v>
      </c>
      <c r="C1036" s="3">
        <v>-6.0938794598666135E-3</v>
      </c>
    </row>
    <row r="1037" spans="1:3" x14ac:dyDescent="0.3">
      <c r="A1037" s="3">
        <v>1012</v>
      </c>
      <c r="B1037" s="3">
        <v>1.0888803041693877</v>
      </c>
      <c r="C1037" s="3">
        <v>-7.0803041693876523E-3</v>
      </c>
    </row>
    <row r="1038" spans="1:3" x14ac:dyDescent="0.3">
      <c r="A1038" s="3">
        <v>1013</v>
      </c>
      <c r="B1038" s="3">
        <v>1.0884798599976655</v>
      </c>
      <c r="C1038" s="3">
        <v>-3.7798599976655023E-3</v>
      </c>
    </row>
    <row r="1039" spans="1:3" x14ac:dyDescent="0.3">
      <c r="A1039" s="3">
        <v>1014</v>
      </c>
      <c r="B1039" s="3">
        <v>1.090810717927756</v>
      </c>
      <c r="C1039" s="3">
        <v>-6.4107179277559379E-3</v>
      </c>
    </row>
    <row r="1040" spans="1:3" x14ac:dyDescent="0.3">
      <c r="A1040" s="3">
        <v>1015</v>
      </c>
      <c r="B1040" s="3">
        <v>1.0905775103524462</v>
      </c>
      <c r="C1040" s="3">
        <v>-6.9775103524463145E-3</v>
      </c>
    </row>
    <row r="1041" spans="1:3" x14ac:dyDescent="0.3">
      <c r="A1041" s="3">
        <v>1016</v>
      </c>
      <c r="B1041" s="3">
        <v>1.0899332980048826</v>
      </c>
      <c r="C1041" s="3">
        <v>-9.6332980048825512E-3</v>
      </c>
    </row>
    <row r="1042" spans="1:3" x14ac:dyDescent="0.3">
      <c r="A1042" s="3">
        <v>1017</v>
      </c>
      <c r="B1042" s="3">
        <v>1.0872771379297965</v>
      </c>
      <c r="C1042" s="3">
        <v>-3.5771379297964145E-3</v>
      </c>
    </row>
    <row r="1043" spans="1:3" x14ac:dyDescent="0.3">
      <c r="A1043" s="3">
        <v>1018</v>
      </c>
      <c r="B1043" s="3">
        <v>1.0900023259997236</v>
      </c>
      <c r="C1043" s="3">
        <v>-4.6023259997236554E-3</v>
      </c>
    </row>
    <row r="1044" spans="1:3" x14ac:dyDescent="0.3">
      <c r="A1044" s="3">
        <v>1019</v>
      </c>
      <c r="B1044" s="3">
        <v>1.0913789545169714</v>
      </c>
      <c r="C1044" s="3">
        <v>-5.8789545169715129E-3</v>
      </c>
    </row>
    <row r="1045" spans="1:3" x14ac:dyDescent="0.3">
      <c r="A1045" s="3">
        <v>1020</v>
      </c>
      <c r="B1045" s="3">
        <v>1.0914641013231494</v>
      </c>
      <c r="C1045" s="3">
        <v>-1.7641013231495251E-3</v>
      </c>
    </row>
    <row r="1046" spans="1:3" x14ac:dyDescent="0.3">
      <c r="A1046" s="3">
        <v>1021</v>
      </c>
      <c r="B1046" s="3">
        <v>1.0948421169673885</v>
      </c>
      <c r="C1046" s="3">
        <v>-2.4211696738851707E-4</v>
      </c>
    </row>
    <row r="1047" spans="1:3" x14ac:dyDescent="0.3">
      <c r="A1047" s="3">
        <v>1022</v>
      </c>
      <c r="B1047" s="3">
        <v>1.0987944832327301</v>
      </c>
      <c r="C1047" s="3">
        <v>-5.094483232730207E-3</v>
      </c>
    </row>
    <row r="1048" spans="1:3" x14ac:dyDescent="0.3">
      <c r="A1048" s="3">
        <v>1023</v>
      </c>
      <c r="B1048" s="3">
        <v>1.098084299906269</v>
      </c>
      <c r="C1048" s="3">
        <v>-5.4842999062689746E-3</v>
      </c>
    </row>
    <row r="1049" spans="1:3" x14ac:dyDescent="0.3">
      <c r="A1049" s="3">
        <v>1024</v>
      </c>
      <c r="B1049" s="3">
        <v>1.0971971531144851</v>
      </c>
      <c r="C1049" s="3">
        <v>-4.797153114485031E-3</v>
      </c>
    </row>
    <row r="1050" spans="1:3" x14ac:dyDescent="0.3">
      <c r="A1050" s="3">
        <v>1025</v>
      </c>
      <c r="B1050" s="3">
        <v>1.0970332514445562</v>
      </c>
      <c r="C1050" s="3">
        <v>-2.4332514445561948E-3</v>
      </c>
    </row>
    <row r="1051" spans="1:3" x14ac:dyDescent="0.3">
      <c r="A1051" s="3">
        <v>1026</v>
      </c>
      <c r="B1051" s="3">
        <v>1.098801986817318</v>
      </c>
      <c r="C1051" s="3">
        <v>-1.0701986817317932E-2</v>
      </c>
    </row>
    <row r="1052" spans="1:3" x14ac:dyDescent="0.3">
      <c r="A1052" s="3">
        <v>1027</v>
      </c>
      <c r="B1052" s="3">
        <v>1.0935806495946703</v>
      </c>
      <c r="C1052" s="3">
        <v>-4.8806495946702722E-3</v>
      </c>
    </row>
    <row r="1053" spans="1:3" x14ac:dyDescent="0.3">
      <c r="A1053" s="3">
        <v>1028</v>
      </c>
      <c r="B1053" s="3">
        <v>1.0940451193715082</v>
      </c>
      <c r="C1053" s="3">
        <v>-6.9451193715082127E-3</v>
      </c>
    </row>
    <row r="1054" spans="1:3" x14ac:dyDescent="0.3">
      <c r="A1054" s="3">
        <v>1029</v>
      </c>
      <c r="B1054" s="3">
        <v>1.0927600296028643</v>
      </c>
      <c r="C1054" s="3">
        <v>-6.2600296028643143E-3</v>
      </c>
    </row>
    <row r="1055" spans="1:3" x14ac:dyDescent="0.3">
      <c r="A1055" s="3">
        <v>1030</v>
      </c>
      <c r="B1055" s="3">
        <v>1.0922730490722627</v>
      </c>
      <c r="C1055" s="3">
        <v>-4.7304907226264348E-4</v>
      </c>
    </row>
    <row r="1056" spans="1:3" x14ac:dyDescent="0.3">
      <c r="A1056" s="3">
        <v>1031</v>
      </c>
      <c r="B1056" s="3">
        <v>1.0965337649396414</v>
      </c>
      <c r="C1056" s="3">
        <v>-1.053376493964131E-2</v>
      </c>
    </row>
    <row r="1057" spans="1:3" x14ac:dyDescent="0.3">
      <c r="A1057" s="3">
        <v>1032</v>
      </c>
      <c r="B1057" s="3">
        <v>1.0918839992326923</v>
      </c>
      <c r="C1057" s="3">
        <v>-1.1383999232692288E-2</v>
      </c>
    </row>
    <row r="1058" spans="1:3" x14ac:dyDescent="0.3">
      <c r="A1058" s="3">
        <v>1033</v>
      </c>
      <c r="B1058" s="3">
        <v>1.0874446524367494</v>
      </c>
      <c r="C1058" s="3">
        <v>-3.8446524367494739E-3</v>
      </c>
    </row>
    <row r="1059" spans="1:3" x14ac:dyDescent="0.3">
      <c r="A1059" s="3">
        <v>1034</v>
      </c>
      <c r="B1059" s="3">
        <v>1.0899224594938111</v>
      </c>
      <c r="C1059" s="3">
        <v>-6.922459493811095E-3</v>
      </c>
    </row>
    <row r="1060" spans="1:3" x14ac:dyDescent="0.3">
      <c r="A1060" s="3">
        <v>1035</v>
      </c>
      <c r="B1060" s="3">
        <v>1.0894485407586032</v>
      </c>
      <c r="C1060" s="3">
        <v>-6.8485407586031943E-3</v>
      </c>
    </row>
    <row r="1061" spans="1:3" x14ac:dyDescent="0.3">
      <c r="A1061" s="3">
        <v>1036</v>
      </c>
      <c r="B1061" s="3">
        <v>1.0891251839873901</v>
      </c>
      <c r="C1061" s="3">
        <v>-1.0425183987390119E-2</v>
      </c>
    </row>
    <row r="1062" spans="1:3" x14ac:dyDescent="0.3">
      <c r="A1062" s="3">
        <v>1037</v>
      </c>
      <c r="B1062" s="3">
        <v>1.0859876015925083</v>
      </c>
      <c r="C1062" s="3">
        <v>-6.6876015925083632E-3</v>
      </c>
    </row>
    <row r="1063" spans="1:3" x14ac:dyDescent="0.3">
      <c r="A1063" s="3">
        <v>1038</v>
      </c>
      <c r="B1063" s="3">
        <v>1.0864592970433937</v>
      </c>
      <c r="C1063" s="3">
        <v>-1.2159297043393691E-2</v>
      </c>
    </row>
    <row r="1064" spans="1:3" x14ac:dyDescent="0.3">
      <c r="A1064" s="3">
        <v>1039</v>
      </c>
      <c r="B1064" s="3">
        <v>1.0824398481569939</v>
      </c>
      <c r="C1064" s="3">
        <v>-5.6398481569939207E-3</v>
      </c>
    </row>
    <row r="1065" spans="1:3" x14ac:dyDescent="0.3">
      <c r="A1065" s="3">
        <v>1040</v>
      </c>
      <c r="B1065" s="3">
        <v>1.0844365108048</v>
      </c>
      <c r="C1065" s="3">
        <v>-9.3651080480006144E-4</v>
      </c>
    </row>
    <row r="1066" spans="1:3" x14ac:dyDescent="0.3">
      <c r="A1066" s="3">
        <v>1041</v>
      </c>
      <c r="B1066" s="3">
        <v>1.0898317544768272</v>
      </c>
      <c r="C1066" s="3">
        <v>-6.3317544768273226E-3</v>
      </c>
    </row>
    <row r="1067" spans="1:3" x14ac:dyDescent="0.3">
      <c r="A1067" s="3">
        <v>1042</v>
      </c>
      <c r="B1067" s="3">
        <v>1.0898503744830268</v>
      </c>
      <c r="C1067" s="3">
        <v>-6.3503744830268882E-3</v>
      </c>
    </row>
    <row r="1068" spans="1:3" x14ac:dyDescent="0.3">
      <c r="A1068" s="3">
        <v>1043</v>
      </c>
      <c r="B1068" s="3">
        <v>1.0898503744830268</v>
      </c>
      <c r="C1068" s="3">
        <v>-4.0503744830266974E-3</v>
      </c>
    </row>
    <row r="1069" spans="1:3" x14ac:dyDescent="0.3">
      <c r="A1069" s="3">
        <v>1044</v>
      </c>
      <c r="B1069" s="3">
        <v>1.0917000880038623</v>
      </c>
      <c r="C1069" s="3">
        <v>-6.2000880038624029E-3</v>
      </c>
    </row>
    <row r="1070" spans="1:3" x14ac:dyDescent="0.3">
      <c r="A1070" s="3">
        <v>1045</v>
      </c>
      <c r="B1070" s="3">
        <v>1.0914652129653106</v>
      </c>
      <c r="C1070" s="3">
        <v>-1.7265212965310583E-2</v>
      </c>
    </row>
    <row r="1071" spans="1:3" x14ac:dyDescent="0.3">
      <c r="A1071" s="3">
        <v>1046</v>
      </c>
      <c r="B1071" s="3">
        <v>1.0823766562834991</v>
      </c>
      <c r="C1071" s="3">
        <v>-9.9766562834990857E-3</v>
      </c>
    </row>
    <row r="1072" spans="1:3" x14ac:dyDescent="0.3">
      <c r="A1072" s="3">
        <v>1047</v>
      </c>
      <c r="B1072" s="3">
        <v>1.080897650506575</v>
      </c>
      <c r="C1072" s="3">
        <v>-1.6697650506575012E-2</v>
      </c>
    </row>
    <row r="1073" spans="1:3" x14ac:dyDescent="0.3">
      <c r="A1073" s="3">
        <v>1048</v>
      </c>
      <c r="B1073" s="3">
        <v>1.0742980173034371</v>
      </c>
      <c r="C1073" s="3">
        <v>-1.209801730343707E-2</v>
      </c>
    </row>
    <row r="1074" spans="1:3" x14ac:dyDescent="0.3">
      <c r="A1074" s="3">
        <v>1049</v>
      </c>
      <c r="B1074" s="3">
        <v>1.0726667820992764</v>
      </c>
      <c r="C1074" s="3">
        <v>-1.0966782099276262E-2</v>
      </c>
    </row>
    <row r="1075" spans="1:3" x14ac:dyDescent="0.3">
      <c r="A1075" s="3">
        <v>1050</v>
      </c>
      <c r="B1075" s="3">
        <v>1.0722591122535063</v>
      </c>
      <c r="C1075" s="3">
        <v>-5.1591122535064038E-3</v>
      </c>
    </row>
    <row r="1076" spans="1:3" x14ac:dyDescent="0.3">
      <c r="A1076" s="3">
        <v>1051</v>
      </c>
      <c r="B1076" s="3">
        <v>1.0766005283584177</v>
      </c>
      <c r="C1076" s="3">
        <v>-1.2300528358417662E-2</v>
      </c>
    </row>
    <row r="1077" spans="1:3" x14ac:dyDescent="0.3">
      <c r="A1077" s="3">
        <v>1052</v>
      </c>
      <c r="B1077" s="3">
        <v>1.0743637103717945</v>
      </c>
      <c r="C1077" s="3">
        <v>-8.9637103717945532E-3</v>
      </c>
    </row>
    <row r="1078" spans="1:3" x14ac:dyDescent="0.3">
      <c r="A1078" s="3">
        <v>1053</v>
      </c>
      <c r="B1078" s="3">
        <v>1.0752405744735873</v>
      </c>
      <c r="C1078" s="3">
        <v>-9.8405744735874379E-3</v>
      </c>
    </row>
    <row r="1079" spans="1:3" x14ac:dyDescent="0.3">
      <c r="A1079" s="3">
        <v>1054</v>
      </c>
      <c r="B1079" s="3">
        <v>1.0752436314895306</v>
      </c>
      <c r="C1079" s="3">
        <v>-5.3436314895305426E-3</v>
      </c>
    </row>
    <row r="1080" spans="1:3" x14ac:dyDescent="0.3">
      <c r="A1080" s="3">
        <v>1055</v>
      </c>
      <c r="B1080" s="3">
        <v>1.0788626362042084</v>
      </c>
      <c r="C1080" s="3">
        <v>-9.1626362042083187E-3</v>
      </c>
    </row>
    <row r="1081" spans="1:3" x14ac:dyDescent="0.3">
      <c r="A1081" s="3">
        <v>1056</v>
      </c>
      <c r="B1081" s="3">
        <v>1.0787142975245356</v>
      </c>
      <c r="C1081" s="3">
        <v>-5.814297524535661E-3</v>
      </c>
    </row>
    <row r="1082" spans="1:3" x14ac:dyDescent="0.3">
      <c r="A1082" s="3">
        <v>1057</v>
      </c>
      <c r="B1082" s="3">
        <v>1.081287256167226</v>
      </c>
      <c r="C1082" s="3">
        <v>-1.2087256167226057E-2</v>
      </c>
    </row>
    <row r="1083" spans="1:3" x14ac:dyDescent="0.3">
      <c r="A1083" s="3">
        <v>1058</v>
      </c>
      <c r="B1083" s="3">
        <v>1.0783205232057804</v>
      </c>
      <c r="C1083" s="3">
        <v>-6.4205232057803485E-3</v>
      </c>
    </row>
    <row r="1084" spans="1:3" x14ac:dyDescent="0.3">
      <c r="A1084" s="3">
        <v>1059</v>
      </c>
      <c r="B1084" s="3">
        <v>1.0804816433445961</v>
      </c>
      <c r="C1084" s="3">
        <v>-1.3981643344596062E-2</v>
      </c>
    </row>
    <row r="1085" spans="1:3" x14ac:dyDescent="0.3">
      <c r="A1085" s="3">
        <v>1060</v>
      </c>
      <c r="B1085" s="3">
        <v>1.0761463412715706</v>
      </c>
      <c r="C1085" s="3">
        <v>-5.2463412715706426E-3</v>
      </c>
    </row>
    <row r="1086" spans="1:3" x14ac:dyDescent="0.3">
      <c r="A1086" s="3">
        <v>1061</v>
      </c>
      <c r="B1086" s="3">
        <v>1.0796699164900796</v>
      </c>
      <c r="C1086" s="3">
        <v>-7.1699164900795864E-3</v>
      </c>
    </row>
    <row r="1087" spans="1:3" x14ac:dyDescent="0.3">
      <c r="A1087" s="3">
        <v>1062</v>
      </c>
      <c r="B1087" s="3">
        <v>1.080968901785738</v>
      </c>
      <c r="C1087" s="3">
        <v>-5.1689017857379227E-3</v>
      </c>
    </row>
    <row r="1088" spans="1:3" x14ac:dyDescent="0.3">
      <c r="A1088" s="3">
        <v>1063</v>
      </c>
      <c r="B1088" s="3">
        <v>1.0836272851451465</v>
      </c>
      <c r="C1088" s="3">
        <v>-6.8272851451465222E-3</v>
      </c>
    </row>
    <row r="1089" spans="1:3" x14ac:dyDescent="0.3">
      <c r="A1089" s="3">
        <v>1064</v>
      </c>
      <c r="B1089" s="3">
        <v>1.0844406794629045</v>
      </c>
      <c r="C1089" s="3">
        <v>-9.2406794629045219E-3</v>
      </c>
    </row>
    <row r="1090" spans="1:3" x14ac:dyDescent="0.3">
      <c r="A1090" s="3">
        <v>1065</v>
      </c>
      <c r="B1090" s="3">
        <v>1.0831567013364218</v>
      </c>
      <c r="C1090" s="3">
        <v>-8.6567013364218237E-3</v>
      </c>
    </row>
    <row r="1091" spans="1:3" x14ac:dyDescent="0.3">
      <c r="A1091" s="3">
        <v>1066</v>
      </c>
      <c r="B1091" s="3">
        <v>1.0825892984788275</v>
      </c>
      <c r="C1091" s="3">
        <v>-4.4892984788273971E-3</v>
      </c>
    </row>
    <row r="1092" spans="1:3" x14ac:dyDescent="0.3">
      <c r="A1092" s="3">
        <v>1067</v>
      </c>
      <c r="B1092" s="3">
        <v>1.0854825568767876</v>
      </c>
      <c r="C1092" s="3">
        <v>-8.5825568767876614E-3</v>
      </c>
    </row>
    <row r="1093" spans="1:3" x14ac:dyDescent="0.3">
      <c r="A1093" s="3">
        <v>1068</v>
      </c>
      <c r="B1093" s="3">
        <v>1.0845274937323239</v>
      </c>
      <c r="C1093" s="3">
        <v>-5.7274937323239516E-3</v>
      </c>
    </row>
    <row r="1094" spans="1:3" x14ac:dyDescent="0.3">
      <c r="A1094" s="3">
        <v>1069</v>
      </c>
      <c r="B1094" s="3">
        <v>1.0860521830187044</v>
      </c>
      <c r="C1094" s="3">
        <v>-4.2521830187043363E-3</v>
      </c>
    </row>
    <row r="1095" spans="1:3" x14ac:dyDescent="0.3">
      <c r="A1095" s="3">
        <v>1070</v>
      </c>
      <c r="B1095" s="3">
        <v>1.0884701331287552</v>
      </c>
      <c r="C1095" s="3">
        <v>-2.7013312875512341E-4</v>
      </c>
    </row>
    <row r="1096" spans="1:3" x14ac:dyDescent="0.3">
      <c r="A1096" s="3">
        <v>1071</v>
      </c>
      <c r="B1096" s="3">
        <v>1.0936254993725054</v>
      </c>
      <c r="C1096" s="3">
        <v>-7.125499372505395E-3</v>
      </c>
    </row>
    <row r="1097" spans="1:3" x14ac:dyDescent="0.3">
      <c r="A1097" s="3">
        <v>1072</v>
      </c>
      <c r="B1097" s="3">
        <v>1.092276106088206</v>
      </c>
      <c r="C1097" s="3">
        <v>-5.2761060882060562E-3</v>
      </c>
    </row>
    <row r="1098" spans="1:3" x14ac:dyDescent="0.3">
      <c r="A1098" s="3">
        <v>1073</v>
      </c>
      <c r="B1098" s="3">
        <v>1.0926734932439852</v>
      </c>
      <c r="C1098" s="3">
        <v>-7.1734932439853072E-3</v>
      </c>
    </row>
    <row r="1099" spans="1:3" x14ac:dyDescent="0.3">
      <c r="A1099" s="3">
        <v>1074</v>
      </c>
      <c r="B1099" s="3">
        <v>1.091468547891794</v>
      </c>
      <c r="C1099" s="3">
        <v>-6.0685478917941182E-3</v>
      </c>
    </row>
    <row r="1100" spans="1:3" x14ac:dyDescent="0.3">
      <c r="A1100" s="3">
        <v>1075</v>
      </c>
      <c r="B1100" s="3">
        <v>1.0913839569066965</v>
      </c>
      <c r="C1100" s="3">
        <v>-9.2839569066964778E-3</v>
      </c>
    </row>
    <row r="1101" spans="1:3" x14ac:dyDescent="0.3">
      <c r="A1101" s="3">
        <v>1076</v>
      </c>
      <c r="B1101" s="3">
        <v>1.088729742205393</v>
      </c>
      <c r="C1101" s="3">
        <v>-7.4297422053930529E-3</v>
      </c>
    </row>
    <row r="1102" spans="1:3" x14ac:dyDescent="0.3">
      <c r="A1102" s="3">
        <v>1077</v>
      </c>
      <c r="B1102" s="3">
        <v>1.0880771925416204</v>
      </c>
      <c r="C1102" s="3">
        <v>-3.5771925416203665E-3</v>
      </c>
    </row>
    <row r="1103" spans="1:3" x14ac:dyDescent="0.3">
      <c r="A1103" s="3">
        <v>1078</v>
      </c>
      <c r="B1103" s="3">
        <v>1.090648483721069</v>
      </c>
      <c r="C1103" s="3">
        <v>-4.8484837210689413E-3</v>
      </c>
    </row>
    <row r="1104" spans="1:3" x14ac:dyDescent="0.3">
      <c r="A1104" s="3">
        <v>1079</v>
      </c>
      <c r="B1104" s="3">
        <v>1.0917028671092652</v>
      </c>
      <c r="C1104" s="3">
        <v>-6.2028671092653198E-3</v>
      </c>
    </row>
    <row r="1105" spans="1:3" x14ac:dyDescent="0.3">
      <c r="A1105" s="3">
        <v>1080</v>
      </c>
      <c r="B1105" s="3">
        <v>1.0914652129653106</v>
      </c>
      <c r="C1105" s="3">
        <v>-1.1465212965310556E-2</v>
      </c>
    </row>
    <row r="1106" spans="1:3" x14ac:dyDescent="0.3">
      <c r="A1106" s="3">
        <v>1081</v>
      </c>
      <c r="B1106" s="3">
        <v>1.0870411512490836</v>
      </c>
      <c r="C1106" s="3">
        <v>-3.8411512490836852E-3</v>
      </c>
    </row>
    <row r="1107" spans="1:3" x14ac:dyDescent="0.3">
      <c r="A1107" s="3">
        <v>1082</v>
      </c>
      <c r="B1107" s="3">
        <v>1.0895993806331383</v>
      </c>
      <c r="C1107" s="3">
        <v>-5.4993806331382622E-3</v>
      </c>
    </row>
    <row r="1108" spans="1:3" x14ac:dyDescent="0.3">
      <c r="A1108" s="3">
        <v>1083</v>
      </c>
      <c r="B1108" s="3">
        <v>1.0903320747133631</v>
      </c>
      <c r="C1108" s="3">
        <v>-1.3207471336307286E-4</v>
      </c>
    </row>
    <row r="1109" spans="1:3" x14ac:dyDescent="0.3">
      <c r="A1109" s="3">
        <v>1084</v>
      </c>
      <c r="B1109" s="3">
        <v>1.095240337854789</v>
      </c>
      <c r="C1109" s="3">
        <v>-7.4403378547889254E-3</v>
      </c>
    </row>
    <row r="1110" spans="1:3" x14ac:dyDescent="0.3">
      <c r="A1110" s="3">
        <v>1085</v>
      </c>
      <c r="B1110" s="3">
        <v>1.0933271545499188</v>
      </c>
      <c r="C1110" s="3">
        <v>-6.5271545499188122E-3</v>
      </c>
    </row>
    <row r="1111" spans="1:3" x14ac:dyDescent="0.3">
      <c r="A1111" s="3">
        <v>1086</v>
      </c>
      <c r="B1111" s="3">
        <v>1.0925162614270234</v>
      </c>
      <c r="C1111" s="3">
        <v>-3.7162614270234151E-3</v>
      </c>
    </row>
    <row r="1112" spans="1:3" x14ac:dyDescent="0.3">
      <c r="A1112" s="3">
        <v>1087</v>
      </c>
      <c r="B1112" s="3">
        <v>1.0941219288614772</v>
      </c>
      <c r="C1112" s="3">
        <v>-1.4121928861477118E-2</v>
      </c>
    </row>
    <row r="1113" spans="1:3" x14ac:dyDescent="0.3">
      <c r="A1113" s="3">
        <v>1088</v>
      </c>
      <c r="B1113" s="3">
        <v>1.0870503222969135</v>
      </c>
      <c r="C1113" s="3">
        <v>-1.0750322296913417E-2</v>
      </c>
    </row>
    <row r="1114" spans="1:3" x14ac:dyDescent="0.3">
      <c r="A1114" s="3">
        <v>1089</v>
      </c>
      <c r="B1114" s="3">
        <v>1.0840502400706327</v>
      </c>
      <c r="C1114" s="3">
        <v>-1.0150240070632588E-2</v>
      </c>
    </row>
    <row r="1115" spans="1:3" x14ac:dyDescent="0.3">
      <c r="A1115" s="3">
        <v>1090</v>
      </c>
      <c r="B1115" s="3">
        <v>1.0821098215328138</v>
      </c>
      <c r="C1115" s="3">
        <v>-1.4098215328137709E-3</v>
      </c>
    </row>
    <row r="1116" spans="1:3" x14ac:dyDescent="0.3">
      <c r="A1116" s="3">
        <v>1091</v>
      </c>
      <c r="B1116" s="3">
        <v>1.0875718699153596</v>
      </c>
      <c r="C1116" s="3">
        <v>-1.4071869915359692E-2</v>
      </c>
    </row>
    <row r="1117" spans="1:3" x14ac:dyDescent="0.3">
      <c r="A1117" s="3">
        <v>1092</v>
      </c>
      <c r="B1117" s="3">
        <v>1.0818003602886153</v>
      </c>
      <c r="C1117" s="3">
        <v>-1.1800360288615197E-2</v>
      </c>
    </row>
    <row r="1118" spans="1:3" x14ac:dyDescent="0.3">
      <c r="A1118" s="3">
        <v>1093</v>
      </c>
      <c r="B1118" s="3">
        <v>1.0789655692849649</v>
      </c>
      <c r="C1118" s="3">
        <v>-5.5655692849649885E-3</v>
      </c>
    </row>
    <row r="1119" spans="1:3" x14ac:dyDescent="0.3">
      <c r="A1119" s="3">
        <v>1094</v>
      </c>
      <c r="B1119" s="3">
        <v>1.0816902015338108</v>
      </c>
      <c r="C1119" s="3">
        <v>-7.8902015338107034E-3</v>
      </c>
    </row>
    <row r="1120" spans="1:3" x14ac:dyDescent="0.3">
      <c r="A1120" s="3">
        <v>1095</v>
      </c>
      <c r="B1120" s="3">
        <v>1.0820213398001524</v>
      </c>
      <c r="C1120" s="3">
        <v>-7.821339800152316E-3</v>
      </c>
    </row>
    <row r="1121" spans="1:3" x14ac:dyDescent="0.3">
      <c r="A1121" s="3">
        <v>1096</v>
      </c>
      <c r="B1121" s="3">
        <v>1.082344140750285</v>
      </c>
      <c r="C1121" s="3">
        <v>-1.2344140750284893E-2</v>
      </c>
    </row>
    <row r="1122" spans="1:3" x14ac:dyDescent="0.3">
      <c r="A1122" s="3">
        <v>1097</v>
      </c>
      <c r="B1122" s="3">
        <v>1.078967514658747</v>
      </c>
      <c r="C1122" s="3">
        <v>-9.867514658747023E-3</v>
      </c>
    </row>
    <row r="1123" spans="1:3" x14ac:dyDescent="0.3">
      <c r="A1123" s="3">
        <v>1098</v>
      </c>
      <c r="B1123" s="3">
        <v>1.078232041473119</v>
      </c>
      <c r="C1123" s="3">
        <v>-5.0320414731190866E-3</v>
      </c>
    </row>
    <row r="1124" spans="1:3" x14ac:dyDescent="0.3">
      <c r="A1124" s="3">
        <v>1099</v>
      </c>
      <c r="B1124" s="3">
        <v>1.0815268556849627</v>
      </c>
      <c r="C1124" s="3">
        <v>-1.0226855684962732E-2</v>
      </c>
    </row>
    <row r="1125" spans="1:3" x14ac:dyDescent="0.3">
      <c r="A1125" s="3">
        <v>1100</v>
      </c>
      <c r="B1125" s="3">
        <v>1.0800102258042508</v>
      </c>
      <c r="C1125" s="3">
        <v>-1.2110225804250696E-2</v>
      </c>
    </row>
    <row r="1126" spans="1:3" x14ac:dyDescent="0.3">
      <c r="A1126" s="3">
        <v>1101</v>
      </c>
      <c r="B1126" s="3">
        <v>1.0772705863862289</v>
      </c>
      <c r="C1126" s="3">
        <v>-7.0705863862288165E-3</v>
      </c>
    </row>
    <row r="1127" spans="1:3" x14ac:dyDescent="0.3">
      <c r="A1127" s="3">
        <v>1102</v>
      </c>
      <c r="B1127" s="3">
        <v>1.079110850948694</v>
      </c>
      <c r="C1127" s="3">
        <v>-7.8108509486940481E-3</v>
      </c>
    </row>
    <row r="1128" spans="1:3" x14ac:dyDescent="0.3">
      <c r="A1128" s="3">
        <v>1103</v>
      </c>
      <c r="B1128" s="3">
        <v>1.0800018884880418</v>
      </c>
      <c r="C1128" s="3">
        <v>-6.2018884880417069E-3</v>
      </c>
    </row>
    <row r="1129" spans="1:3" x14ac:dyDescent="0.3">
      <c r="A1129" s="3">
        <v>1104</v>
      </c>
      <c r="B1129" s="3">
        <v>1.0820155036788062</v>
      </c>
      <c r="C1129" s="3">
        <v>-7.6155036788061459E-3</v>
      </c>
    </row>
    <row r="1130" spans="1:3" x14ac:dyDescent="0.3">
      <c r="A1130" s="3">
        <v>1105</v>
      </c>
      <c r="B1130" s="3">
        <v>1.0825049854042705</v>
      </c>
      <c r="C1130" s="3">
        <v>-3.9049854042705334E-3</v>
      </c>
    </row>
    <row r="1131" spans="1:3" x14ac:dyDescent="0.3">
      <c r="A1131" s="3">
        <v>1106</v>
      </c>
      <c r="B1131" s="3">
        <v>1.0858843906012114</v>
      </c>
      <c r="C1131" s="3">
        <v>-4.8843906012114857E-3</v>
      </c>
    </row>
    <row r="1132" spans="1:3" x14ac:dyDescent="0.3">
      <c r="A1132" s="3">
        <v>1107</v>
      </c>
      <c r="B1132" s="3">
        <v>1.0878261986917317</v>
      </c>
      <c r="C1132" s="3">
        <v>-4.2261986917317973E-3</v>
      </c>
    </row>
    <row r="1133" spans="1:3" x14ac:dyDescent="0.3">
      <c r="A1133" s="3">
        <v>1108</v>
      </c>
      <c r="B1133" s="3">
        <v>1.0899238490465126</v>
      </c>
      <c r="C1133" s="3">
        <v>-7.7238490465125764E-3</v>
      </c>
    </row>
    <row r="1134" spans="1:3" x14ac:dyDescent="0.3">
      <c r="A1134" s="3">
        <v>1109</v>
      </c>
      <c r="B1134" s="3">
        <v>1.0888051621426604</v>
      </c>
      <c r="C1134" s="3">
        <v>-7.6051621426604932E-3</v>
      </c>
    </row>
    <row r="1135" spans="1:3" x14ac:dyDescent="0.3">
      <c r="A1135" s="3">
        <v>1110</v>
      </c>
      <c r="B1135" s="3">
        <v>1.087997048125168</v>
      </c>
      <c r="C1135" s="3">
        <v>-4.997048125167991E-3</v>
      </c>
    </row>
    <row r="1136" spans="1:3" x14ac:dyDescent="0.3">
      <c r="A1136" s="3">
        <v>1111</v>
      </c>
      <c r="B1136" s="3">
        <v>1.0894418709056362</v>
      </c>
      <c r="C1136" s="3">
        <v>-2.9418709056361347E-3</v>
      </c>
    </row>
    <row r="1137" spans="1:3" x14ac:dyDescent="0.3">
      <c r="A1137" s="3">
        <v>1112</v>
      </c>
      <c r="B1137" s="3">
        <v>1.0922616547401107</v>
      </c>
      <c r="C1137" s="3">
        <v>-1.6616547401107074E-3</v>
      </c>
    </row>
    <row r="1138" spans="1:3" x14ac:dyDescent="0.3">
      <c r="A1138" s="3">
        <v>1113</v>
      </c>
      <c r="B1138" s="3">
        <v>1.0955686970157275</v>
      </c>
      <c r="C1138" s="3">
        <v>-6.1686970157275312E-3</v>
      </c>
    </row>
    <row r="1139" spans="1:3" x14ac:dyDescent="0.3">
      <c r="A1139" s="3">
        <v>1114</v>
      </c>
      <c r="B1139" s="3">
        <v>1.0946150234239651</v>
      </c>
      <c r="C1139" s="3">
        <v>-4.9150234239652146E-3</v>
      </c>
    </row>
    <row r="1140" spans="1:3" x14ac:dyDescent="0.3">
      <c r="A1140" s="3">
        <v>1115</v>
      </c>
      <c r="B1140" s="3">
        <v>1.0948529554784601</v>
      </c>
      <c r="C1140" s="3">
        <v>-1.1529554784601714E-3</v>
      </c>
    </row>
    <row r="1141" spans="1:3" x14ac:dyDescent="0.3">
      <c r="A1141" s="3">
        <v>1116</v>
      </c>
      <c r="B1141" s="3">
        <v>1.0980706822897945</v>
      </c>
      <c r="C1141" s="3">
        <v>-8.4706822897946399E-3</v>
      </c>
    </row>
    <row r="1142" spans="1:3" x14ac:dyDescent="0.3">
      <c r="A1142" s="3">
        <v>1117</v>
      </c>
      <c r="B1142" s="3">
        <v>1.0947844833046998</v>
      </c>
      <c r="C1142" s="3">
        <v>-7.0844833046999067E-3</v>
      </c>
    </row>
    <row r="1143" spans="1:3" x14ac:dyDescent="0.3">
      <c r="A1143" s="3">
        <v>1118</v>
      </c>
      <c r="B1143" s="3">
        <v>1.0932450647596839</v>
      </c>
      <c r="C1143" s="3">
        <v>-4.345064759683881E-3</v>
      </c>
    </row>
    <row r="1144" spans="1:3" x14ac:dyDescent="0.3">
      <c r="A1144" s="3">
        <v>1119</v>
      </c>
      <c r="B1144" s="3">
        <v>1.0942048523833325</v>
      </c>
      <c r="C1144" s="3">
        <v>-9.1048523833325845E-3</v>
      </c>
    </row>
    <row r="1145" spans="1:3" x14ac:dyDescent="0.3">
      <c r="A1145" s="3">
        <v>1120</v>
      </c>
      <c r="B1145" s="3">
        <v>1.0911521388840881</v>
      </c>
      <c r="C1145" s="3">
        <v>-7.2521388840880441E-3</v>
      </c>
    </row>
    <row r="1146" spans="1:3" x14ac:dyDescent="0.3">
      <c r="A1146" s="3">
        <v>1121</v>
      </c>
      <c r="B1146" s="3">
        <v>1.0901765103596432</v>
      </c>
      <c r="C1146" s="3">
        <v>-5.7765103596432166E-3</v>
      </c>
    </row>
    <row r="1147" spans="1:3" x14ac:dyDescent="0.3">
      <c r="A1147" s="3">
        <v>1122</v>
      </c>
      <c r="B1147" s="3">
        <v>1.0905752870681238</v>
      </c>
      <c r="C1147" s="3">
        <v>-4.8752870681236793E-3</v>
      </c>
    </row>
    <row r="1148" spans="1:3" x14ac:dyDescent="0.3">
      <c r="A1148" s="3">
        <v>1123</v>
      </c>
      <c r="B1148" s="3">
        <v>1.0916221668717323</v>
      </c>
      <c r="C1148" s="3">
        <v>-9.7221668717322185E-3</v>
      </c>
    </row>
    <row r="1149" spans="1:3" x14ac:dyDescent="0.3">
      <c r="A1149" s="3">
        <v>1124</v>
      </c>
      <c r="B1149" s="3">
        <v>1.0885697312830283</v>
      </c>
      <c r="C1149" s="3">
        <v>-7.0697312830283465E-3</v>
      </c>
    </row>
    <row r="1150" spans="1:3" x14ac:dyDescent="0.3">
      <c r="A1150" s="3">
        <v>1125</v>
      </c>
      <c r="B1150" s="3">
        <v>1.0882374813745255</v>
      </c>
      <c r="C1150" s="3">
        <v>-5.7374813745254549E-3</v>
      </c>
    </row>
    <row r="1151" spans="1:3" x14ac:dyDescent="0.3">
      <c r="A1151" s="3">
        <v>1126</v>
      </c>
      <c r="B1151" s="3">
        <v>1.0890405930022928</v>
      </c>
      <c r="C1151" s="3">
        <v>-9.9405930022928857E-3</v>
      </c>
    </row>
    <row r="1152" spans="1:3" x14ac:dyDescent="0.3">
      <c r="A1152" s="3">
        <v>1127</v>
      </c>
      <c r="B1152" s="3">
        <v>1.0863090129899391</v>
      </c>
      <c r="C1152" s="3">
        <v>4.4909870100608984E-3</v>
      </c>
    </row>
    <row r="1153" spans="1:3" x14ac:dyDescent="0.3">
      <c r="A1153" s="3">
        <v>1128</v>
      </c>
      <c r="B1153" s="3">
        <v>1.0957089762897312</v>
      </c>
      <c r="C1153" s="3">
        <v>-5.0897628973123332E-4</v>
      </c>
    </row>
    <row r="1154" spans="1:3" x14ac:dyDescent="0.3">
      <c r="A1154" s="3">
        <v>1129</v>
      </c>
      <c r="B1154" s="3">
        <v>1.0992800742106303</v>
      </c>
      <c r="C1154" s="3">
        <v>-6.2800742106303709E-3</v>
      </c>
    </row>
    <row r="1155" spans="1:3" x14ac:dyDescent="0.3">
      <c r="A1155" s="3">
        <v>1130</v>
      </c>
      <c r="B1155" s="3">
        <v>1.0975230110805609</v>
      </c>
      <c r="C1155" s="3">
        <v>-5.4230110805608689E-3</v>
      </c>
    </row>
    <row r="1156" spans="1:3" x14ac:dyDescent="0.3">
      <c r="A1156" s="3">
        <v>1131</v>
      </c>
      <c r="B1156" s="3">
        <v>1.0967930961057388</v>
      </c>
      <c r="C1156" s="3">
        <v>-4.9930961057387258E-3</v>
      </c>
    </row>
    <row r="1157" spans="1:3" x14ac:dyDescent="0.3">
      <c r="A1157" s="3">
        <v>1132</v>
      </c>
      <c r="B1157" s="3">
        <v>1.0965493279298977</v>
      </c>
      <c r="C1157" s="3">
        <v>-4.9493279298977733E-3</v>
      </c>
    </row>
    <row r="1158" spans="1:3" x14ac:dyDescent="0.3">
      <c r="A1158" s="3">
        <v>1133</v>
      </c>
      <c r="B1158" s="3">
        <v>1.096387649544291</v>
      </c>
      <c r="C1158" s="3">
        <v>-3.2876495442910603E-3</v>
      </c>
    </row>
    <row r="1159" spans="1:3" x14ac:dyDescent="0.3">
      <c r="A1159" s="3">
        <v>1134</v>
      </c>
      <c r="B1159" s="3">
        <v>1.0975934286281033</v>
      </c>
      <c r="C1159" s="3">
        <v>1.6065713718966812E-3</v>
      </c>
    </row>
    <row r="1160" spans="1:3" x14ac:dyDescent="0.3">
      <c r="A1160" s="3">
        <v>1135</v>
      </c>
      <c r="B1160" s="3">
        <v>1.1025033592327704</v>
      </c>
      <c r="C1160" s="3">
        <v>-1.3033592327704735E-3</v>
      </c>
    </row>
    <row r="1161" spans="1:3" x14ac:dyDescent="0.3">
      <c r="A1161" s="3">
        <v>1136</v>
      </c>
      <c r="B1161" s="3">
        <v>1.1041287583155852</v>
      </c>
      <c r="C1161" s="3">
        <v>-7.0287583155852484E-3</v>
      </c>
    </row>
    <row r="1162" spans="1:3" x14ac:dyDescent="0.3">
      <c r="A1162" s="3">
        <v>1137</v>
      </c>
      <c r="B1162" s="3">
        <v>1.1008370011196846</v>
      </c>
      <c r="C1162" s="3">
        <v>1.9629988803153697E-3</v>
      </c>
    </row>
    <row r="1163" spans="1:3" x14ac:dyDescent="0.3">
      <c r="A1163" s="3">
        <v>1138</v>
      </c>
      <c r="B1163" s="3">
        <v>1.1054096794261243</v>
      </c>
      <c r="C1163" s="3">
        <v>3.0903205738757045E-3</v>
      </c>
    </row>
    <row r="1164" spans="1:3" x14ac:dyDescent="0.3">
      <c r="A1164" s="3">
        <v>1139</v>
      </c>
      <c r="B1164" s="3">
        <v>1.1100095929655129</v>
      </c>
      <c r="C1164" s="3">
        <v>2.9904070344870526E-3</v>
      </c>
    </row>
    <row r="1165" spans="1:3" x14ac:dyDescent="0.3">
      <c r="A1165" s="3">
        <v>1140</v>
      </c>
      <c r="B1165" s="3">
        <v>1.1136444385809872</v>
      </c>
      <c r="C1165" s="3">
        <v>1.3555614190128296E-3</v>
      </c>
    </row>
    <row r="1166" spans="1:3" x14ac:dyDescent="0.3">
      <c r="A1166" s="3">
        <v>1141</v>
      </c>
      <c r="B1166" s="3">
        <v>1.1152653910951571</v>
      </c>
      <c r="C1166" s="3">
        <v>-4.0653910951571337E-3</v>
      </c>
    </row>
    <row r="1167" spans="1:3" x14ac:dyDescent="0.3">
      <c r="A1167" s="3">
        <v>1142</v>
      </c>
      <c r="B1167" s="3">
        <v>1.1122149008802351</v>
      </c>
      <c r="C1167" s="3">
        <v>6.7850991197648813E-3</v>
      </c>
    </row>
    <row r="1168" spans="1:3" x14ac:dyDescent="0.3">
      <c r="A1168" s="3">
        <v>1143</v>
      </c>
      <c r="B1168" s="3">
        <v>1.1184772817851454</v>
      </c>
      <c r="C1168" s="3">
        <v>-2.377281785145291E-3</v>
      </c>
    </row>
    <row r="1169" spans="1:3" x14ac:dyDescent="0.3">
      <c r="A1169" s="3">
        <v>1144</v>
      </c>
      <c r="B1169" s="3">
        <v>1.116166711324496</v>
      </c>
      <c r="C1169" s="3">
        <v>2.233288675504097E-3</v>
      </c>
    </row>
    <row r="1170" spans="1:3" x14ac:dyDescent="0.3">
      <c r="A1170" s="3">
        <v>1145</v>
      </c>
      <c r="B1170" s="3">
        <v>1.1180083654396629</v>
      </c>
      <c r="C1170" s="3">
        <v>-6.0083654396627661E-3</v>
      </c>
    </row>
    <row r="1171" spans="1:3" x14ac:dyDescent="0.3">
      <c r="A1171" s="3">
        <v>1146</v>
      </c>
      <c r="B1171" s="3">
        <v>1.1128677284545481</v>
      </c>
      <c r="C1171" s="3">
        <v>-5.1677284545481594E-3</v>
      </c>
    </row>
    <row r="1172" spans="1:3" x14ac:dyDescent="0.3">
      <c r="A1172" s="3">
        <v>1147</v>
      </c>
      <c r="B1172" s="3">
        <v>1.1093917821192771</v>
      </c>
      <c r="C1172" s="3">
        <v>-4.6917821192771214E-3</v>
      </c>
    </row>
    <row r="1173" spans="1:3" x14ac:dyDescent="0.3">
      <c r="A1173" s="3">
        <v>1148</v>
      </c>
      <c r="B1173" s="3">
        <v>1.1069671621562593</v>
      </c>
      <c r="C1173" s="3">
        <v>1.3283784374062968E-4</v>
      </c>
    </row>
    <row r="1174" spans="1:3" x14ac:dyDescent="0.3">
      <c r="A1174" s="3">
        <v>1149</v>
      </c>
      <c r="B1174" s="3">
        <v>1.1088889606878787</v>
      </c>
      <c r="C1174" s="3">
        <v>-4.5889606878786182E-3</v>
      </c>
    </row>
    <row r="1175" spans="1:3" x14ac:dyDescent="0.3">
      <c r="A1175" s="3">
        <v>1150</v>
      </c>
      <c r="B1175" s="3">
        <v>1.1066438053850463</v>
      </c>
      <c r="C1175" s="3">
        <v>1.5561946149538208E-3</v>
      </c>
    </row>
    <row r="1176" spans="1:3" x14ac:dyDescent="0.3">
      <c r="A1176" s="3">
        <v>1151</v>
      </c>
      <c r="B1176" s="3">
        <v>1.1097724946426388</v>
      </c>
      <c r="C1176" s="3">
        <v>1.2275053573611583E-3</v>
      </c>
    </row>
    <row r="1177" spans="1:3" x14ac:dyDescent="0.3">
      <c r="A1177" s="3">
        <v>1152</v>
      </c>
      <c r="B1177" s="3">
        <v>1.1120351583095096</v>
      </c>
      <c r="C1177" s="3">
        <v>-3.7351583095095453E-3</v>
      </c>
    </row>
    <row r="1178" spans="1:3" x14ac:dyDescent="0.3">
      <c r="A1178" s="3">
        <v>1153</v>
      </c>
      <c r="B1178" s="3">
        <v>1.1098715369758314</v>
      </c>
      <c r="C1178" s="3">
        <v>-6.4715369758314711E-3</v>
      </c>
    </row>
    <row r="1179" spans="1:3" x14ac:dyDescent="0.3">
      <c r="A1179" s="3">
        <v>1154</v>
      </c>
      <c r="B1179" s="3">
        <v>1.1059233393685941</v>
      </c>
      <c r="C1179" s="3">
        <v>-4.0233393685940033E-3</v>
      </c>
    </row>
    <row r="1180" spans="1:3" x14ac:dyDescent="0.3">
      <c r="A1180" s="3">
        <v>1155</v>
      </c>
      <c r="B1180" s="3">
        <v>1.1047033868472276</v>
      </c>
      <c r="C1180" s="3">
        <v>-3.6033868472276076E-3</v>
      </c>
    </row>
    <row r="1181" spans="1:3" x14ac:dyDescent="0.3">
      <c r="A1181" s="3">
        <v>1156</v>
      </c>
      <c r="B1181" s="3">
        <v>1.1040558395731801</v>
      </c>
      <c r="C1181" s="3">
        <v>3.3441604268198422E-3</v>
      </c>
    </row>
    <row r="1182" spans="1:3" x14ac:dyDescent="0.3">
      <c r="A1182" s="3">
        <v>1157</v>
      </c>
      <c r="B1182" s="3">
        <v>1.1091202228894066</v>
      </c>
      <c r="C1182" s="3">
        <v>-1.5202228894066749E-3</v>
      </c>
    </row>
    <row r="1183" spans="1:3" x14ac:dyDescent="0.3">
      <c r="A1183" s="3">
        <v>1158</v>
      </c>
      <c r="B1183" s="3">
        <v>1.1092985759074308</v>
      </c>
      <c r="C1183" s="3">
        <v>3.9014240925692167E-3</v>
      </c>
    </row>
    <row r="1184" spans="1:3" x14ac:dyDescent="0.3">
      <c r="A1184" s="3">
        <v>1159</v>
      </c>
      <c r="B1184" s="3">
        <v>1.1138027820401102</v>
      </c>
      <c r="C1184" s="3">
        <v>-2.5027820401102296E-3</v>
      </c>
    </row>
    <row r="1185" spans="1:3" x14ac:dyDescent="0.3">
      <c r="A1185" s="3">
        <v>1160</v>
      </c>
      <c r="B1185" s="3">
        <v>1.1122903208175028</v>
      </c>
      <c r="C1185" s="3">
        <v>-4.9032081750288725E-4</v>
      </c>
    </row>
    <row r="1186" spans="1:3" x14ac:dyDescent="0.3">
      <c r="A1186" s="3">
        <v>1161</v>
      </c>
      <c r="B1186" s="3">
        <v>1.1126871521522013</v>
      </c>
      <c r="C1186" s="3">
        <v>3.4128478477988278E-3</v>
      </c>
    </row>
    <row r="1187" spans="1:3" x14ac:dyDescent="0.3">
      <c r="A1187" s="3">
        <v>1162</v>
      </c>
      <c r="B1187" s="3">
        <v>1.1161467017655948</v>
      </c>
      <c r="C1187" s="3">
        <v>5.3298234405252387E-5</v>
      </c>
    </row>
    <row r="1188" spans="1:3" x14ac:dyDescent="0.3">
      <c r="A1188" s="3">
        <v>1163</v>
      </c>
      <c r="B1188" s="3">
        <v>1.1162390742458204</v>
      </c>
      <c r="C1188" s="3">
        <v>-5.0390742458203963E-3</v>
      </c>
    </row>
    <row r="1189" spans="1:3" x14ac:dyDescent="0.3">
      <c r="A1189" s="3">
        <v>1164</v>
      </c>
      <c r="B1189" s="3">
        <v>1.1122182358067185</v>
      </c>
      <c r="C1189" s="3">
        <v>5.78176419328158E-3</v>
      </c>
    </row>
    <row r="1190" spans="1:3" x14ac:dyDescent="0.3">
      <c r="A1190" s="3">
        <v>1165</v>
      </c>
      <c r="B1190" s="3">
        <v>1.117673058515217</v>
      </c>
      <c r="C1190" s="3">
        <v>-4.4730585152170654E-3</v>
      </c>
    </row>
    <row r="1191" spans="1:3" x14ac:dyDescent="0.3">
      <c r="A1191" s="3">
        <v>1166</v>
      </c>
      <c r="B1191" s="3">
        <v>1.1138316847363008</v>
      </c>
      <c r="C1191" s="3">
        <v>3.7683152636991402E-3</v>
      </c>
    </row>
    <row r="1192" spans="1:3" x14ac:dyDescent="0.3">
      <c r="A1192" s="3">
        <v>1167</v>
      </c>
      <c r="B1192" s="3">
        <v>1.1173569274180515</v>
      </c>
      <c r="C1192" s="3">
        <v>-1.0569274180514121E-3</v>
      </c>
    </row>
    <row r="1193" spans="1:3" x14ac:dyDescent="0.3">
      <c r="A1193" s="3">
        <v>1168</v>
      </c>
      <c r="B1193" s="3">
        <v>1.1163236652309174</v>
      </c>
      <c r="C1193" s="3">
        <v>-2.9236652309174715E-3</v>
      </c>
    </row>
    <row r="1194" spans="1:3" x14ac:dyDescent="0.3">
      <c r="A1194" s="3">
        <v>1169</v>
      </c>
      <c r="B1194" s="3">
        <v>1.1139878049111014</v>
      </c>
      <c r="C1194" s="3">
        <v>-7.2878049111013699E-3</v>
      </c>
    </row>
    <row r="1195" spans="1:3" x14ac:dyDescent="0.3">
      <c r="A1195" s="3">
        <v>1170</v>
      </c>
      <c r="B1195" s="3">
        <v>1.1085914495969127</v>
      </c>
      <c r="C1195" s="3">
        <v>-4.0914495969126552E-3</v>
      </c>
    </row>
    <row r="1196" spans="1:3" x14ac:dyDescent="0.3">
      <c r="A1196" s="3">
        <v>1171</v>
      </c>
      <c r="B1196" s="3">
        <v>1.1068035383968708</v>
      </c>
      <c r="C1196" s="3">
        <v>-3.7035383968708757E-3</v>
      </c>
    </row>
    <row r="1197" spans="1:3" x14ac:dyDescent="0.3">
      <c r="A1197" s="3">
        <v>1172</v>
      </c>
      <c r="B1197" s="3">
        <v>1.1056715117870848</v>
      </c>
      <c r="C1197" s="3">
        <v>-8.0715117870848729E-3</v>
      </c>
    </row>
    <row r="1198" spans="1:3" x14ac:dyDescent="0.3">
      <c r="A1198" s="3">
        <v>1173</v>
      </c>
      <c r="B1198" s="3">
        <v>1.1012443930549145</v>
      </c>
      <c r="C1198" s="3">
        <v>-3.8443930549145744E-3</v>
      </c>
    </row>
    <row r="1199" spans="1:3" x14ac:dyDescent="0.3">
      <c r="A1199" s="3">
        <v>1174</v>
      </c>
      <c r="B1199" s="3">
        <v>1.1010682633212128</v>
      </c>
      <c r="C1199" s="3">
        <v>-3.0682633212126831E-3</v>
      </c>
    </row>
    <row r="1200" spans="1:3" x14ac:dyDescent="0.3">
      <c r="A1200" s="3">
        <v>1175</v>
      </c>
      <c r="B1200" s="3">
        <v>1.101550241462089</v>
      </c>
      <c r="C1200" s="3">
        <v>-7.6502414620889247E-3</v>
      </c>
    </row>
    <row r="1201" spans="1:3" x14ac:dyDescent="0.3">
      <c r="A1201" s="3">
        <v>1176</v>
      </c>
      <c r="B1201" s="3">
        <v>1.0982545935186248</v>
      </c>
      <c r="C1201" s="3">
        <v>-4.7545935186248389E-3</v>
      </c>
    </row>
    <row r="1202" spans="1:3" x14ac:dyDescent="0.3">
      <c r="A1202" s="3">
        <v>1177</v>
      </c>
      <c r="B1202" s="3">
        <v>1.0979215098785011</v>
      </c>
      <c r="C1202" s="3">
        <v>-4.2215098785012284E-3</v>
      </c>
    </row>
    <row r="1203" spans="1:3" x14ac:dyDescent="0.3">
      <c r="A1203" s="3">
        <v>1178</v>
      </c>
      <c r="B1203" s="3">
        <v>1.0980812428903257</v>
      </c>
      <c r="C1203" s="3">
        <v>-7.1812428903257342E-3</v>
      </c>
    </row>
    <row r="1204" spans="1:3" x14ac:dyDescent="0.3">
      <c r="A1204" s="3">
        <v>1179</v>
      </c>
      <c r="B1204" s="3">
        <v>1.0958299735556067</v>
      </c>
      <c r="C1204" s="3">
        <v>-6.829973555606772E-3</v>
      </c>
    </row>
    <row r="1205" spans="1:3" x14ac:dyDescent="0.3">
      <c r="A1205" s="3">
        <v>1180</v>
      </c>
      <c r="B1205" s="3">
        <v>1.0942941678476148</v>
      </c>
      <c r="C1205" s="3">
        <v>-8.1941678476147306E-3</v>
      </c>
    </row>
    <row r="1206" spans="1:3" x14ac:dyDescent="0.3">
      <c r="A1206" s="3">
        <v>1181</v>
      </c>
      <c r="B1206" s="3">
        <v>1.0919566400645568</v>
      </c>
      <c r="C1206" s="3">
        <v>-8.8566400645568866E-3</v>
      </c>
    </row>
    <row r="1207" spans="1:3" x14ac:dyDescent="0.3">
      <c r="A1207" s="3">
        <v>1182</v>
      </c>
      <c r="B1207" s="3">
        <v>1.0895359108491034</v>
      </c>
      <c r="C1207" s="3">
        <v>-2.9359108491033847E-3</v>
      </c>
    </row>
    <row r="1208" spans="1:3" x14ac:dyDescent="0.3">
      <c r="A1208" s="3">
        <v>1183</v>
      </c>
      <c r="B1208" s="3">
        <v>1.0923423549776439</v>
      </c>
      <c r="C1208" s="3">
        <v>-1.0842354977643964E-2</v>
      </c>
    </row>
    <row r="1209" spans="1:3" x14ac:dyDescent="0.3">
      <c r="A1209" s="3">
        <v>1184</v>
      </c>
      <c r="B1209" s="3">
        <v>1.0882505431699192</v>
      </c>
      <c r="C1209" s="3">
        <v>-8.5505431699191004E-3</v>
      </c>
    </row>
    <row r="1210" spans="1:3" x14ac:dyDescent="0.3">
      <c r="A1210" s="3">
        <v>1185</v>
      </c>
      <c r="B1210" s="3">
        <v>1.0867887678464934</v>
      </c>
      <c r="C1210" s="3">
        <v>-8.688767846493306E-3</v>
      </c>
    </row>
    <row r="1211" spans="1:3" x14ac:dyDescent="0.3">
      <c r="A1211" s="3">
        <v>1186</v>
      </c>
      <c r="B1211" s="3">
        <v>1.0854970082248829</v>
      </c>
      <c r="C1211" s="3">
        <v>-2.7970082248829353E-3</v>
      </c>
    </row>
    <row r="1212" spans="1:3" x14ac:dyDescent="0.3">
      <c r="A1212" s="3">
        <v>1187</v>
      </c>
      <c r="B1212" s="3">
        <v>1.0891919886979085</v>
      </c>
      <c r="C1212" s="3">
        <v>-9.891988697908527E-3</v>
      </c>
    </row>
    <row r="1213" spans="1:3" x14ac:dyDescent="0.3">
      <c r="A1213" s="3">
        <v>1188</v>
      </c>
      <c r="B1213" s="3">
        <v>1.0864704134650056</v>
      </c>
      <c r="C1213" s="3">
        <v>-5.2704134650056744E-3</v>
      </c>
    </row>
    <row r="1214" spans="1:3" x14ac:dyDescent="0.3">
      <c r="A1214" s="3">
        <v>1189</v>
      </c>
      <c r="B1214" s="3">
        <v>1.0879889887194996</v>
      </c>
      <c r="C1214" s="3">
        <v>-6.1889887194994664E-3</v>
      </c>
    </row>
    <row r="1215" spans="1:3" x14ac:dyDescent="0.3">
      <c r="A1215" s="3">
        <v>1190</v>
      </c>
      <c r="B1215" s="3">
        <v>1.0884768029817222</v>
      </c>
      <c r="C1215" s="3">
        <v>-2.9768029817223152E-3</v>
      </c>
    </row>
    <row r="1216" spans="1:3" x14ac:dyDescent="0.3">
      <c r="A1216" s="3">
        <v>1191</v>
      </c>
      <c r="B1216" s="3">
        <v>1.0914540965436987</v>
      </c>
      <c r="C1216" s="3">
        <v>-3.1540965436986923E-3</v>
      </c>
    </row>
    <row r="1217" spans="1:3" x14ac:dyDescent="0.3">
      <c r="A1217" s="3">
        <v>1192</v>
      </c>
      <c r="B1217" s="3">
        <v>1.093716204389489</v>
      </c>
      <c r="C1217" s="3">
        <v>-1.0316204389489103E-2</v>
      </c>
    </row>
    <row r="1218" spans="1:3" x14ac:dyDescent="0.3">
      <c r="A1218" s="3">
        <v>1193</v>
      </c>
      <c r="B1218" s="3">
        <v>1.0897832918619681</v>
      </c>
      <c r="C1218" s="3">
        <v>-2.0832918619682061E-3</v>
      </c>
    </row>
    <row r="1219" spans="1:3" x14ac:dyDescent="0.3">
      <c r="A1219" s="3">
        <v>1194</v>
      </c>
      <c r="B1219" s="3">
        <v>1.0932278343061859</v>
      </c>
      <c r="C1219" s="3">
        <v>-2.2783430618589229E-4</v>
      </c>
    </row>
    <row r="1220" spans="1:3" x14ac:dyDescent="0.3">
      <c r="A1220" s="3">
        <v>1195</v>
      </c>
      <c r="B1220" s="3">
        <v>1.097502167790039</v>
      </c>
      <c r="C1220" s="3">
        <v>-2.4702167790038976E-2</v>
      </c>
    </row>
    <row r="1221" spans="1:3" x14ac:dyDescent="0.3">
      <c r="A1221" s="3">
        <v>1196</v>
      </c>
      <c r="B1221" s="3">
        <v>1.0812715869961211</v>
      </c>
      <c r="C1221" s="3">
        <v>-8.7158699612110979E-4</v>
      </c>
    </row>
    <row r="1222" spans="1:3" x14ac:dyDescent="0.3">
      <c r="A1222" s="3">
        <v>1197</v>
      </c>
      <c r="B1222" s="3">
        <v>1.0873275459184377</v>
      </c>
      <c r="C1222" s="3">
        <v>-1.5527545918437635E-2</v>
      </c>
    </row>
    <row r="1223" spans="1:3" x14ac:dyDescent="0.3">
      <c r="A1223" s="3">
        <v>1198</v>
      </c>
      <c r="B1223" s="3">
        <v>1.0804323469981161</v>
      </c>
      <c r="C1223" s="3">
        <v>-1.5032346998116175E-2</v>
      </c>
    </row>
    <row r="1224" spans="1:3" x14ac:dyDescent="0.3">
      <c r="A1224" s="3">
        <v>1199</v>
      </c>
      <c r="B1224" s="3">
        <v>1.0752614177641093</v>
      </c>
      <c r="C1224" s="3">
        <v>-1.2961417764109306E-2</v>
      </c>
    </row>
    <row r="1225" spans="1:3" x14ac:dyDescent="0.3">
      <c r="A1225" s="3">
        <v>1200</v>
      </c>
      <c r="B1225" s="3">
        <v>1.0727505393527528</v>
      </c>
      <c r="C1225" s="3">
        <v>-1.6450539352752758E-2</v>
      </c>
    </row>
    <row r="1226" spans="1:3" x14ac:dyDescent="0.3">
      <c r="A1226" s="3">
        <v>1201</v>
      </c>
      <c r="B1226" s="3">
        <v>1.0679165845064333</v>
      </c>
      <c r="C1226" s="3">
        <v>-1.4916584506433406E-2</v>
      </c>
    </row>
    <row r="1227" spans="1:3" x14ac:dyDescent="0.3">
      <c r="A1227" s="3">
        <v>1202</v>
      </c>
      <c r="B1227" s="3">
        <v>1.065245973083252</v>
      </c>
      <c r="C1227" s="3">
        <v>-1.1145973083251937E-2</v>
      </c>
    </row>
    <row r="1228" spans="1:3" x14ac:dyDescent="0.3">
      <c r="A1228" s="3">
        <v>1203</v>
      </c>
      <c r="B1228" s="3">
        <v>1.0661214476323437</v>
      </c>
      <c r="C1228" s="3">
        <v>-6.2214476323436685E-3</v>
      </c>
    </row>
    <row r="1229" spans="1:3" x14ac:dyDescent="0.3">
      <c r="A1229" s="3">
        <v>1204</v>
      </c>
      <c r="B1229" s="3">
        <v>1.0707889996138715</v>
      </c>
      <c r="C1229" s="3">
        <v>-1.128899961387142E-2</v>
      </c>
    </row>
    <row r="1230" spans="1:3" x14ac:dyDescent="0.3">
      <c r="A1230" s="3">
        <v>1205</v>
      </c>
      <c r="B1230" s="3">
        <v>1.0704834291172372</v>
      </c>
      <c r="C1230" s="3">
        <v>-1.6183429117237136E-2</v>
      </c>
    </row>
    <row r="1231" spans="1:3" x14ac:dyDescent="0.3">
      <c r="A1231" s="3">
        <v>1206</v>
      </c>
      <c r="B1231" s="3">
        <v>1.0663003564714484</v>
      </c>
      <c r="C1231" s="3">
        <v>-1.9000356471448487E-2</v>
      </c>
    </row>
    <row r="1232" spans="1:3" x14ac:dyDescent="0.3">
      <c r="A1232" s="3">
        <v>1207</v>
      </c>
      <c r="B1232" s="3">
        <v>1.0606563422338544</v>
      </c>
      <c r="C1232" s="3">
        <v>-1.895634223385434E-2</v>
      </c>
    </row>
    <row r="1233" spans="1:3" x14ac:dyDescent="0.3">
      <c r="A1233" s="3">
        <v>1208</v>
      </c>
      <c r="B1233" s="3">
        <v>1.0561332381844353</v>
      </c>
      <c r="C1233" s="3">
        <v>-6.7332381844351641E-3</v>
      </c>
    </row>
    <row r="1234" spans="1:3" x14ac:dyDescent="0.3">
      <c r="A1234" s="3">
        <v>1209</v>
      </c>
      <c r="B1234" s="3">
        <v>1.0623101943726272</v>
      </c>
      <c r="C1234" s="3">
        <v>-1.3710194372627216E-2</v>
      </c>
    </row>
    <row r="1235" spans="1:3" x14ac:dyDescent="0.3">
      <c r="A1235" s="3">
        <v>1210</v>
      </c>
      <c r="B1235" s="3">
        <v>1.0616882148682871</v>
      </c>
      <c r="C1235" s="3">
        <v>-5.2882148682871222E-3</v>
      </c>
    </row>
    <row r="1236" spans="1:3" x14ac:dyDescent="0.3">
      <c r="A1236" s="3">
        <v>1211</v>
      </c>
      <c r="B1236" s="3">
        <v>1.0679589330894059</v>
      </c>
      <c r="C1236" s="3">
        <v>-1.2658933089406021E-2</v>
      </c>
    </row>
    <row r="1237" spans="1:3" x14ac:dyDescent="0.3">
      <c r="A1237" s="3">
        <v>1212</v>
      </c>
      <c r="B1237" s="3">
        <v>1.0670959645146276</v>
      </c>
      <c r="C1237" s="3">
        <v>-9.5959645146275196E-3</v>
      </c>
    </row>
    <row r="1238" spans="1:3" x14ac:dyDescent="0.3">
      <c r="A1238" s="3">
        <v>1213</v>
      </c>
      <c r="B1238" s="3">
        <v>1.0688621986925269</v>
      </c>
      <c r="C1238" s="3">
        <v>-1.9162198692526777E-2</v>
      </c>
    </row>
    <row r="1239" spans="1:3" x14ac:dyDescent="0.3">
      <c r="A1239" s="3">
        <v>1214</v>
      </c>
      <c r="B1239" s="3">
        <v>1.0625953712189722</v>
      </c>
      <c r="C1239" s="3">
        <v>-1.1695371218972239E-2</v>
      </c>
    </row>
    <row r="1240" spans="1:3" x14ac:dyDescent="0.3">
      <c r="A1240" s="3">
        <v>1215</v>
      </c>
      <c r="B1240" s="3">
        <v>1.0635387621207433</v>
      </c>
      <c r="C1240" s="3">
        <v>-1.2538762120743341E-2</v>
      </c>
    </row>
    <row r="1241" spans="1:3" x14ac:dyDescent="0.3">
      <c r="A1241" s="3">
        <v>1216</v>
      </c>
      <c r="B1241" s="3">
        <v>1.0636225193742195</v>
      </c>
      <c r="C1241" s="3">
        <v>-5.0225193742194918E-3</v>
      </c>
    </row>
    <row r="1242" spans="1:3" x14ac:dyDescent="0.3">
      <c r="A1242" s="3">
        <v>1217</v>
      </c>
      <c r="B1242" s="3">
        <v>1.0697348941362155</v>
      </c>
      <c r="C1242" s="3">
        <v>-1.2934894136215513E-2</v>
      </c>
    </row>
    <row r="1243" spans="1:3" x14ac:dyDescent="0.3">
      <c r="A1243" s="3">
        <v>1218</v>
      </c>
      <c r="B1243" s="3">
        <v>1.0683084134514067</v>
      </c>
      <c r="C1243" s="3">
        <v>-1.3108413451406786E-2</v>
      </c>
    </row>
    <row r="1244" spans="1:3" x14ac:dyDescent="0.3">
      <c r="A1244" s="3">
        <v>1219</v>
      </c>
      <c r="B1244" s="3">
        <v>1.067016653829796</v>
      </c>
      <c r="C1244" s="3">
        <v>-1.4416653829796067E-2</v>
      </c>
    </row>
    <row r="1245" spans="1:3" x14ac:dyDescent="0.3">
      <c r="A1245" s="3">
        <v>1220</v>
      </c>
      <c r="B1245" s="3">
        <v>1.0649212267593375</v>
      </c>
      <c r="C1245" s="3">
        <v>-1.5521226759337425E-2</v>
      </c>
    </row>
    <row r="1246" spans="1:3" x14ac:dyDescent="0.3">
      <c r="A1246" s="3">
        <v>1221</v>
      </c>
      <c r="B1246" s="3">
        <v>1.0623404866215191</v>
      </c>
      <c r="C1246" s="3">
        <v>-1.5640486621519178E-2</v>
      </c>
    </row>
    <row r="1247" spans="1:3" x14ac:dyDescent="0.3">
      <c r="A1247" s="3">
        <v>1222</v>
      </c>
      <c r="B1247" s="3">
        <v>1.0601601906554232</v>
      </c>
      <c r="C1247" s="3">
        <v>-9.9601906554231956E-3</v>
      </c>
    </row>
    <row r="1248" spans="1:3" x14ac:dyDescent="0.3">
      <c r="A1248" s="3">
        <v>1223</v>
      </c>
      <c r="B1248" s="3">
        <v>1.0629674685155845</v>
      </c>
      <c r="C1248" s="3">
        <v>-1.1967468515584612E-2</v>
      </c>
    </row>
    <row r="1249" spans="1:3" x14ac:dyDescent="0.3">
      <c r="A1249" s="3">
        <v>1224</v>
      </c>
      <c r="B1249" s="3">
        <v>1.0636205740004374</v>
      </c>
      <c r="C1249" s="3">
        <v>-1.472057400043747E-2</v>
      </c>
    </row>
    <row r="1250" spans="1:3" x14ac:dyDescent="0.3">
      <c r="A1250" s="3">
        <v>1225</v>
      </c>
      <c r="B1250" s="3">
        <v>1.0619339284179101</v>
      </c>
      <c r="C1250" s="3">
        <v>-2.6733928417910224E-2</v>
      </c>
    </row>
    <row r="1251" spans="1:3" x14ac:dyDescent="0.3">
      <c r="A1251" s="3">
        <v>1226</v>
      </c>
      <c r="B1251" s="3">
        <v>1.0509102334985454</v>
      </c>
      <c r="C1251" s="3">
        <v>-1.4710233498545389E-2</v>
      </c>
    </row>
    <row r="1252" spans="1:3" x14ac:dyDescent="0.3">
      <c r="A1252" s="3">
        <v>1227</v>
      </c>
      <c r="B1252" s="3">
        <v>1.0516763830244535</v>
      </c>
      <c r="C1252" s="3">
        <v>-8.7763830244536045E-3</v>
      </c>
    </row>
    <row r="1253" spans="1:3" x14ac:dyDescent="0.3">
      <c r="A1253" s="3">
        <v>1228</v>
      </c>
      <c r="B1253" s="3">
        <v>1.0570674580383765</v>
      </c>
      <c r="C1253" s="3">
        <v>-1.6567458038376559E-2</v>
      </c>
    </row>
    <row r="1254" spans="1:3" x14ac:dyDescent="0.3">
      <c r="A1254" s="3">
        <v>1229</v>
      </c>
      <c r="B1254" s="3">
        <v>1.0551559421967482</v>
      </c>
      <c r="C1254" s="3">
        <v>-1.5455942196748174E-2</v>
      </c>
    </row>
    <row r="1255" spans="1:3" x14ac:dyDescent="0.3">
      <c r="A1255" s="3">
        <v>1230</v>
      </c>
      <c r="B1255" s="3">
        <v>1.0545058937278387</v>
      </c>
      <c r="C1255" s="3">
        <v>-1.4105893727838659E-2</v>
      </c>
    </row>
    <row r="1256" spans="1:3" x14ac:dyDescent="0.3">
      <c r="A1256" s="3">
        <v>1231</v>
      </c>
      <c r="B1256" s="3">
        <v>1.055066626732466</v>
      </c>
      <c r="C1256" s="3">
        <v>-1.2866626732465969E-2</v>
      </c>
    </row>
    <row r="1257" spans="1:3" x14ac:dyDescent="0.3">
      <c r="A1257" s="3">
        <v>1232</v>
      </c>
      <c r="B1257" s="3">
        <v>1.0565161739921192</v>
      </c>
      <c r="C1257" s="3">
        <v>-1.3816173992119207E-2</v>
      </c>
    </row>
    <row r="1258" spans="1:3" x14ac:dyDescent="0.3">
      <c r="A1258" s="3">
        <v>1233</v>
      </c>
      <c r="B1258" s="3">
        <v>1.0569232880168087</v>
      </c>
      <c r="C1258" s="3">
        <v>-1.6223288016808723E-2</v>
      </c>
    </row>
    <row r="1259" spans="1:3" x14ac:dyDescent="0.3">
      <c r="A1259" s="3">
        <v>1234</v>
      </c>
      <c r="B1259" s="3">
        <v>1.0553162310296531</v>
      </c>
      <c r="C1259" s="3">
        <v>-2.0016231029652998E-2</v>
      </c>
    </row>
    <row r="1260" spans="1:3" x14ac:dyDescent="0.3">
      <c r="A1260" s="3">
        <v>1235</v>
      </c>
      <c r="B1260" s="3">
        <v>1.0509678671612344</v>
      </c>
      <c r="C1260" s="3">
        <v>-2.4467867161234391E-2</v>
      </c>
    </row>
    <row r="1261" spans="1:3" x14ac:dyDescent="0.3">
      <c r="A1261" s="3">
        <v>1236</v>
      </c>
      <c r="B1261" s="3">
        <v>1.0438756952166888</v>
      </c>
      <c r="C1261" s="3">
        <v>-1.3075695216688832E-2</v>
      </c>
    </row>
    <row r="1262" spans="1:3" x14ac:dyDescent="0.3">
      <c r="A1262" s="3">
        <v>1237</v>
      </c>
      <c r="B1262" s="3">
        <v>1.047309399149835</v>
      </c>
      <c r="C1262" s="3">
        <v>-8.3093991498350839E-3</v>
      </c>
    </row>
    <row r="1263" spans="1:3" x14ac:dyDescent="0.3">
      <c r="A1263" s="3">
        <v>1238</v>
      </c>
      <c r="B1263" s="3">
        <v>1.0539159801164801</v>
      </c>
      <c r="C1263" s="3">
        <v>-2.0015980116480092E-2</v>
      </c>
    </row>
    <row r="1264" spans="1:3" x14ac:dyDescent="0.3">
      <c r="A1264" s="3">
        <v>1239</v>
      </c>
      <c r="B1264" s="3">
        <v>1.0498372301041496</v>
      </c>
      <c r="C1264" s="3">
        <v>-1.8037230104149593E-2</v>
      </c>
    </row>
    <row r="1265" spans="1:3" x14ac:dyDescent="0.3">
      <c r="A1265" s="3">
        <v>1240</v>
      </c>
      <c r="B1265" s="3">
        <v>1.048134187799745</v>
      </c>
      <c r="C1265" s="3">
        <v>-1.8334187799744939E-2</v>
      </c>
    </row>
    <row r="1266" spans="1:3" x14ac:dyDescent="0.3">
      <c r="A1266" s="3">
        <v>1241</v>
      </c>
      <c r="B1266" s="3">
        <v>1.0465199051385421</v>
      </c>
      <c r="C1266" s="3">
        <v>-2.2119905138542117E-2</v>
      </c>
    </row>
    <row r="1267" spans="1:3" x14ac:dyDescent="0.3">
      <c r="A1267" s="3">
        <v>1242</v>
      </c>
      <c r="B1267" s="3">
        <v>1.0421715412701231</v>
      </c>
      <c r="C1267" s="3">
        <v>-1.7771541270123148E-2</v>
      </c>
    </row>
    <row r="1268" spans="1:3" x14ac:dyDescent="0.3">
      <c r="A1268" s="3">
        <v>1243</v>
      </c>
      <c r="B1268" s="3">
        <v>1.0421565341009473</v>
      </c>
      <c r="C1268" s="3">
        <v>-1.145653410094738E-2</v>
      </c>
    </row>
    <row r="1269" spans="1:3" x14ac:dyDescent="0.3">
      <c r="A1269" s="3">
        <v>1244</v>
      </c>
      <c r="B1269" s="3">
        <v>1.047223140701496</v>
      </c>
      <c r="C1269" s="3">
        <v>-1.8323140701496099E-2</v>
      </c>
    </row>
    <row r="1270" spans="1:3" x14ac:dyDescent="0.3">
      <c r="A1270" s="3">
        <v>1245</v>
      </c>
      <c r="B1270" s="3">
        <v>1.0457930471796635</v>
      </c>
      <c r="C1270" s="3">
        <v>-1.5993047179663433E-2</v>
      </c>
    </row>
    <row r="1271" spans="1:3" x14ac:dyDescent="0.3">
      <c r="A1271" s="3">
        <v>1246</v>
      </c>
      <c r="B1271" s="3">
        <v>1.0465118457328737</v>
      </c>
      <c r="C1271" s="3">
        <v>-1.94118457328738E-2</v>
      </c>
    </row>
    <row r="1272" spans="1:3" x14ac:dyDescent="0.3">
      <c r="A1272" s="3">
        <v>1247</v>
      </c>
      <c r="B1272" s="3">
        <v>1.0443429440989296</v>
      </c>
      <c r="C1272" s="3">
        <v>-2.9429440989294786E-3</v>
      </c>
    </row>
    <row r="1273" spans="1:3" x14ac:dyDescent="0.3">
      <c r="A1273" s="3">
        <v>1248</v>
      </c>
      <c r="B1273" s="3">
        <v>1.0558358332743174</v>
      </c>
      <c r="C1273" s="3">
        <v>-1.2935833274317465E-2</v>
      </c>
    </row>
    <row r="1274" spans="1:3" x14ac:dyDescent="0.3">
      <c r="A1274" s="3">
        <v>1249</v>
      </c>
      <c r="B1274" s="3">
        <v>1.0570819093864718</v>
      </c>
      <c r="C1274" s="3">
        <v>-1.6381909386471882E-2</v>
      </c>
    </row>
    <row r="1275" spans="1:3" x14ac:dyDescent="0.3">
      <c r="A1275" s="3">
        <v>1250</v>
      </c>
      <c r="B1275" s="3">
        <v>1.0553167868507338</v>
      </c>
      <c r="C1275" s="3">
        <v>-1.3816786850733731E-2</v>
      </c>
    </row>
    <row r="1276" spans="1:3" x14ac:dyDescent="0.3">
      <c r="A1276" s="3">
        <v>1251</v>
      </c>
      <c r="B1276" s="3">
        <v>1.0559540514347903</v>
      </c>
      <c r="C1276" s="3">
        <v>-6.6540514347903645E-3</v>
      </c>
    </row>
    <row r="1277" spans="1:3" x14ac:dyDescent="0.3">
      <c r="A1277" s="3">
        <v>1252</v>
      </c>
      <c r="B1277" s="3">
        <v>1.0622292162245537</v>
      </c>
      <c r="C1277" s="3">
        <v>-1.3129216224553764E-2</v>
      </c>
    </row>
    <row r="1278" spans="1:3" x14ac:dyDescent="0.3">
      <c r="A1278" s="3">
        <v>1253</v>
      </c>
      <c r="B1278" s="3">
        <v>1.0620900485927109</v>
      </c>
      <c r="C1278" s="3">
        <v>-1.9290048592710995E-2</v>
      </c>
    </row>
    <row r="1279" spans="1:3" x14ac:dyDescent="0.3">
      <c r="A1279" s="3">
        <v>1254</v>
      </c>
      <c r="B1279" s="3">
        <v>1.0570228861710815</v>
      </c>
      <c r="C1279" s="3">
        <v>-1.5022886171081495E-2</v>
      </c>
    </row>
    <row r="1280" spans="1:3" x14ac:dyDescent="0.3">
      <c r="A1280" s="3">
        <v>1255</v>
      </c>
      <c r="B1280" s="3">
        <v>1.0563619991911004</v>
      </c>
      <c r="C1280" s="3">
        <v>-1.7361999191100486E-2</v>
      </c>
    </row>
    <row r="1281" spans="1:3" x14ac:dyDescent="0.3">
      <c r="A1281" s="3">
        <v>1256</v>
      </c>
      <c r="B1281" s="3">
        <v>1.0539471060969929</v>
      </c>
      <c r="C1281" s="3">
        <v>-1.7747106096992926E-2</v>
      </c>
    </row>
    <row r="1282" spans="1:3" x14ac:dyDescent="0.3">
      <c r="A1282" s="3">
        <v>1257</v>
      </c>
      <c r="B1282" s="3">
        <v>1.0516869436249847</v>
      </c>
      <c r="C1282" s="3">
        <v>-1.728694362498473E-2</v>
      </c>
    </row>
    <row r="1283" spans="1:3" x14ac:dyDescent="0.3">
      <c r="A1283" s="3">
        <v>1258</v>
      </c>
      <c r="B1283" s="3">
        <v>1.0502315602439853</v>
      </c>
      <c r="C1283" s="3">
        <v>-1.2531560243985274E-2</v>
      </c>
    </row>
    <row r="1284" spans="1:3" x14ac:dyDescent="0.3">
      <c r="A1284" s="3">
        <v>1259</v>
      </c>
      <c r="B1284" s="3">
        <v>1.0528804946450241</v>
      </c>
      <c r="C1284" s="3">
        <v>-1.2680494645024076E-2</v>
      </c>
    </row>
    <row r="1285" spans="1:3" x14ac:dyDescent="0.3">
      <c r="A1285" s="3">
        <v>1260</v>
      </c>
      <c r="B1285" s="3">
        <v>1.0549002238676746</v>
      </c>
      <c r="C1285" s="3">
        <v>-1.6800223867674546E-2</v>
      </c>
    </row>
    <row r="1286" spans="1:3" x14ac:dyDescent="0.3">
      <c r="A1286" s="3">
        <v>1261</v>
      </c>
      <c r="B1286" s="3">
        <v>1.0532183027643323</v>
      </c>
      <c r="C1286" s="3">
        <v>-2.0518302764332308E-2</v>
      </c>
    </row>
    <row r="1287" spans="1:3" x14ac:dyDescent="0.3">
      <c r="A1287" s="3">
        <v>1262</v>
      </c>
      <c r="B1287" s="3">
        <v>1.0488696609853729</v>
      </c>
      <c r="C1287" s="3">
        <v>-1.8269660985372971E-2</v>
      </c>
    </row>
    <row r="1288" spans="1:3" x14ac:dyDescent="0.3">
      <c r="A1288" s="3">
        <v>1263</v>
      </c>
      <c r="B1288" s="3">
        <v>1.0471657849493474</v>
      </c>
      <c r="C1288" s="3">
        <v>-1.116578494934739E-2</v>
      </c>
    </row>
    <row r="1289" spans="1:3" x14ac:dyDescent="0.3">
      <c r="A1289" s="3">
        <v>1264</v>
      </c>
      <c r="B1289" s="3">
        <v>1.0515027544856146</v>
      </c>
      <c r="C1289" s="3">
        <v>-1.3302754485614576E-2</v>
      </c>
    </row>
    <row r="1290" spans="1:3" x14ac:dyDescent="0.3">
      <c r="A1290" s="3">
        <v>1265</v>
      </c>
      <c r="B1290" s="3">
        <v>1.0532870528486327</v>
      </c>
      <c r="C1290" s="3">
        <v>-6.8870528486326688E-3</v>
      </c>
    </row>
    <row r="1291" spans="1:3" x14ac:dyDescent="0.3">
      <c r="A1291" s="3">
        <v>1266</v>
      </c>
      <c r="B1291" s="3">
        <v>1.0598877976939318</v>
      </c>
      <c r="C1291" s="3">
        <v>-1.07877976939319E-2</v>
      </c>
    </row>
    <row r="1292" spans="1:3" x14ac:dyDescent="0.3">
      <c r="A1292" s="3">
        <v>1267</v>
      </c>
      <c r="B1292" s="3">
        <v>1.0620819891870423</v>
      </c>
      <c r="C1292" s="3">
        <v>-1.388198918704231E-2</v>
      </c>
    </row>
    <row r="1293" spans="1:3" x14ac:dyDescent="0.3">
      <c r="A1293" s="3">
        <v>1268</v>
      </c>
      <c r="B1293" s="3">
        <v>1.0613656918286947</v>
      </c>
      <c r="C1293" s="3">
        <v>-1.6865691828694684E-2</v>
      </c>
    </row>
    <row r="1294" spans="1:3" x14ac:dyDescent="0.3">
      <c r="A1294" s="3">
        <v>1269</v>
      </c>
      <c r="B1294" s="3">
        <v>1.0583875645350971</v>
      </c>
      <c r="C1294" s="3">
        <v>-1.6287564535097054E-2</v>
      </c>
    </row>
    <row r="1295" spans="1:3" x14ac:dyDescent="0.3">
      <c r="A1295" s="3">
        <v>1270</v>
      </c>
      <c r="B1295" s="3">
        <v>1.0564471459972784</v>
      </c>
      <c r="C1295" s="3">
        <v>-6.4471459972783585E-3</v>
      </c>
    </row>
    <row r="1296" spans="1:3" x14ac:dyDescent="0.3">
      <c r="A1296" s="3">
        <v>1271</v>
      </c>
      <c r="B1296" s="3">
        <v>1.0627938399767454</v>
      </c>
      <c r="C1296" s="3">
        <v>-1.6993839976745306E-2</v>
      </c>
    </row>
    <row r="1297" spans="1:3" x14ac:dyDescent="0.3">
      <c r="A1297" s="3">
        <v>1272</v>
      </c>
      <c r="B1297" s="3">
        <v>1.0594380571757294</v>
      </c>
      <c r="C1297" s="3">
        <v>-1.2838057175729389E-2</v>
      </c>
    </row>
    <row r="1298" spans="1:3" x14ac:dyDescent="0.3">
      <c r="A1298" s="3">
        <v>1273</v>
      </c>
      <c r="B1298" s="3">
        <v>1.0600697635489797</v>
      </c>
      <c r="C1298" s="3">
        <v>-8.7697635489798476E-3</v>
      </c>
    </row>
    <row r="1299" spans="1:3" x14ac:dyDescent="0.3">
      <c r="A1299" s="3">
        <v>1274</v>
      </c>
      <c r="B1299" s="3">
        <v>1.0638518362019653</v>
      </c>
      <c r="C1299" s="3">
        <v>-1.5551836201965319E-2</v>
      </c>
    </row>
    <row r="1300" spans="1:3" x14ac:dyDescent="0.3">
      <c r="A1300" s="3">
        <v>1275</v>
      </c>
      <c r="B1300" s="3">
        <v>1.061452228187574</v>
      </c>
      <c r="C1300" s="3">
        <v>-2.1752228187573941E-2</v>
      </c>
    </row>
    <row r="1301" spans="1:3" x14ac:dyDescent="0.3">
      <c r="A1301" s="3">
        <v>1276</v>
      </c>
      <c r="B1301" s="3">
        <v>1.0545275707499815</v>
      </c>
      <c r="C1301" s="3">
        <v>-1.7027570749981402E-2</v>
      </c>
    </row>
    <row r="1302" spans="1:3" x14ac:dyDescent="0.3">
      <c r="A1302" s="3">
        <v>1277</v>
      </c>
      <c r="B1302" s="3">
        <v>1.0527343792496737</v>
      </c>
      <c r="C1302" s="3">
        <v>-4.1343792496737475E-3</v>
      </c>
    </row>
    <row r="1303" spans="1:3" x14ac:dyDescent="0.3">
      <c r="A1303" s="3">
        <v>1278</v>
      </c>
      <c r="B1303" s="3">
        <v>1.0616551435139923</v>
      </c>
      <c r="C1303" s="3">
        <v>7.4485648600775001E-4</v>
      </c>
    </row>
    <row r="1304" spans="1:3" x14ac:dyDescent="0.3">
      <c r="A1304" s="3">
        <v>1279</v>
      </c>
      <c r="B1304" s="3">
        <v>1.0727842727089762</v>
      </c>
      <c r="C1304" s="3">
        <v>6.2157272910237094E-3</v>
      </c>
    </row>
    <row r="1305" spans="1:3" x14ac:dyDescent="0.3">
      <c r="A1305" s="3">
        <v>1280</v>
      </c>
      <c r="B1305" s="3">
        <v>1.0861727306443474</v>
      </c>
      <c r="C1305" s="3">
        <v>-7.8727306443473477E-3</v>
      </c>
    </row>
    <row r="1306" spans="1:3" x14ac:dyDescent="0.3">
      <c r="A1306" s="3">
        <v>1281</v>
      </c>
      <c r="B1306" s="3">
        <v>1.0856559075050864</v>
      </c>
      <c r="C1306" s="3">
        <v>-2.4559075050865076E-3</v>
      </c>
    </row>
    <row r="1307" spans="1:3" x14ac:dyDescent="0.3">
      <c r="A1307" s="3">
        <v>1282</v>
      </c>
      <c r="B1307" s="3">
        <v>1.0895946561539533</v>
      </c>
      <c r="C1307" s="3">
        <v>-6.3946561539534041E-3</v>
      </c>
    </row>
    <row r="1308" spans="1:3" x14ac:dyDescent="0.3">
      <c r="A1308" s="3">
        <v>1283</v>
      </c>
      <c r="B1308" s="3">
        <v>1.0896082737704276</v>
      </c>
      <c r="C1308" s="3">
        <v>2.1917262295725326E-3</v>
      </c>
    </row>
    <row r="1309" spans="1:3" x14ac:dyDescent="0.3">
      <c r="A1309" s="3">
        <v>1284</v>
      </c>
      <c r="B1309" s="3">
        <v>1.0965245938918116</v>
      </c>
      <c r="C1309" s="3">
        <v>-7.9245938918115488E-3</v>
      </c>
    </row>
    <row r="1310" spans="1:3" x14ac:dyDescent="0.3">
      <c r="A1310" s="3">
        <v>1285</v>
      </c>
      <c r="B1310" s="3">
        <v>1.093974979734506</v>
      </c>
      <c r="C1310" s="3">
        <v>-8.7749797345060276E-3</v>
      </c>
    </row>
    <row r="1311" spans="1:3" x14ac:dyDescent="0.3">
      <c r="A1311" s="3">
        <v>1286</v>
      </c>
      <c r="B1311" s="3">
        <v>1.0912317274794601</v>
      </c>
      <c r="C1311" s="3">
        <v>-3.3317274794599783E-3</v>
      </c>
    </row>
    <row r="1312" spans="1:3" x14ac:dyDescent="0.3">
      <c r="A1312" s="3">
        <v>1287</v>
      </c>
      <c r="B1312" s="3">
        <v>1.0933936813498968</v>
      </c>
      <c r="C1312" s="3">
        <v>-1.2936813498967137E-3</v>
      </c>
    </row>
    <row r="1313" spans="1:3" x14ac:dyDescent="0.3">
      <c r="A1313" s="3">
        <v>1288</v>
      </c>
      <c r="B1313" s="3">
        <v>1.0967789226681839</v>
      </c>
      <c r="C1313" s="3">
        <v>-2.4789226681838361E-3</v>
      </c>
    </row>
    <row r="1314" spans="1:3" x14ac:dyDescent="0.3">
      <c r="A1314" s="3">
        <v>1289</v>
      </c>
      <c r="B1314" s="3">
        <v>1.0985598861047188</v>
      </c>
      <c r="C1314" s="3">
        <v>-8.4598861047187057E-3</v>
      </c>
    </row>
    <row r="1315" spans="1:3" x14ac:dyDescent="0.3">
      <c r="A1315" s="3">
        <v>1290</v>
      </c>
      <c r="B1315" s="3">
        <v>1.0951882624029061</v>
      </c>
      <c r="C1315" s="3">
        <v>-1.0088262402906167E-2</v>
      </c>
    </row>
    <row r="1316" spans="1:3" x14ac:dyDescent="0.3">
      <c r="A1316" s="3">
        <v>1291</v>
      </c>
      <c r="B1316" s="3">
        <v>1.0911554738105718</v>
      </c>
      <c r="C1316" s="3">
        <v>-9.7554738105718464E-3</v>
      </c>
    </row>
    <row r="1317" spans="1:3" x14ac:dyDescent="0.3">
      <c r="A1317" s="3">
        <v>1292</v>
      </c>
      <c r="B1317" s="3">
        <v>1.0881659521848221</v>
      </c>
      <c r="C1317" s="3">
        <v>-8.1659521848220784E-3</v>
      </c>
    </row>
    <row r="1318" spans="1:3" x14ac:dyDescent="0.3">
      <c r="A1318" s="3">
        <v>1293</v>
      </c>
      <c r="B1318" s="3">
        <v>1.0870297569169318</v>
      </c>
      <c r="C1318" s="3">
        <v>-7.9297569169318738E-3</v>
      </c>
    </row>
    <row r="1319" spans="1:3" x14ac:dyDescent="0.3">
      <c r="A1319" s="3">
        <v>1294</v>
      </c>
      <c r="B1319" s="3">
        <v>1.0863020652264319</v>
      </c>
      <c r="C1319" s="3">
        <v>-1.1102065226431979E-2</v>
      </c>
    </row>
    <row r="1320" spans="1:3" x14ac:dyDescent="0.3">
      <c r="A1320" s="3">
        <v>1295</v>
      </c>
      <c r="B1320" s="3">
        <v>1.0831630932788485</v>
      </c>
      <c r="C1320" s="3">
        <v>-3.0630932788484611E-3</v>
      </c>
    </row>
    <row r="1321" spans="1:3" x14ac:dyDescent="0.3">
      <c r="A1321" s="3">
        <v>1296</v>
      </c>
      <c r="B1321" s="3">
        <v>1.0870929487904264</v>
      </c>
      <c r="C1321" s="3">
        <v>-4.3929487904263986E-3</v>
      </c>
    </row>
    <row r="1322" spans="1:3" x14ac:dyDescent="0.3">
      <c r="A1322" s="3">
        <v>1297</v>
      </c>
      <c r="B1322" s="3">
        <v>1.0891975469087143</v>
      </c>
      <c r="C1322" s="3">
        <v>-7.4975469087141811E-3</v>
      </c>
    </row>
    <row r="1323" spans="1:3" x14ac:dyDescent="0.3">
      <c r="A1323" s="3">
        <v>1298</v>
      </c>
      <c r="B1323" s="3">
        <v>1.0884005493128337</v>
      </c>
      <c r="C1323" s="3">
        <v>-9.1005493128337722E-3</v>
      </c>
    </row>
    <row r="1324" spans="1:3" x14ac:dyDescent="0.3">
      <c r="A1324" s="3">
        <v>1299</v>
      </c>
      <c r="B1324" s="3">
        <v>1.0864676343596027</v>
      </c>
      <c r="C1324" s="3">
        <v>-9.6763435960278699E-4</v>
      </c>
    </row>
    <row r="1325" spans="1:3" x14ac:dyDescent="0.3">
      <c r="A1325" s="3">
        <v>1300</v>
      </c>
      <c r="B1325" s="3">
        <v>1.0914471487801916</v>
      </c>
      <c r="C1325" s="3">
        <v>1.3552851219808426E-2</v>
      </c>
    </row>
    <row r="1326" spans="1:3" x14ac:dyDescent="0.3">
      <c r="A1326" s="3">
        <v>1301</v>
      </c>
      <c r="B1326" s="3">
        <v>1.1071467329972928</v>
      </c>
      <c r="C1326" s="3">
        <v>-1.1646732997292908E-2</v>
      </c>
    </row>
    <row r="1327" spans="1:3" x14ac:dyDescent="0.3">
      <c r="A1327" s="3">
        <v>1302</v>
      </c>
      <c r="B1327" s="3">
        <v>1.0995608044883305</v>
      </c>
      <c r="C1327" s="3">
        <v>-9.160804488330454E-3</v>
      </c>
    </row>
    <row r="1328" spans="1:3" x14ac:dyDescent="0.3">
      <c r="A1328" s="3">
        <v>1303</v>
      </c>
      <c r="B1328" s="3">
        <v>1.0954328643103679</v>
      </c>
      <c r="C1328" s="3">
        <v>1.6713568963200309E-4</v>
      </c>
    </row>
    <row r="1329" spans="1:3" x14ac:dyDescent="0.3">
      <c r="A1329" s="3">
        <v>1304</v>
      </c>
      <c r="B1329" s="3">
        <v>1.0996006518764405</v>
      </c>
      <c r="C1329" s="3">
        <v>-4.6006518764405424E-3</v>
      </c>
    </row>
    <row r="1330" spans="1:3" x14ac:dyDescent="0.3">
      <c r="A1330" s="3">
        <v>1305</v>
      </c>
      <c r="B1330" s="3">
        <v>1.0991325692625789</v>
      </c>
      <c r="C1330" s="3">
        <v>2.0967430737421244E-2</v>
      </c>
    </row>
    <row r="1331" spans="1:3" x14ac:dyDescent="0.3">
      <c r="A1331" s="3">
        <v>1306</v>
      </c>
      <c r="B1331" s="3">
        <v>1.1193169058745391</v>
      </c>
      <c r="C1331" s="3">
        <v>1.4283094125460805E-2</v>
      </c>
    </row>
    <row r="1332" spans="1:3" x14ac:dyDescent="0.3">
      <c r="A1332" s="3">
        <v>1307</v>
      </c>
      <c r="B1332" s="3">
        <v>1.1302436755641856</v>
      </c>
      <c r="C1332" s="3">
        <v>4.6563244358144296E-3</v>
      </c>
    </row>
    <row r="1333" spans="1:3" x14ac:dyDescent="0.3">
      <c r="A1333" s="3">
        <v>1308</v>
      </c>
      <c r="B1333" s="3">
        <v>1.131326683738032</v>
      </c>
      <c r="C1333" s="3">
        <v>-3.1266837380319323E-3</v>
      </c>
    </row>
    <row r="1334" spans="1:3" x14ac:dyDescent="0.3">
      <c r="A1334" s="3">
        <v>1309</v>
      </c>
      <c r="B1334" s="3">
        <v>1.1259420006665357</v>
      </c>
      <c r="C1334" s="3">
        <v>1.3457999333464254E-2</v>
      </c>
    </row>
    <row r="1335" spans="1:3" x14ac:dyDescent="0.3">
      <c r="A1335" s="3">
        <v>1310</v>
      </c>
      <c r="B1335" s="3">
        <v>1.1349306812835338</v>
      </c>
      <c r="C1335" s="3">
        <v>1.6693187164662504E-3</v>
      </c>
    </row>
    <row r="1336" spans="1:3" x14ac:dyDescent="0.3">
      <c r="A1336" s="3">
        <v>1311</v>
      </c>
      <c r="B1336" s="3">
        <v>1.1327099821082474</v>
      </c>
      <c r="C1336" s="3">
        <v>4.39001789175264E-3</v>
      </c>
    </row>
    <row r="1337" spans="1:3" x14ac:dyDescent="0.3">
      <c r="A1337" s="3">
        <v>1312</v>
      </c>
      <c r="B1337" s="3">
        <v>1.1331043122480833</v>
      </c>
      <c r="C1337" s="3">
        <v>1.82956877519167E-2</v>
      </c>
    </row>
    <row r="1338" spans="1:3" x14ac:dyDescent="0.3">
      <c r="A1338" s="3">
        <v>1313</v>
      </c>
      <c r="B1338" s="3">
        <v>1.1446060945607603</v>
      </c>
      <c r="C1338" s="3">
        <v>-2.6060945607604413E-3</v>
      </c>
    </row>
    <row r="1339" spans="1:3" x14ac:dyDescent="0.3">
      <c r="A1339" s="3">
        <v>1314</v>
      </c>
      <c r="B1339" s="3">
        <v>1.1370861370306955</v>
      </c>
      <c r="C1339" s="3">
        <v>-5.7861370306955262E-3</v>
      </c>
    </row>
    <row r="1340" spans="1:3" x14ac:dyDescent="0.3">
      <c r="A1340" s="3">
        <v>1315</v>
      </c>
      <c r="B1340" s="3">
        <v>1.1284548244516743</v>
      </c>
      <c r="C1340" s="3">
        <v>1.0345175548325702E-2</v>
      </c>
    </row>
    <row r="1341" spans="1:3" x14ac:dyDescent="0.3">
      <c r="A1341" s="3">
        <v>1316</v>
      </c>
      <c r="B1341" s="3">
        <v>1.1344567625483259</v>
      </c>
      <c r="C1341" s="3">
        <v>1.3432374516739731E-3</v>
      </c>
    </row>
    <row r="1342" spans="1:3" x14ac:dyDescent="0.3">
      <c r="A1342" s="3">
        <v>1317</v>
      </c>
      <c r="B1342" s="3">
        <v>1.1320649360290629</v>
      </c>
      <c r="C1342" s="3">
        <v>1.0035063970937008E-2</v>
      </c>
    </row>
    <row r="1343" spans="1:3" x14ac:dyDescent="0.3">
      <c r="A1343" s="3">
        <v>1318</v>
      </c>
      <c r="B1343" s="3">
        <v>1.1371232053134028</v>
      </c>
      <c r="C1343" s="3">
        <v>1.376794686597238E-3</v>
      </c>
    </row>
    <row r="1344" spans="1:3" x14ac:dyDescent="0.3">
      <c r="A1344" s="3">
        <v>1319</v>
      </c>
      <c r="B1344" s="3">
        <v>1.1342455099056992</v>
      </c>
      <c r="C1344" s="3">
        <v>-1.5455099056991273E-3</v>
      </c>
    </row>
    <row r="1345" spans="1:3" x14ac:dyDescent="0.3">
      <c r="A1345" s="3">
        <v>1320</v>
      </c>
      <c r="B1345" s="3">
        <v>1.1295710101606642</v>
      </c>
      <c r="C1345" s="3">
        <v>-9.7101016066414303E-4</v>
      </c>
    </row>
    <row r="1346" spans="1:3" x14ac:dyDescent="0.3">
      <c r="A1346" s="3">
        <v>1321</v>
      </c>
      <c r="B1346" s="3">
        <v>1.1262575759426208</v>
      </c>
      <c r="C1346" s="3">
        <v>2.4424240573792666E-3</v>
      </c>
    </row>
    <row r="1347" spans="1:3" x14ac:dyDescent="0.3">
      <c r="A1347" s="3">
        <v>1322</v>
      </c>
      <c r="B1347" s="3">
        <v>1.1263266039374615</v>
      </c>
      <c r="C1347" s="3">
        <v>5.0733960625384267E-3</v>
      </c>
    </row>
    <row r="1348" spans="1:3" x14ac:dyDescent="0.3">
      <c r="A1348" s="3">
        <v>1323</v>
      </c>
      <c r="B1348" s="3">
        <v>1.1284982846768083</v>
      </c>
      <c r="C1348" s="3">
        <v>8.4017153231916719E-3</v>
      </c>
    </row>
    <row r="1349" spans="1:3" x14ac:dyDescent="0.3">
      <c r="A1349" s="3">
        <v>1324</v>
      </c>
      <c r="B1349" s="3">
        <v>1.1329290162460024</v>
      </c>
      <c r="C1349" s="3">
        <v>-2.9290162460025027E-3</v>
      </c>
    </row>
    <row r="1350" spans="1:3" x14ac:dyDescent="0.3">
      <c r="A1350" s="3">
        <v>1325</v>
      </c>
      <c r="B1350" s="3">
        <v>1.1273951607632124</v>
      </c>
      <c r="C1350" s="3">
        <v>-4.6951607632124137E-3</v>
      </c>
    </row>
    <row r="1351" spans="1:3" x14ac:dyDescent="0.3">
      <c r="A1351" s="3">
        <v>1326</v>
      </c>
      <c r="B1351" s="3">
        <v>1.1215051550654556</v>
      </c>
      <c r="C1351" s="3">
        <v>1.9484493454435814E-4</v>
      </c>
    </row>
    <row r="1352" spans="1:3" x14ac:dyDescent="0.3">
      <c r="A1352" s="3">
        <v>1327</v>
      </c>
      <c r="B1352" s="3">
        <v>1.1206806443260855</v>
      </c>
      <c r="C1352" s="3">
        <v>-1.2180644326085455E-2</v>
      </c>
    </row>
    <row r="1353" spans="1:3" x14ac:dyDescent="0.3">
      <c r="A1353" s="3">
        <v>1328</v>
      </c>
      <c r="B1353" s="3">
        <v>1.1100621180576282</v>
      </c>
      <c r="C1353" s="3">
        <v>8.3378819423718387E-3</v>
      </c>
    </row>
    <row r="1354" spans="1:3" x14ac:dyDescent="0.3">
      <c r="A1354" s="3">
        <v>1329</v>
      </c>
      <c r="B1354" s="3">
        <v>1.1179872442386005</v>
      </c>
      <c r="C1354" s="3">
        <v>-3.8724423860059254E-4</v>
      </c>
    </row>
    <row r="1355" spans="1:3" x14ac:dyDescent="0.3">
      <c r="A1355" s="3">
        <v>1330</v>
      </c>
      <c r="B1355" s="3">
        <v>1.1173713787661468</v>
      </c>
      <c r="C1355" s="3">
        <v>1.3286212338532444E-3</v>
      </c>
    </row>
    <row r="1356" spans="1:3" x14ac:dyDescent="0.3">
      <c r="A1356" s="3">
        <v>1331</v>
      </c>
      <c r="B1356" s="3">
        <v>1.1182538010787455</v>
      </c>
      <c r="C1356" s="3">
        <v>-1.3538010787454979E-3</v>
      </c>
    </row>
    <row r="1357" spans="1:3" x14ac:dyDescent="0.3">
      <c r="A1357" s="3">
        <v>1332</v>
      </c>
      <c r="B1357" s="3">
        <v>1.1168092562088177</v>
      </c>
      <c r="C1357" s="3">
        <v>6.8907437911822633E-3</v>
      </c>
    </row>
    <row r="1358" spans="1:3" x14ac:dyDescent="0.3">
      <c r="A1358" s="3">
        <v>1333</v>
      </c>
      <c r="B1358" s="3">
        <v>1.1222729720546052</v>
      </c>
      <c r="C1358" s="3">
        <v>5.9270279453949026E-3</v>
      </c>
    </row>
    <row r="1359" spans="1:3" x14ac:dyDescent="0.3">
      <c r="A1359" s="3">
        <v>1334</v>
      </c>
      <c r="B1359" s="3">
        <v>1.1259108746860229</v>
      </c>
      <c r="C1359" s="3">
        <v>6.989125313977107E-3</v>
      </c>
    </row>
    <row r="1360" spans="1:3" x14ac:dyDescent="0.3">
      <c r="A1360" s="3">
        <v>1335</v>
      </c>
      <c r="B1360" s="3">
        <v>1.1297032300289995</v>
      </c>
      <c r="C1360" s="3">
        <v>-1.703230028999636E-3</v>
      </c>
    </row>
    <row r="1361" spans="1:3" x14ac:dyDescent="0.3">
      <c r="A1361" s="3">
        <v>1336</v>
      </c>
      <c r="B1361" s="3">
        <v>1.1257755978017441</v>
      </c>
      <c r="C1361" s="3">
        <v>1.0324402198256033E-2</v>
      </c>
    </row>
    <row r="1362" spans="1:3" x14ac:dyDescent="0.3">
      <c r="A1362" s="3">
        <v>1337</v>
      </c>
      <c r="B1362" s="3">
        <v>1.1322761886716899</v>
      </c>
      <c r="C1362" s="3">
        <v>6.3238113283101693E-3</v>
      </c>
    </row>
    <row r="1363" spans="1:3" x14ac:dyDescent="0.3">
      <c r="A1363" s="3">
        <v>1338</v>
      </c>
      <c r="B1363" s="3">
        <v>1.1343092576002745</v>
      </c>
      <c r="C1363" s="3">
        <v>-1.5092576002744273E-3</v>
      </c>
    </row>
    <row r="1364" spans="1:3" x14ac:dyDescent="0.3">
      <c r="A1364" s="3">
        <v>1339</v>
      </c>
      <c r="B1364" s="3">
        <v>1.1296517103981971</v>
      </c>
      <c r="C1364" s="3">
        <v>-1.5171039819716903E-4</v>
      </c>
    </row>
    <row r="1365" spans="1:3" x14ac:dyDescent="0.3">
      <c r="A1365" s="3">
        <v>1340</v>
      </c>
      <c r="B1365" s="3">
        <v>1.1269816547960965</v>
      </c>
      <c r="C1365" s="3">
        <v>9.5183452039035998E-3</v>
      </c>
    </row>
    <row r="1366" spans="1:3" x14ac:dyDescent="0.3">
      <c r="A1366" s="3">
        <v>1341</v>
      </c>
      <c r="B1366" s="3">
        <v>1.1326020466377655</v>
      </c>
      <c r="C1366" s="3">
        <v>1.497953362234572E-3</v>
      </c>
    </row>
    <row r="1367" spans="1:3" x14ac:dyDescent="0.3">
      <c r="A1367" s="3">
        <v>1342</v>
      </c>
      <c r="B1367" s="3">
        <v>1.1306913645277581</v>
      </c>
      <c r="C1367" s="3">
        <v>1.3208635472241825E-2</v>
      </c>
    </row>
    <row r="1368" spans="1:3" x14ac:dyDescent="0.3">
      <c r="A1368" s="3">
        <v>1343</v>
      </c>
      <c r="B1368" s="3">
        <v>1.1385660827200887</v>
      </c>
      <c r="C1368" s="3">
        <v>-1.2660827200887681E-3</v>
      </c>
    </row>
    <row r="1369" spans="1:3" x14ac:dyDescent="0.3">
      <c r="A1369" s="3">
        <v>1344</v>
      </c>
      <c r="B1369" s="3">
        <v>1.1332854443715104</v>
      </c>
      <c r="C1369" s="3">
        <v>8.4145556284895839E-3</v>
      </c>
    </row>
    <row r="1370" spans="1:3" x14ac:dyDescent="0.3">
      <c r="A1370" s="3">
        <v>1345</v>
      </c>
      <c r="B1370" s="3">
        <v>1.1368056846635357</v>
      </c>
      <c r="C1370" s="3">
        <v>7.4943153364643855E-3</v>
      </c>
    </row>
    <row r="1371" spans="1:3" x14ac:dyDescent="0.3">
      <c r="A1371" s="3">
        <v>1346</v>
      </c>
      <c r="B1371" s="3">
        <v>1.1389088932291225</v>
      </c>
      <c r="C1371" s="3">
        <v>1.9110677087752492E-4</v>
      </c>
    </row>
    <row r="1372" spans="1:3" x14ac:dyDescent="0.3">
      <c r="A1372" s="3">
        <v>1347</v>
      </c>
      <c r="B1372" s="3">
        <v>1.1347341578995427</v>
      </c>
      <c r="C1372" s="3">
        <v>7.4658421004574205E-3</v>
      </c>
    </row>
    <row r="1373" spans="1:3" x14ac:dyDescent="0.3">
      <c r="A1373" s="3">
        <v>1348</v>
      </c>
      <c r="B1373" s="3">
        <v>1.1372127986882254</v>
      </c>
      <c r="C1373" s="3">
        <v>5.3872013117746143E-3</v>
      </c>
    </row>
    <row r="1374" spans="1:3" x14ac:dyDescent="0.3">
      <c r="A1374" s="3">
        <v>1349</v>
      </c>
      <c r="B1374" s="3">
        <v>1.1375431032229457</v>
      </c>
      <c r="C1374" s="3">
        <v>1.1556896777054293E-2</v>
      </c>
    </row>
    <row r="1375" spans="1:3" x14ac:dyDescent="0.3">
      <c r="A1375" s="3">
        <v>1350</v>
      </c>
      <c r="B1375" s="3">
        <v>1.1427716661196414</v>
      </c>
      <c r="C1375" s="3">
        <v>1.532833388035848E-2</v>
      </c>
    </row>
    <row r="1376" spans="1:3" x14ac:dyDescent="0.3">
      <c r="A1376" s="3">
        <v>1351</v>
      </c>
      <c r="B1376" s="3">
        <v>1.1500277397341154</v>
      </c>
      <c r="C1376" s="3">
        <v>3.4722602658845414E-3</v>
      </c>
    </row>
    <row r="1377" spans="1:3" x14ac:dyDescent="0.3">
      <c r="A1377" s="3">
        <v>1352</v>
      </c>
      <c r="B1377" s="3">
        <v>1.1463533246410715</v>
      </c>
      <c r="C1377" s="3">
        <v>1.0246675358928536E-2</v>
      </c>
    </row>
    <row r="1378" spans="1:3" x14ac:dyDescent="0.3">
      <c r="A1378" s="3">
        <v>1353</v>
      </c>
      <c r="B1378" s="3">
        <v>1.148833632892996</v>
      </c>
      <c r="C1378" s="3">
        <v>-9.3363289299608354E-4</v>
      </c>
    </row>
    <row r="1379" spans="1:3" x14ac:dyDescent="0.3">
      <c r="A1379" s="3">
        <v>1354</v>
      </c>
      <c r="B1379" s="3">
        <v>1.1418455056713681</v>
      </c>
      <c r="C1379" s="3">
        <v>6.4544943286319878E-3</v>
      </c>
    </row>
    <row r="1380" spans="1:3" x14ac:dyDescent="0.3">
      <c r="A1380" s="3">
        <v>1355</v>
      </c>
      <c r="B1380" s="3">
        <v>1.1421430167623341</v>
      </c>
      <c r="C1380" s="3">
        <v>7.2569832376658816E-3</v>
      </c>
    </row>
    <row r="1381" spans="1:3" x14ac:dyDescent="0.3">
      <c r="A1381" s="3">
        <v>1356</v>
      </c>
      <c r="B1381" s="3">
        <v>1.1430287740014164</v>
      </c>
      <c r="C1381" s="3">
        <v>4.8712259985834727E-3</v>
      </c>
    </row>
    <row r="1382" spans="1:3" x14ac:dyDescent="0.3">
      <c r="A1382" s="3">
        <v>1357</v>
      </c>
      <c r="B1382" s="3">
        <v>1.1418254961124672</v>
      </c>
      <c r="C1382" s="3">
        <v>1.5774503887532765E-2</v>
      </c>
    </row>
    <row r="1383" spans="1:3" x14ac:dyDescent="0.3">
      <c r="A1383" s="3">
        <v>1358</v>
      </c>
      <c r="B1383" s="3">
        <v>1.1496222931726678</v>
      </c>
      <c r="C1383" s="3">
        <v>1.1177706827332212E-2</v>
      </c>
    </row>
    <row r="1384" spans="1:3" x14ac:dyDescent="0.3">
      <c r="A1384" s="3">
        <v>1359</v>
      </c>
      <c r="B1384" s="3">
        <v>1.152222764958847</v>
      </c>
      <c r="C1384" s="3">
        <v>1.3577235041152935E-2</v>
      </c>
    </row>
    <row r="1385" spans="1:3" x14ac:dyDescent="0.3">
      <c r="A1385" s="3">
        <v>1360</v>
      </c>
      <c r="B1385" s="3">
        <v>1.1562527744457782</v>
      </c>
      <c r="C1385" s="3">
        <v>1.3247225554221753E-2</v>
      </c>
    </row>
    <row r="1386" spans="1:3" x14ac:dyDescent="0.3">
      <c r="A1386" s="3">
        <v>1361</v>
      </c>
      <c r="B1386" s="3">
        <v>1.1592422960715278</v>
      </c>
      <c r="C1386" s="3">
        <v>1.1857703928472185E-2</v>
      </c>
    </row>
    <row r="1387" spans="1:3" x14ac:dyDescent="0.3">
      <c r="A1387" s="3">
        <v>1362</v>
      </c>
      <c r="B1387" s="3">
        <v>1.1605393359934042</v>
      </c>
      <c r="C1387" s="3">
        <v>1.8060664006595895E-2</v>
      </c>
    </row>
    <row r="1388" spans="1:3" x14ac:dyDescent="0.3">
      <c r="A1388" s="3">
        <v>1363</v>
      </c>
      <c r="B1388" s="3">
        <v>1.1665754570865117</v>
      </c>
      <c r="C1388" s="3">
        <v>1.3624542913488247E-2</v>
      </c>
    </row>
    <row r="1389" spans="1:3" x14ac:dyDescent="0.3">
      <c r="A1389" s="3">
        <v>1364</v>
      </c>
      <c r="B1389" s="3">
        <v>1.167883057608919</v>
      </c>
      <c r="C1389" s="3">
        <v>1.1916942391080987E-2</v>
      </c>
    </row>
    <row r="1390" spans="1:3" x14ac:dyDescent="0.3">
      <c r="A1390" s="3">
        <v>1365</v>
      </c>
      <c r="B1390" s="3">
        <v>1.1675658148695922</v>
      </c>
      <c r="C1390" s="3">
        <v>8.0341851304077672E-3</v>
      </c>
    </row>
    <row r="1391" spans="1:3" x14ac:dyDescent="0.3">
      <c r="A1391" s="3">
        <v>1366</v>
      </c>
      <c r="B1391" s="3">
        <v>1.164186965493732</v>
      </c>
      <c r="C1391" s="3">
        <v>1.2813034506268028E-2</v>
      </c>
    </row>
    <row r="1392" spans="1:3" x14ac:dyDescent="0.3">
      <c r="A1392" s="3">
        <v>1367</v>
      </c>
      <c r="B1392" s="3">
        <v>1.1653012058289396</v>
      </c>
      <c r="C1392" s="3">
        <v>5.5987941710604616E-3</v>
      </c>
    </row>
    <row r="1393" spans="1:3" x14ac:dyDescent="0.3">
      <c r="A1393" s="3">
        <v>1368</v>
      </c>
      <c r="B1393" s="3">
        <v>1.1603993346299404</v>
      </c>
      <c r="C1393" s="3">
        <v>1.2000665370059727E-2</v>
      </c>
    </row>
    <row r="1394" spans="1:3" x14ac:dyDescent="0.3">
      <c r="A1394" s="3">
        <v>1369</v>
      </c>
      <c r="B1394" s="3">
        <v>1.1615887169918753</v>
      </c>
      <c r="C1394" s="3">
        <v>1.0411283008124661E-2</v>
      </c>
    </row>
    <row r="1395" spans="1:3" x14ac:dyDescent="0.3">
      <c r="A1395" s="3">
        <v>1370</v>
      </c>
      <c r="B1395" s="3">
        <v>1.1612711963420081</v>
      </c>
      <c r="C1395" s="3">
        <v>8.7288036579917794E-3</v>
      </c>
    </row>
    <row r="1396" spans="1:3" x14ac:dyDescent="0.3">
      <c r="A1396" s="3">
        <v>1371</v>
      </c>
      <c r="B1396" s="3">
        <v>1.1596616381599902</v>
      </c>
      <c r="C1396" s="3">
        <v>7.6383618400097664E-3</v>
      </c>
    </row>
    <row r="1397" spans="1:3" x14ac:dyDescent="0.3">
      <c r="A1397" s="3">
        <v>1372</v>
      </c>
      <c r="B1397" s="3">
        <v>1.1574846771203779</v>
      </c>
      <c r="C1397" s="3">
        <v>9.1153228796221342E-3</v>
      </c>
    </row>
    <row r="1398" spans="1:3" x14ac:dyDescent="0.3">
      <c r="A1398" s="3">
        <v>1373</v>
      </c>
      <c r="B1398" s="3">
        <v>1.1569142172468401</v>
      </c>
      <c r="C1398" s="3">
        <v>2.9857827531598602E-3</v>
      </c>
    </row>
    <row r="1399" spans="1:3" x14ac:dyDescent="0.3">
      <c r="A1399" s="3">
        <v>1374</v>
      </c>
      <c r="B1399" s="3">
        <v>1.1515239759645379</v>
      </c>
      <c r="C1399" s="3">
        <v>1.2476024035461997E-2</v>
      </c>
    </row>
    <row r="1400" spans="1:3" x14ac:dyDescent="0.3">
      <c r="A1400" s="3">
        <v>1375</v>
      </c>
      <c r="B1400" s="3">
        <v>1.1548026713650446</v>
      </c>
      <c r="C1400" s="3">
        <v>4.6973286349554222E-3</v>
      </c>
    </row>
    <row r="1401" spans="1:3" x14ac:dyDescent="0.3">
      <c r="A1401" s="3">
        <v>1376</v>
      </c>
      <c r="B1401" s="3">
        <v>1.151195060982519</v>
      </c>
      <c r="C1401" s="3">
        <v>1.0604939017480941E-2</v>
      </c>
    </row>
    <row r="1402" spans="1:3" x14ac:dyDescent="0.3">
      <c r="A1402" s="3">
        <v>1377</v>
      </c>
      <c r="B1402" s="3">
        <v>1.1530322685290411</v>
      </c>
      <c r="C1402" s="3">
        <v>1.6467731470958924E-2</v>
      </c>
    </row>
    <row r="1403" spans="1:3" x14ac:dyDescent="0.3">
      <c r="A1403" s="3">
        <v>1378</v>
      </c>
      <c r="B1403" s="3">
        <v>1.1592311796499162</v>
      </c>
      <c r="C1403" s="3">
        <v>1.5968820350083845E-2</v>
      </c>
    </row>
    <row r="1404" spans="1:3" x14ac:dyDescent="0.3">
      <c r="A1404" s="3">
        <v>1379</v>
      </c>
      <c r="B1404" s="3">
        <v>1.1638366514001106</v>
      </c>
      <c r="C1404" s="3">
        <v>1.3163348599889435E-2</v>
      </c>
    </row>
    <row r="1405" spans="1:3" x14ac:dyDescent="0.3">
      <c r="A1405" s="3">
        <v>1380</v>
      </c>
      <c r="B1405" s="3">
        <v>1.1653000941867784</v>
      </c>
      <c r="C1405" s="3">
        <v>9.3999058132216984E-3</v>
      </c>
    </row>
    <row r="1406" spans="1:3" x14ac:dyDescent="0.3">
      <c r="A1406" s="3">
        <v>1381</v>
      </c>
      <c r="B1406" s="3">
        <v>1.1634553830556682</v>
      </c>
      <c r="C1406" s="3">
        <v>1.1144616944331887E-2</v>
      </c>
    </row>
    <row r="1407" spans="1:3" x14ac:dyDescent="0.3">
      <c r="A1407" s="3">
        <v>1382</v>
      </c>
      <c r="B1407" s="3">
        <v>1.1633685687862487</v>
      </c>
      <c r="C1407" s="3">
        <v>-4.5685687862486724E-3</v>
      </c>
    </row>
    <row r="1408" spans="1:3" x14ac:dyDescent="0.3">
      <c r="A1408" s="3">
        <v>1383</v>
      </c>
      <c r="B1408" s="3">
        <v>1.1506615632108403</v>
      </c>
      <c r="C1408" s="3">
        <v>3.8384367891597382E-3</v>
      </c>
    </row>
    <row r="1409" spans="1:3" x14ac:dyDescent="0.3">
      <c r="A1409" s="3">
        <v>1384</v>
      </c>
      <c r="B1409" s="3">
        <v>1.147159493284782</v>
      </c>
      <c r="C1409" s="3">
        <v>-6.7594932847818701E-3</v>
      </c>
    </row>
    <row r="1410" spans="1:3" x14ac:dyDescent="0.3">
      <c r="A1410" s="3">
        <v>1385</v>
      </c>
      <c r="B1410" s="3">
        <v>1.1358079950255595</v>
      </c>
      <c r="C1410" s="3">
        <v>5.5920049744404565E-3</v>
      </c>
    </row>
    <row r="1411" spans="1:3" x14ac:dyDescent="0.3">
      <c r="A1411" s="3">
        <v>1386</v>
      </c>
      <c r="B1411" s="3">
        <v>1.1365730329093062</v>
      </c>
      <c r="C1411" s="3">
        <v>2.1126967090693727E-2</v>
      </c>
    </row>
    <row r="1412" spans="1:3" x14ac:dyDescent="0.3">
      <c r="A1412" s="3">
        <v>1387</v>
      </c>
      <c r="B1412" s="3">
        <v>1.1496846513145416</v>
      </c>
      <c r="C1412" s="3">
        <v>7.3153486854584671E-3</v>
      </c>
    </row>
    <row r="1413" spans="1:3" x14ac:dyDescent="0.3">
      <c r="A1413" s="3">
        <v>1388</v>
      </c>
      <c r="B1413" s="3">
        <v>1.1491669944436596</v>
      </c>
      <c r="C1413" s="3">
        <v>7.9330055563404667E-3</v>
      </c>
    </row>
    <row r="1414" spans="1:3" x14ac:dyDescent="0.3">
      <c r="A1414" s="3">
        <v>1389</v>
      </c>
      <c r="B1414" s="3">
        <v>1.1492454713968703</v>
      </c>
      <c r="C1414" s="3">
        <v>1.6654528603129659E-2</v>
      </c>
    </row>
    <row r="1415" spans="1:3" x14ac:dyDescent="0.3">
      <c r="A1415" s="3">
        <v>1390</v>
      </c>
      <c r="B1415" s="3">
        <v>1.1563229140827802</v>
      </c>
      <c r="C1415" s="3">
        <v>1.0177085917219886E-2</v>
      </c>
    </row>
    <row r="1416" spans="1:3" x14ac:dyDescent="0.3">
      <c r="A1416" s="3">
        <v>1391</v>
      </c>
      <c r="B1416" s="3">
        <v>1.1568299041722832</v>
      </c>
      <c r="C1416" s="3">
        <v>6.8700958277168045E-3</v>
      </c>
    </row>
    <row r="1417" spans="1:3" x14ac:dyDescent="0.3">
      <c r="A1417" s="3">
        <v>1392</v>
      </c>
      <c r="B1417" s="3">
        <v>1.1545797464797254</v>
      </c>
      <c r="C1417" s="3">
        <v>6.8202535202745995E-3</v>
      </c>
    </row>
    <row r="1418" spans="1:3" x14ac:dyDescent="0.3">
      <c r="A1418" s="3">
        <v>1393</v>
      </c>
      <c r="B1418" s="3">
        <v>1.1527222514637621</v>
      </c>
      <c r="C1418" s="3">
        <v>1.4677748536237933E-2</v>
      </c>
    </row>
    <row r="1419" spans="1:3" x14ac:dyDescent="0.3">
      <c r="A1419" s="3">
        <v>1394</v>
      </c>
      <c r="B1419" s="3">
        <v>1.1575411991409055</v>
      </c>
      <c r="C1419" s="3">
        <v>1.2958800859094621E-2</v>
      </c>
    </row>
    <row r="1420" spans="1:3" x14ac:dyDescent="0.3">
      <c r="A1420" s="3">
        <v>1395</v>
      </c>
      <c r="B1420" s="3">
        <v>1.1600509659101013</v>
      </c>
      <c r="C1420" s="3">
        <v>4.649034089898807E-3</v>
      </c>
    </row>
    <row r="1421" spans="1:3" x14ac:dyDescent="0.3">
      <c r="A1421" s="3">
        <v>1396</v>
      </c>
      <c r="B1421" s="3">
        <v>1.1553950861712656</v>
      </c>
      <c r="C1421" s="3">
        <v>1.37049138287344E-2</v>
      </c>
    </row>
    <row r="1422" spans="1:3" x14ac:dyDescent="0.3">
      <c r="A1422" s="3">
        <v>1397</v>
      </c>
      <c r="B1422" s="3">
        <v>1.1589175497476134</v>
      </c>
      <c r="C1422" s="3">
        <v>6.9824502523865295E-3</v>
      </c>
    </row>
    <row r="1423" spans="1:3" x14ac:dyDescent="0.3">
      <c r="A1423" s="3">
        <v>1398</v>
      </c>
      <c r="B1423" s="3">
        <v>1.1563562633476154</v>
      </c>
      <c r="C1423" s="3">
        <v>8.5437366523846148E-3</v>
      </c>
    </row>
    <row r="1424" spans="1:3" x14ac:dyDescent="0.3">
      <c r="A1424" s="3">
        <v>1399</v>
      </c>
      <c r="B1424" s="3">
        <v>1.1555431469403978</v>
      </c>
      <c r="C1424" s="3">
        <v>9.6568530596021773E-3</v>
      </c>
    </row>
    <row r="1425" spans="1:3" x14ac:dyDescent="0.3">
      <c r="A1425" s="3">
        <v>1400</v>
      </c>
      <c r="B1425" s="3">
        <v>1.1557816348159733</v>
      </c>
      <c r="C1425" s="3">
        <v>4.7183651840267959E-3</v>
      </c>
    </row>
    <row r="1426" spans="1:3" x14ac:dyDescent="0.3">
      <c r="A1426" s="3">
        <v>1401</v>
      </c>
      <c r="B1426" s="3">
        <v>1.152002619178931</v>
      </c>
      <c r="C1426" s="3">
        <v>1.9497380821068999E-2</v>
      </c>
    </row>
    <row r="1427" spans="1:3" x14ac:dyDescent="0.3">
      <c r="A1427" s="3">
        <v>1402</v>
      </c>
      <c r="B1427" s="3">
        <v>1.1608360133527491</v>
      </c>
      <c r="C1427" s="3">
        <v>9.6398664725083627E-4</v>
      </c>
    </row>
    <row r="1428" spans="1:3" x14ac:dyDescent="0.3">
      <c r="A1428" s="3">
        <v>1403</v>
      </c>
      <c r="B1428" s="3">
        <v>1.1530656177938763</v>
      </c>
      <c r="C1428" s="3">
        <v>1.1134382206123616E-2</v>
      </c>
    </row>
    <row r="1429" spans="1:3" x14ac:dyDescent="0.3">
      <c r="A1429" s="3">
        <v>1404</v>
      </c>
      <c r="B1429" s="3">
        <v>1.1549687963192958</v>
      </c>
      <c r="C1429" s="3">
        <v>8.7312036807041249E-3</v>
      </c>
    </row>
    <row r="1430" spans="1:3" x14ac:dyDescent="0.3">
      <c r="A1430" s="3">
        <v>1405</v>
      </c>
      <c r="B1430" s="3">
        <v>1.1545733545372987</v>
      </c>
      <c r="C1430" s="3">
        <v>1.3626645462701203E-2</v>
      </c>
    </row>
    <row r="1431" spans="1:3" x14ac:dyDescent="0.3">
      <c r="A1431" s="3">
        <v>1406</v>
      </c>
      <c r="B1431" s="3">
        <v>1.1581909696992749</v>
      </c>
      <c r="C1431" s="3">
        <v>1.0209030300725175E-2</v>
      </c>
    </row>
    <row r="1432" spans="1:3" x14ac:dyDescent="0.3">
      <c r="A1432" s="3">
        <v>1407</v>
      </c>
      <c r="B1432" s="3">
        <v>1.1583643203275737</v>
      </c>
      <c r="C1432" s="3">
        <v>1.2535679672426303E-2</v>
      </c>
    </row>
    <row r="1433" spans="1:3" x14ac:dyDescent="0.3">
      <c r="A1433" s="3">
        <v>1408</v>
      </c>
      <c r="B1433" s="3">
        <v>1.1603754343234753</v>
      </c>
      <c r="C1433" s="3">
        <v>3.8245656765245606E-3</v>
      </c>
    </row>
    <row r="1434" spans="1:3" x14ac:dyDescent="0.3">
      <c r="A1434" s="3">
        <v>1409</v>
      </c>
      <c r="B1434" s="3">
        <v>1.1549940861784624</v>
      </c>
      <c r="C1434" s="3">
        <v>1.0905913821537494E-2</v>
      </c>
    </row>
    <row r="1435" spans="1:3" x14ac:dyDescent="0.3">
      <c r="A1435" s="3">
        <v>1410</v>
      </c>
      <c r="B1435" s="3">
        <v>1.156342645731141</v>
      </c>
      <c r="C1435" s="3">
        <v>8.4573542688590742E-3</v>
      </c>
    </row>
    <row r="1436" spans="1:3" x14ac:dyDescent="0.3">
      <c r="A1436" s="3">
        <v>1411</v>
      </c>
      <c r="B1436" s="3">
        <v>1.1554627246134048</v>
      </c>
      <c r="C1436" s="3">
        <v>1.623727538659514E-2</v>
      </c>
    </row>
    <row r="1437" spans="1:3" x14ac:dyDescent="0.3">
      <c r="A1437" s="3">
        <v>1412</v>
      </c>
      <c r="B1437" s="3">
        <v>1.1610088081599674</v>
      </c>
      <c r="C1437" s="3">
        <v>1.5191191840032481E-2</v>
      </c>
    </row>
    <row r="1438" spans="1:3" x14ac:dyDescent="0.3">
      <c r="A1438" s="3">
        <v>1413</v>
      </c>
      <c r="B1438" s="3">
        <v>1.1646469887019253</v>
      </c>
      <c r="C1438" s="3">
        <v>6.0530112980747841E-3</v>
      </c>
    </row>
    <row r="1439" spans="1:3" x14ac:dyDescent="0.3">
      <c r="A1439" s="3">
        <v>1414</v>
      </c>
      <c r="B1439" s="3">
        <v>1.1602362666916326</v>
      </c>
      <c r="C1439" s="3">
        <v>9.0637333083674054E-3</v>
      </c>
    </row>
    <row r="1440" spans="1:3" x14ac:dyDescent="0.3">
      <c r="A1440" s="3">
        <v>1415</v>
      </c>
      <c r="B1440" s="3">
        <v>1.1590950690340167</v>
      </c>
      <c r="C1440" s="3">
        <v>1.4204930965983298E-2</v>
      </c>
    </row>
    <row r="1441" spans="1:3" x14ac:dyDescent="0.3">
      <c r="A1441" s="3">
        <v>1416</v>
      </c>
      <c r="B1441" s="3">
        <v>1.162308071366166</v>
      </c>
      <c r="C1441" s="3">
        <v>1.0991928633834025E-2</v>
      </c>
    </row>
    <row r="1442" spans="1:3" x14ac:dyDescent="0.3">
      <c r="A1442" s="3">
        <v>1417</v>
      </c>
      <c r="B1442" s="3">
        <v>1.1623191877877777</v>
      </c>
      <c r="C1442" s="3">
        <v>1.388081221222226E-2</v>
      </c>
    </row>
    <row r="1443" spans="1:3" x14ac:dyDescent="0.3">
      <c r="A1443" s="3">
        <v>1418</v>
      </c>
      <c r="B1443" s="3">
        <v>1.1646514352705699</v>
      </c>
      <c r="C1443" s="3">
        <v>2.1948564729430187E-2</v>
      </c>
    </row>
    <row r="1444" spans="1:3" x14ac:dyDescent="0.3">
      <c r="A1444" s="3">
        <v>1419</v>
      </c>
      <c r="B1444" s="3">
        <v>1.1730234166834936</v>
      </c>
      <c r="C1444" s="3">
        <v>8.1765833165063917E-3</v>
      </c>
    </row>
    <row r="1445" spans="1:3" x14ac:dyDescent="0.3">
      <c r="A1445" s="3">
        <v>1420</v>
      </c>
      <c r="B1445" s="3">
        <v>1.1687095137220709</v>
      </c>
      <c r="C1445" s="3">
        <v>9.8904862779292113E-3</v>
      </c>
    </row>
    <row r="1446" spans="1:3" x14ac:dyDescent="0.3">
      <c r="A1446" s="3">
        <v>1421</v>
      </c>
      <c r="B1446" s="3">
        <v>1.1666035260510812</v>
      </c>
      <c r="C1446" s="3">
        <v>7.7964739489189139E-3</v>
      </c>
    </row>
    <row r="1447" spans="1:3" x14ac:dyDescent="0.3">
      <c r="A1447" s="3">
        <v>1422</v>
      </c>
      <c r="B1447" s="3">
        <v>1.1632185626433347</v>
      </c>
      <c r="C1447" s="3">
        <v>1.6981437356665241E-2</v>
      </c>
    </row>
    <row r="1448" spans="1:3" x14ac:dyDescent="0.3">
      <c r="A1448" s="3">
        <v>1423</v>
      </c>
      <c r="B1448" s="3">
        <v>1.1678713853662266</v>
      </c>
      <c r="C1448" s="3">
        <v>1.3528614633773417E-2</v>
      </c>
    </row>
    <row r="1449" spans="1:3" x14ac:dyDescent="0.3">
      <c r="A1449" s="3">
        <v>1424</v>
      </c>
      <c r="B1449" s="3">
        <v>1.1688525721014777</v>
      </c>
      <c r="C1449" s="3">
        <v>4.9474278985222053E-3</v>
      </c>
    </row>
    <row r="1450" spans="1:3" x14ac:dyDescent="0.3">
      <c r="A1450" s="3">
        <v>1425</v>
      </c>
      <c r="B1450" s="3">
        <v>1.1627438101765057</v>
      </c>
      <c r="C1450" s="3">
        <v>3.7561898234943492E-3</v>
      </c>
    </row>
    <row r="1451" spans="1:3" x14ac:dyDescent="0.3">
      <c r="A1451" s="3">
        <v>1426</v>
      </c>
      <c r="B1451" s="3">
        <v>1.1568518591049664</v>
      </c>
      <c r="C1451" s="3">
        <v>1.2848140895033611E-2</v>
      </c>
    </row>
    <row r="1452" spans="1:3" x14ac:dyDescent="0.3">
      <c r="A1452" s="3">
        <v>1427</v>
      </c>
      <c r="B1452" s="3">
        <v>1.1594050860992955</v>
      </c>
      <c r="C1452" s="3">
        <v>1.3194913900704597E-2</v>
      </c>
    </row>
    <row r="1453" spans="1:3" x14ac:dyDescent="0.3">
      <c r="A1453" s="3">
        <v>1428</v>
      </c>
      <c r="B1453" s="3">
        <v>1.1617462267193774</v>
      </c>
      <c r="C1453" s="3">
        <v>1.155377328062257E-2</v>
      </c>
    </row>
    <row r="1454" spans="1:3" x14ac:dyDescent="0.3">
      <c r="A1454" s="3">
        <v>1429</v>
      </c>
      <c r="B1454" s="3">
        <v>1.1623172424139956</v>
      </c>
      <c r="C1454" s="3">
        <v>1.0482757586004476E-2</v>
      </c>
    </row>
    <row r="1455" spans="1:3" x14ac:dyDescent="0.3">
      <c r="A1455" s="3">
        <v>1430</v>
      </c>
      <c r="B1455" s="3">
        <v>1.1619170761528135</v>
      </c>
      <c r="C1455" s="3">
        <v>9.4829238471865196E-3</v>
      </c>
    </row>
    <row r="1456" spans="1:3" x14ac:dyDescent="0.3">
      <c r="A1456" s="3">
        <v>1431</v>
      </c>
      <c r="B1456" s="3">
        <v>1.1607897740222124</v>
      </c>
      <c r="C1456" s="3">
        <v>1.3310225977787526E-2</v>
      </c>
    </row>
    <row r="1457" spans="1:3" x14ac:dyDescent="0.3">
      <c r="A1457" s="3">
        <v>1432</v>
      </c>
      <c r="B1457" s="3">
        <v>1.1629572861034547</v>
      </c>
      <c r="C1457" s="3">
        <v>8.2427138965452951E-3</v>
      </c>
    </row>
    <row r="1458" spans="1:3" x14ac:dyDescent="0.3">
      <c r="A1458" s="3">
        <v>1433</v>
      </c>
      <c r="B1458" s="3">
        <v>1.1606325422052506</v>
      </c>
      <c r="C1458" s="3">
        <v>4.6674577947494189E-3</v>
      </c>
    </row>
    <row r="1459" spans="1:3" x14ac:dyDescent="0.3">
      <c r="A1459" s="3">
        <v>1434</v>
      </c>
      <c r="B1459" s="3">
        <v>1.1558795655070047</v>
      </c>
      <c r="C1459" s="3">
        <v>6.4204344929954527E-3</v>
      </c>
    </row>
    <row r="1460" spans="1:3" x14ac:dyDescent="0.3">
      <c r="A1460" s="3">
        <v>1435</v>
      </c>
      <c r="B1460" s="3">
        <v>1.1534504989753422</v>
      </c>
      <c r="C1460" s="3">
        <v>2.8495010246578634E-3</v>
      </c>
    </row>
    <row r="1461" spans="1:3" x14ac:dyDescent="0.3">
      <c r="A1461" s="3">
        <v>1436</v>
      </c>
      <c r="B1461" s="3">
        <v>1.1486168220395634</v>
      </c>
      <c r="C1461" s="3">
        <v>1.3183177960436554E-2</v>
      </c>
    </row>
    <row r="1462" spans="1:3" x14ac:dyDescent="0.3">
      <c r="A1462" s="3">
        <v>1437</v>
      </c>
      <c r="B1462" s="3">
        <v>1.1530233753917516</v>
      </c>
      <c r="C1462" s="3">
        <v>3.9766246082484358E-3</v>
      </c>
    </row>
    <row r="1463" spans="1:3" x14ac:dyDescent="0.3">
      <c r="A1463" s="3">
        <v>1438</v>
      </c>
      <c r="B1463" s="3">
        <v>1.1491783887758116</v>
      </c>
      <c r="C1463" s="3">
        <v>1.132161122418851E-2</v>
      </c>
    </row>
    <row r="1464" spans="1:3" x14ac:dyDescent="0.3">
      <c r="A1464" s="3">
        <v>1439</v>
      </c>
      <c r="B1464" s="3">
        <v>1.1519798305146269</v>
      </c>
      <c r="C1464" s="3">
        <v>1.2720169485373134E-2</v>
      </c>
    </row>
    <row r="1465" spans="1:3" x14ac:dyDescent="0.3">
      <c r="A1465" s="3">
        <v>1440</v>
      </c>
      <c r="B1465" s="3">
        <v>1.1553672951172362</v>
      </c>
      <c r="C1465" s="3">
        <v>1.3232704882763846E-2</v>
      </c>
    </row>
    <row r="1466" spans="1:3" x14ac:dyDescent="0.3">
      <c r="A1466" s="3">
        <v>1441</v>
      </c>
      <c r="B1466" s="3">
        <v>1.1585154381126492</v>
      </c>
      <c r="C1466" s="3">
        <v>7.1845618873507266E-3</v>
      </c>
    </row>
    <row r="1467" spans="1:3" x14ac:dyDescent="0.3">
      <c r="A1467" s="3">
        <v>1442</v>
      </c>
      <c r="B1467" s="3">
        <v>1.1561940291409283</v>
      </c>
      <c r="C1467" s="3">
        <v>7.9059708590716316E-3</v>
      </c>
    </row>
    <row r="1468" spans="1:3" x14ac:dyDescent="0.3">
      <c r="A1468" s="3">
        <v>1443</v>
      </c>
      <c r="B1468" s="3">
        <v>1.1548992125033744</v>
      </c>
      <c r="C1468" s="3">
        <v>4.9007874966255915E-3</v>
      </c>
    </row>
    <row r="1469" spans="1:3" x14ac:dyDescent="0.3">
      <c r="A1469" s="3">
        <v>1444</v>
      </c>
      <c r="B1469" s="3">
        <v>1.1514366058740377</v>
      </c>
      <c r="C1469" s="3">
        <v>9.46339412596231E-3</v>
      </c>
    </row>
    <row r="1470" spans="1:3" x14ac:dyDescent="0.3">
      <c r="A1470" s="3">
        <v>1445</v>
      </c>
      <c r="B1470" s="3">
        <v>1.1523093013177264</v>
      </c>
      <c r="C1470" s="3">
        <v>9.4906986822735906E-3</v>
      </c>
    </row>
    <row r="1471" spans="1:3" x14ac:dyDescent="0.3">
      <c r="A1471" s="3">
        <v>1446</v>
      </c>
      <c r="B1471" s="3">
        <v>1.1530361592766052</v>
      </c>
      <c r="C1471" s="3">
        <v>9.4638407233949007E-3</v>
      </c>
    </row>
    <row r="1472" spans="1:3" x14ac:dyDescent="0.3">
      <c r="A1472" s="3">
        <v>1447</v>
      </c>
      <c r="B1472" s="3">
        <v>1.1536016167604177</v>
      </c>
      <c r="C1472" s="3">
        <v>1.0798383239582376E-2</v>
      </c>
    </row>
    <row r="1473" spans="1:3" x14ac:dyDescent="0.3">
      <c r="A1473" s="3">
        <v>1448</v>
      </c>
      <c r="B1473" s="3">
        <v>1.1551315863470637</v>
      </c>
      <c r="C1473" s="3">
        <v>9.8684136529363364E-3</v>
      </c>
    </row>
    <row r="1474" spans="1:3" x14ac:dyDescent="0.3">
      <c r="A1474" s="3">
        <v>1449</v>
      </c>
      <c r="B1474" s="3">
        <v>1.1556194006092861</v>
      </c>
      <c r="C1474" s="3">
        <v>4.3805993907137797E-3</v>
      </c>
    </row>
    <row r="1475" spans="1:3" x14ac:dyDescent="0.3">
      <c r="A1475" s="3">
        <v>1450</v>
      </c>
      <c r="B1475" s="3">
        <v>1.1515999517228861</v>
      </c>
      <c r="C1475" s="3">
        <v>4.9000482771139886E-3</v>
      </c>
    </row>
    <row r="1476" spans="1:3" x14ac:dyDescent="0.3">
      <c r="A1476" s="3">
        <v>1451</v>
      </c>
      <c r="B1476" s="3">
        <v>1.1487712747511221</v>
      </c>
      <c r="C1476" s="3">
        <v>4.6287252488779185E-3</v>
      </c>
    </row>
    <row r="1477" spans="1:3" x14ac:dyDescent="0.3">
      <c r="A1477" s="3">
        <v>1452</v>
      </c>
      <c r="B1477" s="3">
        <v>1.1462684557454339</v>
      </c>
      <c r="C1477" s="3">
        <v>5.6315442545660233E-3</v>
      </c>
    </row>
    <row r="1478" spans="1:3" x14ac:dyDescent="0.3">
      <c r="A1478" s="3">
        <v>1453</v>
      </c>
      <c r="B1478" s="3">
        <v>1.1450535056137923</v>
      </c>
      <c r="C1478" s="3">
        <v>3.2464943862078322E-3</v>
      </c>
    </row>
    <row r="1479" spans="1:3" x14ac:dyDescent="0.3">
      <c r="A1479" s="3">
        <v>1454</v>
      </c>
      <c r="B1479" s="3">
        <v>1.1421541331839458</v>
      </c>
      <c r="C1479" s="3">
        <v>6.9458668160542469E-3</v>
      </c>
    </row>
    <row r="1480" spans="1:3" x14ac:dyDescent="0.3">
      <c r="A1480" s="3">
        <v>1455</v>
      </c>
      <c r="B1480" s="3">
        <v>1.1427875070204381</v>
      </c>
      <c r="C1480" s="3">
        <v>1.1812492979561995E-2</v>
      </c>
    </row>
    <row r="1481" spans="1:3" x14ac:dyDescent="0.3">
      <c r="A1481" s="3">
        <v>1456</v>
      </c>
      <c r="B1481" s="3">
        <v>1.1472129582893662</v>
      </c>
      <c r="C1481" s="3">
        <v>9.287041710633881E-3</v>
      </c>
    </row>
    <row r="1482" spans="1:3" x14ac:dyDescent="0.3">
      <c r="A1482" s="3">
        <v>1457</v>
      </c>
      <c r="B1482" s="3">
        <v>1.1487562675819463</v>
      </c>
      <c r="C1482" s="3">
        <v>6.843732418053694E-3</v>
      </c>
    </row>
    <row r="1483" spans="1:3" x14ac:dyDescent="0.3">
      <c r="A1483" s="3">
        <v>1458</v>
      </c>
      <c r="B1483" s="3">
        <v>1.1480377469392764</v>
      </c>
      <c r="C1483" s="3">
        <v>9.9622530607235138E-3</v>
      </c>
    </row>
    <row r="1484" spans="1:3" x14ac:dyDescent="0.3">
      <c r="A1484" s="3">
        <v>1459</v>
      </c>
      <c r="B1484" s="3">
        <v>1.1499653815922417</v>
      </c>
      <c r="C1484" s="3">
        <v>9.2346184077582993E-3</v>
      </c>
    </row>
    <row r="1485" spans="1:3" x14ac:dyDescent="0.3">
      <c r="A1485" s="3">
        <v>1460</v>
      </c>
      <c r="B1485" s="3">
        <v>1.1509371193691229</v>
      </c>
      <c r="C1485" s="3">
        <v>1.2862880630877038E-2</v>
      </c>
    </row>
    <row r="1486" spans="1:3" x14ac:dyDescent="0.3">
      <c r="A1486" s="3">
        <v>1461</v>
      </c>
      <c r="B1486" s="3">
        <v>1.1546398813372769</v>
      </c>
      <c r="C1486" s="3">
        <v>7.3601186627230142E-3</v>
      </c>
    </row>
    <row r="1487" spans="1:3" x14ac:dyDescent="0.3">
      <c r="A1487" s="3">
        <v>1462</v>
      </c>
      <c r="B1487" s="3">
        <v>1.1532050633362592</v>
      </c>
      <c r="C1487" s="3">
        <v>5.8949366637408573E-3</v>
      </c>
    </row>
    <row r="1488" spans="1:3" x14ac:dyDescent="0.3">
      <c r="A1488" s="3">
        <v>1463</v>
      </c>
      <c r="B1488" s="3">
        <v>1.1508678134637418</v>
      </c>
      <c r="C1488" s="3">
        <v>7.0321865362581448E-3</v>
      </c>
    </row>
    <row r="1489" spans="1:3" x14ac:dyDescent="0.3">
      <c r="A1489" s="3">
        <v>1464</v>
      </c>
      <c r="B1489" s="3">
        <v>1.1498946861341592</v>
      </c>
      <c r="C1489" s="3">
        <v>3.6053138658407313E-3</v>
      </c>
    </row>
    <row r="1490" spans="1:3" x14ac:dyDescent="0.3">
      <c r="A1490" s="3">
        <v>1465</v>
      </c>
      <c r="B1490" s="3">
        <v>1.146352768819991</v>
      </c>
      <c r="C1490" s="3">
        <v>6.3472311800090164E-3</v>
      </c>
    </row>
    <row r="1491" spans="1:3" x14ac:dyDescent="0.3">
      <c r="A1491" s="3">
        <v>1466</v>
      </c>
      <c r="B1491" s="3">
        <v>1.1456971621402754</v>
      </c>
      <c r="C1491" s="3">
        <v>5.4028378597246185E-3</v>
      </c>
    </row>
    <row r="1492" spans="1:3" x14ac:dyDescent="0.3">
      <c r="A1492" s="3">
        <v>1467</v>
      </c>
      <c r="B1492" s="3">
        <v>1.1444081816240677</v>
      </c>
      <c r="C1492" s="3">
        <v>7.5918183759322577E-3</v>
      </c>
    </row>
    <row r="1493" spans="1:3" x14ac:dyDescent="0.3">
      <c r="A1493" s="3">
        <v>1468</v>
      </c>
      <c r="B1493" s="3">
        <v>1.1451275359983584</v>
      </c>
      <c r="C1493" s="3">
        <v>1.1772464001641669E-2</v>
      </c>
    </row>
    <row r="1494" spans="1:3" x14ac:dyDescent="0.3">
      <c r="A1494" s="3">
        <v>1469</v>
      </c>
      <c r="B1494" s="3">
        <v>1.1490707312158701</v>
      </c>
      <c r="C1494" s="3">
        <v>1.0429268784129864E-2</v>
      </c>
    </row>
    <row r="1495" spans="1:3" x14ac:dyDescent="0.3">
      <c r="A1495" s="3">
        <v>1470</v>
      </c>
      <c r="B1495" s="3">
        <v>1.1511753293341582</v>
      </c>
      <c r="C1495" s="3">
        <v>8.3246706658417491E-3</v>
      </c>
    </row>
    <row r="1496" spans="1:3" x14ac:dyDescent="0.3">
      <c r="A1496" s="3">
        <v>1471</v>
      </c>
      <c r="B1496" s="3">
        <v>1.1511825550082058</v>
      </c>
      <c r="C1496" s="3">
        <v>8.3174449917942095E-3</v>
      </c>
    </row>
    <row r="1497" spans="1:3" x14ac:dyDescent="0.3">
      <c r="A1497" s="3">
        <v>1472</v>
      </c>
      <c r="B1497" s="3">
        <v>1.1511825550082058</v>
      </c>
      <c r="C1497" s="3">
        <v>9.6174449917942884E-3</v>
      </c>
    </row>
    <row r="1498" spans="1:3" x14ac:dyDescent="0.3">
      <c r="A1498" s="3">
        <v>1473</v>
      </c>
      <c r="B1498" s="3">
        <v>1.1522280452591127</v>
      </c>
      <c r="C1498" s="3">
        <v>1.017195474088739E-2</v>
      </c>
    </row>
    <row r="1499" spans="1:3" x14ac:dyDescent="0.3">
      <c r="A1499" s="3">
        <v>1474</v>
      </c>
      <c r="B1499" s="3">
        <v>1.153518415328022</v>
      </c>
      <c r="C1499" s="3">
        <v>1.3281584671978042E-2</v>
      </c>
    </row>
    <row r="1500" spans="1:3" x14ac:dyDescent="0.3">
      <c r="A1500" s="3">
        <v>1475</v>
      </c>
      <c r="B1500" s="3">
        <v>1.1570614442843514</v>
      </c>
      <c r="C1500" s="3">
        <v>7.2385557156484648E-3</v>
      </c>
    </row>
    <row r="1501" spans="1:3" x14ac:dyDescent="0.3">
      <c r="A1501" s="3">
        <v>1476</v>
      </c>
      <c r="B1501" s="3">
        <v>1.1550631141733032</v>
      </c>
      <c r="C1501" s="3">
        <v>8.9368858266967166E-3</v>
      </c>
    </row>
    <row r="1502" spans="1:3" x14ac:dyDescent="0.3">
      <c r="A1502" s="3">
        <v>1477</v>
      </c>
      <c r="B1502" s="3">
        <v>1.1548148994288174</v>
      </c>
      <c r="C1502" s="3">
        <v>8.6851005711825469E-3</v>
      </c>
    </row>
    <row r="1503" spans="1:3" x14ac:dyDescent="0.3">
      <c r="A1503" s="3">
        <v>1478</v>
      </c>
      <c r="B1503" s="3">
        <v>1.1544119540622324</v>
      </c>
      <c r="C1503" s="3">
        <v>8.088045937767685E-3</v>
      </c>
    </row>
    <row r="1504" spans="1:3" x14ac:dyDescent="0.3">
      <c r="A1504" s="3">
        <v>1479</v>
      </c>
      <c r="B1504" s="3">
        <v>1.1536063412396027</v>
      </c>
      <c r="C1504" s="3">
        <v>1.5593658760397311E-2</v>
      </c>
    </row>
    <row r="1505" spans="1:3" x14ac:dyDescent="0.3">
      <c r="A1505" s="3">
        <v>1480</v>
      </c>
      <c r="B1505" s="3">
        <v>1.1589918580427199</v>
      </c>
      <c r="C1505" s="3">
        <v>1.4708141957280096E-2</v>
      </c>
    </row>
    <row r="1506" spans="1:3" x14ac:dyDescent="0.3">
      <c r="A1506" s="3">
        <v>1481</v>
      </c>
      <c r="B1506" s="3">
        <v>1.162629482763597</v>
      </c>
      <c r="C1506" s="3">
        <v>1.0670517236402999E-2</v>
      </c>
    </row>
    <row r="1507" spans="1:3" x14ac:dyDescent="0.3">
      <c r="A1507" s="3">
        <v>1482</v>
      </c>
      <c r="B1507" s="3">
        <v>1.1623202994299389</v>
      </c>
      <c r="C1507" s="3">
        <v>1.2879700570061159E-2</v>
      </c>
    </row>
    <row r="1508" spans="1:3" x14ac:dyDescent="0.3">
      <c r="A1508" s="3">
        <v>1483</v>
      </c>
      <c r="B1508" s="3">
        <v>1.1638472120006416</v>
      </c>
      <c r="C1508" s="3">
        <v>1.0752787999358526E-2</v>
      </c>
    </row>
    <row r="1509" spans="1:3" x14ac:dyDescent="0.3">
      <c r="A1509" s="3">
        <v>1484</v>
      </c>
      <c r="B1509" s="3">
        <v>1.1633699583389503</v>
      </c>
      <c r="C1509" s="3">
        <v>1.0530041661049649E-2</v>
      </c>
    </row>
    <row r="1510" spans="1:3" x14ac:dyDescent="0.3">
      <c r="A1510" s="3">
        <v>1485</v>
      </c>
      <c r="B1510" s="3">
        <v>1.1628053345867586</v>
      </c>
      <c r="C1510" s="3">
        <v>9.0946654132413318E-3</v>
      </c>
    </row>
    <row r="1511" spans="1:3" x14ac:dyDescent="0.3">
      <c r="A1511" s="3">
        <v>1486</v>
      </c>
      <c r="B1511" s="3">
        <v>1.1611949426731198</v>
      </c>
      <c r="C1511" s="3">
        <v>9.3050573268802506E-3</v>
      </c>
    </row>
    <row r="1512" spans="1:3" x14ac:dyDescent="0.3">
      <c r="A1512" s="3">
        <v>1487</v>
      </c>
      <c r="B1512" s="3">
        <v>1.1600634718844143</v>
      </c>
      <c r="C1512" s="3">
        <v>1.5436528115585713E-2</v>
      </c>
    </row>
    <row r="1513" spans="1:3" x14ac:dyDescent="0.3">
      <c r="A1513" s="3">
        <v>1488</v>
      </c>
      <c r="B1513" s="3">
        <v>1.1640806974864921</v>
      </c>
      <c r="C1513" s="3">
        <v>1.5119302513507904E-2</v>
      </c>
    </row>
    <row r="1514" spans="1:3" x14ac:dyDescent="0.3">
      <c r="A1514" s="3">
        <v>1489</v>
      </c>
      <c r="B1514" s="3">
        <v>1.1670702191122415</v>
      </c>
      <c r="C1514" s="3">
        <v>1.11297808877584E-2</v>
      </c>
    </row>
    <row r="1515" spans="1:3" x14ac:dyDescent="0.3">
      <c r="A1515" s="3">
        <v>1490</v>
      </c>
      <c r="B1515" s="3">
        <v>1.166276278532304</v>
      </c>
      <c r="C1515" s="3">
        <v>1.1423721467695991E-2</v>
      </c>
    </row>
    <row r="1516" spans="1:3" x14ac:dyDescent="0.3">
      <c r="A1516" s="3">
        <v>1491</v>
      </c>
      <c r="B1516" s="3">
        <v>1.1658713877919369</v>
      </c>
      <c r="C1516" s="3">
        <v>1.0528612208063004E-2</v>
      </c>
    </row>
    <row r="1517" spans="1:3" x14ac:dyDescent="0.3">
      <c r="A1517" s="3">
        <v>1492</v>
      </c>
      <c r="B1517" s="3">
        <v>1.1648245079883284</v>
      </c>
      <c r="C1517" s="3">
        <v>1.1875492011671707E-2</v>
      </c>
    </row>
    <row r="1518" spans="1:3" x14ac:dyDescent="0.3">
      <c r="A1518" s="3">
        <v>1493</v>
      </c>
      <c r="B1518" s="3">
        <v>1.1650621621322832</v>
      </c>
      <c r="C1518" s="3">
        <v>9.4378378677169028E-3</v>
      </c>
    </row>
    <row r="1519" spans="1:3" x14ac:dyDescent="0.3">
      <c r="A1519" s="3">
        <v>1494</v>
      </c>
      <c r="B1519" s="3">
        <v>1.1632937046700618</v>
      </c>
      <c r="C1519" s="3">
        <v>1.0706295329938165E-2</v>
      </c>
    </row>
    <row r="1520" spans="1:3" x14ac:dyDescent="0.3">
      <c r="A1520" s="3">
        <v>1495</v>
      </c>
      <c r="B1520" s="3">
        <v>1.162885479003211</v>
      </c>
      <c r="C1520" s="3">
        <v>1.1814520996789035E-2</v>
      </c>
    </row>
    <row r="1521" spans="1:3" x14ac:dyDescent="0.3">
      <c r="A1521" s="3">
        <v>1496</v>
      </c>
      <c r="B1521" s="3">
        <v>1.1634470457394595</v>
      </c>
      <c r="C1521" s="3">
        <v>8.5529542605404796E-3</v>
      </c>
    </row>
    <row r="1522" spans="1:3" x14ac:dyDescent="0.3">
      <c r="A1522" s="3">
        <v>1497</v>
      </c>
      <c r="B1522" s="3">
        <v>1.1612775882844348</v>
      </c>
      <c r="C1522" s="3">
        <v>1.0822411715565083E-2</v>
      </c>
    </row>
    <row r="1523" spans="1:3" x14ac:dyDescent="0.3">
      <c r="A1523" s="3">
        <v>1498</v>
      </c>
      <c r="B1523" s="3">
        <v>1.1613505070268397</v>
      </c>
      <c r="C1523" s="3">
        <v>7.2494929731603541E-3</v>
      </c>
    </row>
    <row r="1524" spans="1:3" x14ac:dyDescent="0.3">
      <c r="A1524" s="3">
        <v>1499</v>
      </c>
      <c r="B1524" s="3">
        <v>1.1585360034926309</v>
      </c>
      <c r="C1524" s="3">
        <v>8.7639965073691428E-3</v>
      </c>
    </row>
    <row r="1525" spans="1:3" x14ac:dyDescent="0.3">
      <c r="A1525" s="3">
        <v>1500</v>
      </c>
      <c r="B1525" s="3">
        <v>1.1574807863728138</v>
      </c>
      <c r="C1525" s="3">
        <v>8.3192136271861283E-3</v>
      </c>
    </row>
    <row r="1526" spans="1:3" x14ac:dyDescent="0.3">
      <c r="A1526" s="3">
        <v>1501</v>
      </c>
      <c r="B1526" s="3">
        <v>1.1562708386308973</v>
      </c>
      <c r="C1526" s="3">
        <v>6.6291613691027429E-3</v>
      </c>
    </row>
    <row r="1527" spans="1:3" x14ac:dyDescent="0.3">
      <c r="A1527" s="3">
        <v>1502</v>
      </c>
      <c r="B1527" s="3">
        <v>1.1539344224900006</v>
      </c>
      <c r="C1527" s="3">
        <v>1.2865577509999504E-2</v>
      </c>
    </row>
    <row r="1528" spans="1:3" x14ac:dyDescent="0.3">
      <c r="A1528" s="3">
        <v>1503</v>
      </c>
      <c r="B1528" s="3">
        <v>1.157062833837053</v>
      </c>
      <c r="C1528" s="3">
        <v>7.4371661629470953E-3</v>
      </c>
    </row>
    <row r="1529" spans="1:3" x14ac:dyDescent="0.3">
      <c r="A1529" s="3">
        <v>1504</v>
      </c>
      <c r="B1529" s="3">
        <v>1.155223958827289</v>
      </c>
      <c r="C1529" s="3">
        <v>8.8760411727109023E-3</v>
      </c>
    </row>
    <row r="1530" spans="1:3" x14ac:dyDescent="0.3">
      <c r="A1530" s="3">
        <v>1505</v>
      </c>
      <c r="B1530" s="3">
        <v>1.1548958775768907</v>
      </c>
      <c r="C1530" s="3">
        <v>5.804122423109348E-3</v>
      </c>
    </row>
    <row r="1531" spans="1:3" x14ac:dyDescent="0.3">
      <c r="A1531" s="3">
        <v>1506</v>
      </c>
      <c r="B1531" s="3">
        <v>1.1521604068169733</v>
      </c>
      <c r="C1531" s="3">
        <v>6.1395931830268147E-3</v>
      </c>
    </row>
    <row r="1532" spans="1:3" x14ac:dyDescent="0.3">
      <c r="A1532" s="3">
        <v>1507</v>
      </c>
      <c r="B1532" s="3">
        <v>1.1502208220107752</v>
      </c>
      <c r="C1532" s="3">
        <v>1.3979177989224656E-2</v>
      </c>
    </row>
    <row r="1533" spans="1:3" x14ac:dyDescent="0.3">
      <c r="A1533" s="3">
        <v>1508</v>
      </c>
      <c r="B1533" s="3">
        <v>1.1549590694503855</v>
      </c>
      <c r="C1533" s="3">
        <v>1.7140930549614408E-2</v>
      </c>
    </row>
    <row r="1534" spans="1:3" x14ac:dyDescent="0.3">
      <c r="A1534" s="3">
        <v>1509</v>
      </c>
      <c r="B1534" s="3">
        <v>1.1613288300046969</v>
      </c>
      <c r="C1534" s="3">
        <v>6.871169995303017E-3</v>
      </c>
    </row>
    <row r="1535" spans="1:3" x14ac:dyDescent="0.3">
      <c r="A1535" s="3">
        <v>1510</v>
      </c>
      <c r="B1535" s="3">
        <v>1.1582143141846595</v>
      </c>
      <c r="C1535" s="3">
        <v>1.6985685815340545E-2</v>
      </c>
    </row>
    <row r="1536" spans="1:3" x14ac:dyDescent="0.3">
      <c r="A1536" s="3">
        <v>1511</v>
      </c>
      <c r="B1536" s="3">
        <v>1.1638330385630866</v>
      </c>
      <c r="C1536" s="3">
        <v>1.9266961436913421E-2</v>
      </c>
    </row>
    <row r="1537" spans="1:3" x14ac:dyDescent="0.3">
      <c r="A1537" s="3">
        <v>1512</v>
      </c>
      <c r="B1537" s="3">
        <v>1.1702058561333415</v>
      </c>
      <c r="C1537" s="3">
        <v>1.7294143866658507E-2</v>
      </c>
    </row>
    <row r="1538" spans="1:3" ht="16.5" thickBot="1" x14ac:dyDescent="0.35">
      <c r="A1538" s="4">
        <v>1513</v>
      </c>
      <c r="B1538" s="4">
        <v>1.1737663934537095</v>
      </c>
      <c r="C1538" s="4">
        <v>3.0133606546290492E-2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B1F3-669B-49EA-8EEC-D2DC20D1D098}">
  <dimension ref="A1:I1537"/>
  <sheetViews>
    <sheetView workbookViewId="0">
      <selection activeCell="D20" sqref="D20"/>
    </sheetView>
  </sheetViews>
  <sheetFormatPr defaultRowHeight="15.9" x14ac:dyDescent="0.3"/>
  <sheetData>
    <row r="1" spans="1:9" x14ac:dyDescent="0.3">
      <c r="A1" t="s">
        <v>10</v>
      </c>
    </row>
    <row r="2" spans="1:9" ht="16.5" thickBot="1" x14ac:dyDescent="0.35"/>
    <row r="3" spans="1:9" x14ac:dyDescent="0.3">
      <c r="A3" s="6" t="s">
        <v>11</v>
      </c>
      <c r="B3" s="6"/>
    </row>
    <row r="4" spans="1:9" x14ac:dyDescent="0.3">
      <c r="A4" s="3" t="s">
        <v>12</v>
      </c>
      <c r="B4" s="3">
        <v>0.89778192077298669</v>
      </c>
    </row>
    <row r="5" spans="1:9" x14ac:dyDescent="0.3">
      <c r="A5" s="3" t="s">
        <v>13</v>
      </c>
      <c r="B5" s="3">
        <v>0.80601237726683328</v>
      </c>
    </row>
    <row r="6" spans="1:9" x14ac:dyDescent="0.3">
      <c r="A6" s="3" t="s">
        <v>14</v>
      </c>
      <c r="B6" s="3">
        <v>0.80588399366475971</v>
      </c>
    </row>
    <row r="7" spans="1:9" x14ac:dyDescent="0.3">
      <c r="A7" s="3" t="s">
        <v>15</v>
      </c>
      <c r="B7" s="3">
        <v>2.577474883656429E-2</v>
      </c>
    </row>
    <row r="8" spans="1:9" ht="16.5" thickBot="1" x14ac:dyDescent="0.35">
      <c r="A8" s="4" t="s">
        <v>16</v>
      </c>
      <c r="B8" s="4">
        <v>1513</v>
      </c>
    </row>
    <row r="10" spans="1:9" ht="16.5" thickBot="1" x14ac:dyDescent="0.35">
      <c r="A10" t="s">
        <v>17</v>
      </c>
    </row>
    <row r="11" spans="1:9" x14ac:dyDescent="0.3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">
      <c r="A12" s="3" t="s">
        <v>18</v>
      </c>
      <c r="B12" s="3">
        <v>1</v>
      </c>
      <c r="C12" s="3">
        <v>4.1708160713060112</v>
      </c>
      <c r="D12" s="3">
        <v>4.1708160713060112</v>
      </c>
      <c r="E12" s="3">
        <v>6278.156744698118</v>
      </c>
      <c r="F12" s="3">
        <v>0</v>
      </c>
    </row>
    <row r="13" spans="1:9" x14ac:dyDescent="0.3">
      <c r="A13" s="3" t="s">
        <v>19</v>
      </c>
      <c r="B13" s="3">
        <v>1511</v>
      </c>
      <c r="C13" s="3">
        <v>1.0038142308354259</v>
      </c>
      <c r="D13" s="3">
        <v>6.6433767758797215E-4</v>
      </c>
      <c r="E13" s="3"/>
      <c r="F13" s="3"/>
    </row>
    <row r="14" spans="1:9" ht="16.5" thickBot="1" x14ac:dyDescent="0.35">
      <c r="A14" s="4" t="s">
        <v>20</v>
      </c>
      <c r="B14" s="4">
        <v>1512</v>
      </c>
      <c r="C14" s="4">
        <v>5.1746303021414368</v>
      </c>
      <c r="D14" s="4"/>
      <c r="E14" s="4"/>
      <c r="F14" s="4"/>
    </row>
    <row r="15" spans="1:9" ht="16.5" thickBot="1" x14ac:dyDescent="0.35"/>
    <row r="16" spans="1:9" x14ac:dyDescent="0.3">
      <c r="A16" s="5"/>
      <c r="B16" s="5" t="s">
        <v>27</v>
      </c>
      <c r="C16" s="5" t="s">
        <v>15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33</v>
      </c>
    </row>
    <row r="17" spans="1:9" x14ac:dyDescent="0.3">
      <c r="A17" s="3" t="s">
        <v>21</v>
      </c>
      <c r="B17" s="3">
        <v>0.21546391281762245</v>
      </c>
      <c r="C17" s="3">
        <v>1.134773540039752E-2</v>
      </c>
      <c r="D17" s="3">
        <v>18.987393097839995</v>
      </c>
      <c r="E17" s="3">
        <v>2.8830998909331806E-72</v>
      </c>
      <c r="F17" s="3">
        <v>0.1932049301359344</v>
      </c>
      <c r="G17" s="3">
        <v>0.2377228954993105</v>
      </c>
      <c r="H17" s="3">
        <v>0.1932049301359344</v>
      </c>
      <c r="I17" s="3">
        <v>0.2377228954993105</v>
      </c>
    </row>
    <row r="18" spans="1:9" ht="16.5" thickBot="1" x14ac:dyDescent="0.35">
      <c r="A18" s="4" t="s">
        <v>6</v>
      </c>
      <c r="B18" s="4">
        <v>0.80699986404543134</v>
      </c>
      <c r="C18" s="4">
        <v>1.0184914425254621E-2</v>
      </c>
      <c r="D18" s="4">
        <v>79.234820279332538</v>
      </c>
      <c r="E18" s="4">
        <v>0</v>
      </c>
      <c r="F18" s="4">
        <v>0.78702179566376329</v>
      </c>
      <c r="G18" s="4">
        <v>0.82697793242709938</v>
      </c>
      <c r="H18" s="4">
        <v>0.78702179566376329</v>
      </c>
      <c r="I18" s="4">
        <v>0.82697793242709938</v>
      </c>
    </row>
    <row r="22" spans="1:9" x14ac:dyDescent="0.3">
      <c r="A22" t="s">
        <v>34</v>
      </c>
    </row>
    <row r="23" spans="1:9" ht="16.5" thickBot="1" x14ac:dyDescent="0.35"/>
    <row r="24" spans="1:9" x14ac:dyDescent="0.3">
      <c r="A24" s="5" t="s">
        <v>35</v>
      </c>
      <c r="B24" s="5" t="s">
        <v>43</v>
      </c>
      <c r="C24" s="5" t="s">
        <v>37</v>
      </c>
    </row>
    <row r="25" spans="1:9" x14ac:dyDescent="0.3">
      <c r="A25" s="3">
        <v>1</v>
      </c>
      <c r="B25" s="3">
        <v>0.21546391281762245</v>
      </c>
      <c r="C25" s="3">
        <v>0.87723608718237756</v>
      </c>
    </row>
    <row r="26" spans="1:9" x14ac:dyDescent="0.3">
      <c r="A26" s="3">
        <v>2</v>
      </c>
      <c r="B26" s="3">
        <v>1.0972726642600654</v>
      </c>
      <c r="C26" s="3">
        <v>-3.7726642600655058E-3</v>
      </c>
    </row>
    <row r="27" spans="1:9" x14ac:dyDescent="0.3">
      <c r="A27" s="3">
        <v>3</v>
      </c>
      <c r="B27" s="3">
        <v>1.0979182641513017</v>
      </c>
      <c r="C27" s="3">
        <v>-6.6182641513017337E-3</v>
      </c>
    </row>
    <row r="28" spans="1:9" x14ac:dyDescent="0.3">
      <c r="A28" s="3">
        <v>4</v>
      </c>
      <c r="B28" s="3">
        <v>1.0961428644504017</v>
      </c>
      <c r="C28" s="3">
        <v>1.7571355495984431E-3</v>
      </c>
    </row>
    <row r="29" spans="1:9" x14ac:dyDescent="0.3">
      <c r="A29" s="3">
        <v>5</v>
      </c>
      <c r="B29" s="3">
        <v>1.1014690635531017</v>
      </c>
      <c r="C29" s="3">
        <v>-1.0769063553101699E-2</v>
      </c>
    </row>
    <row r="30" spans="1:9" x14ac:dyDescent="0.3">
      <c r="A30" s="3">
        <v>6</v>
      </c>
      <c r="B30" s="3">
        <v>1.0956586645319744</v>
      </c>
      <c r="C30" s="3">
        <v>-1.215866453197445E-2</v>
      </c>
    </row>
    <row r="31" spans="1:9" x14ac:dyDescent="0.3">
      <c r="A31" s="3">
        <v>7</v>
      </c>
      <c r="B31" s="3">
        <v>1.0898482655108472</v>
      </c>
      <c r="C31" s="3">
        <v>-2.2482655108473359E-3</v>
      </c>
    </row>
    <row r="32" spans="1:9" x14ac:dyDescent="0.3">
      <c r="A32" s="3">
        <v>8</v>
      </c>
      <c r="B32" s="3">
        <v>1.0931569649534336</v>
      </c>
      <c r="C32" s="3">
        <v>-6.9569649534335642E-3</v>
      </c>
    </row>
    <row r="33" spans="1:3" x14ac:dyDescent="0.3">
      <c r="A33" s="3">
        <v>9</v>
      </c>
      <c r="B33" s="3">
        <v>1.0920271651437701</v>
      </c>
      <c r="C33" s="3">
        <v>-6.4271651437701749E-3</v>
      </c>
    </row>
    <row r="34" spans="1:3" x14ac:dyDescent="0.3">
      <c r="A34" s="3">
        <v>10</v>
      </c>
      <c r="B34" s="3">
        <v>1.0915429652253428</v>
      </c>
      <c r="C34" s="3">
        <v>-9.3429652253427253E-3</v>
      </c>
    </row>
    <row r="35" spans="1:3" x14ac:dyDescent="0.3">
      <c r="A35" s="3">
        <v>11</v>
      </c>
      <c r="B35" s="3">
        <v>1.0887991656875884</v>
      </c>
      <c r="C35" s="3">
        <v>-1.1199165687588497E-2</v>
      </c>
    </row>
    <row r="36" spans="1:3" x14ac:dyDescent="0.3">
      <c r="A36" s="3">
        <v>12</v>
      </c>
      <c r="B36" s="3">
        <v>1.0850869663129792</v>
      </c>
      <c r="C36" s="3">
        <v>-3.0869663129791114E-3</v>
      </c>
    </row>
    <row r="37" spans="1:3" x14ac:dyDescent="0.3">
      <c r="A37" s="3">
        <v>13</v>
      </c>
      <c r="B37" s="3">
        <v>1.0886377657147792</v>
      </c>
      <c r="C37" s="3">
        <v>-5.8377657147792306E-3</v>
      </c>
    </row>
    <row r="38" spans="1:3" x14ac:dyDescent="0.3">
      <c r="A38" s="3">
        <v>14</v>
      </c>
      <c r="B38" s="3">
        <v>1.0892833656060155</v>
      </c>
      <c r="C38" s="3">
        <v>-7.4833656060153686E-3</v>
      </c>
    </row>
    <row r="39" spans="1:3" x14ac:dyDescent="0.3">
      <c r="A39" s="3">
        <v>15</v>
      </c>
      <c r="B39" s="3">
        <v>1.08847636574197</v>
      </c>
      <c r="C39" s="3">
        <v>-1.176365741970109E-3</v>
      </c>
    </row>
    <row r="40" spans="1:3" x14ac:dyDescent="0.3">
      <c r="A40" s="3">
        <v>16</v>
      </c>
      <c r="B40" s="3">
        <v>1.0929148649942197</v>
      </c>
      <c r="C40" s="3">
        <v>2.5851350057801703E-3</v>
      </c>
    </row>
    <row r="41" spans="1:3" x14ac:dyDescent="0.3">
      <c r="A41" s="3">
        <v>17</v>
      </c>
      <c r="B41" s="3">
        <v>1.0995322638793925</v>
      </c>
      <c r="C41" s="3">
        <v>-1.232263879392459E-3</v>
      </c>
    </row>
    <row r="42" spans="1:3" x14ac:dyDescent="0.3">
      <c r="A42" s="3">
        <v>18</v>
      </c>
      <c r="B42" s="3">
        <v>1.1017918634987196</v>
      </c>
      <c r="C42" s="3">
        <v>-1.119186349871959E-2</v>
      </c>
    </row>
    <row r="43" spans="1:3" x14ac:dyDescent="0.3">
      <c r="A43" s="3">
        <v>19</v>
      </c>
      <c r="B43" s="3">
        <v>1.0955779645455699</v>
      </c>
      <c r="C43" s="3">
        <v>-1.1777964545569786E-2</v>
      </c>
    </row>
    <row r="44" spans="1:3" x14ac:dyDescent="0.3">
      <c r="A44" s="3">
        <v>20</v>
      </c>
      <c r="B44" s="3">
        <v>1.0900903654700609</v>
      </c>
      <c r="C44" s="3">
        <v>-1.069036547006097E-2</v>
      </c>
    </row>
    <row r="45" spans="1:3" x14ac:dyDescent="0.3">
      <c r="A45" s="3">
        <v>21</v>
      </c>
      <c r="B45" s="3">
        <v>1.0865395660682609</v>
      </c>
      <c r="C45" s="3">
        <v>-3.339566068260913E-3</v>
      </c>
    </row>
    <row r="46" spans="1:3" x14ac:dyDescent="0.3">
      <c r="A46" s="3">
        <v>22</v>
      </c>
      <c r="B46" s="3">
        <v>1.0896061655516336</v>
      </c>
      <c r="C46" s="3">
        <v>-5.6061655516335129E-3</v>
      </c>
    </row>
    <row r="47" spans="1:3" x14ac:dyDescent="0.3">
      <c r="A47" s="3">
        <v>23</v>
      </c>
      <c r="B47" s="3">
        <v>1.0902517654428701</v>
      </c>
      <c r="C47" s="3">
        <v>-9.6517654428700528E-3</v>
      </c>
    </row>
    <row r="48" spans="1:3" x14ac:dyDescent="0.3">
      <c r="A48" s="3">
        <v>24</v>
      </c>
      <c r="B48" s="3">
        <v>1.0875079659051154</v>
      </c>
      <c r="C48" s="3">
        <v>-2.9079659051154394E-3</v>
      </c>
    </row>
    <row r="49" spans="1:3" x14ac:dyDescent="0.3">
      <c r="A49" s="3">
        <v>25</v>
      </c>
      <c r="B49" s="3">
        <v>1.0907359653612971</v>
      </c>
      <c r="C49" s="3">
        <v>-9.135965361297238E-3</v>
      </c>
    </row>
    <row r="50" spans="1:3" x14ac:dyDescent="0.3">
      <c r="A50" s="3">
        <v>26</v>
      </c>
      <c r="B50" s="3">
        <v>1.0883149657691609</v>
      </c>
      <c r="C50" s="3">
        <v>-7.9149657691608422E-3</v>
      </c>
    </row>
    <row r="51" spans="1:3" x14ac:dyDescent="0.3">
      <c r="A51" s="3">
        <v>27</v>
      </c>
      <c r="B51" s="3">
        <v>1.0873465659323065</v>
      </c>
      <c r="C51" s="3">
        <v>-5.8465659323065911E-3</v>
      </c>
    </row>
    <row r="52" spans="1:3" x14ac:dyDescent="0.3">
      <c r="A52" s="3">
        <v>28</v>
      </c>
      <c r="B52" s="3">
        <v>1.0882342657827564</v>
      </c>
      <c r="C52" s="3">
        <v>2.9657342172435541E-3</v>
      </c>
    </row>
    <row r="53" spans="1:3" x14ac:dyDescent="0.3">
      <c r="A53" s="3">
        <v>29</v>
      </c>
      <c r="B53" s="3">
        <v>1.096062164463997</v>
      </c>
      <c r="C53" s="3">
        <v>-3.9621644639968867E-3</v>
      </c>
    </row>
    <row r="54" spans="1:3" x14ac:dyDescent="0.3">
      <c r="A54" s="3">
        <v>30</v>
      </c>
      <c r="B54" s="3">
        <v>1.0967884643416381</v>
      </c>
      <c r="C54" s="3">
        <v>9.1153565836177286E-4</v>
      </c>
    </row>
    <row r="55" spans="1:3" x14ac:dyDescent="0.3">
      <c r="A55" s="3">
        <v>31</v>
      </c>
      <c r="B55" s="3">
        <v>1.1013076635802923</v>
      </c>
      <c r="C55" s="3">
        <v>-6.4076635802923221E-3</v>
      </c>
    </row>
    <row r="56" spans="1:3" x14ac:dyDescent="0.3">
      <c r="A56" s="3">
        <v>32</v>
      </c>
      <c r="B56" s="3">
        <v>1.0990480639609652</v>
      </c>
      <c r="C56" s="3">
        <v>-9.0480639609651359E-3</v>
      </c>
    </row>
    <row r="57" spans="1:3" x14ac:dyDescent="0.3">
      <c r="A57" s="3">
        <v>33</v>
      </c>
      <c r="B57" s="3">
        <v>1.0950937646271428</v>
      </c>
      <c r="C57" s="3">
        <v>-5.1937646271427163E-3</v>
      </c>
    </row>
    <row r="58" spans="1:3" x14ac:dyDescent="0.3">
      <c r="A58" s="3">
        <v>34</v>
      </c>
      <c r="B58" s="3">
        <v>1.0950130646407381</v>
      </c>
      <c r="C58" s="3">
        <v>2.9869353592619774E-3</v>
      </c>
    </row>
    <row r="59" spans="1:3" x14ac:dyDescent="0.3">
      <c r="A59" s="3">
        <v>35</v>
      </c>
      <c r="B59" s="3">
        <v>1.1015497635395062</v>
      </c>
      <c r="C59" s="3">
        <v>-1.2497635395061213E-3</v>
      </c>
    </row>
    <row r="60" spans="1:3" x14ac:dyDescent="0.3">
      <c r="A60" s="3">
        <v>36</v>
      </c>
      <c r="B60" s="3">
        <v>1.1034058632268104</v>
      </c>
      <c r="C60" s="3">
        <v>4.1941367731894719E-3</v>
      </c>
    </row>
    <row r="61" spans="1:3" x14ac:dyDescent="0.3">
      <c r="A61" s="3">
        <v>37</v>
      </c>
      <c r="B61" s="3">
        <v>1.109296962234342</v>
      </c>
      <c r="C61" s="3">
        <v>5.0303776565785441E-4</v>
      </c>
    </row>
    <row r="62" spans="1:3" x14ac:dyDescent="0.3">
      <c r="A62" s="3">
        <v>38</v>
      </c>
      <c r="B62" s="3">
        <v>1.1110723619352421</v>
      </c>
      <c r="C62" s="3">
        <v>2.3276380647578865E-3</v>
      </c>
    </row>
    <row r="63" spans="1:3" x14ac:dyDescent="0.3">
      <c r="A63" s="3">
        <v>39</v>
      </c>
      <c r="B63" s="3">
        <v>1.1139775614458056</v>
      </c>
      <c r="C63" s="3">
        <v>2.9224385541943843E-3</v>
      </c>
    </row>
    <row r="64" spans="1:3" x14ac:dyDescent="0.3">
      <c r="A64" s="3">
        <v>40</v>
      </c>
      <c r="B64" s="3">
        <v>1.1168020609699647</v>
      </c>
      <c r="C64" s="3">
        <v>6.3979390300352712E-3</v>
      </c>
    </row>
    <row r="65" spans="1:3" x14ac:dyDescent="0.3">
      <c r="A65" s="3">
        <v>41</v>
      </c>
      <c r="B65" s="3">
        <v>1.1218861601134509</v>
      </c>
      <c r="C65" s="3">
        <v>1.171383988654906E-2</v>
      </c>
    </row>
    <row r="66" spans="1:3" x14ac:dyDescent="0.3">
      <c r="A66" s="3">
        <v>42</v>
      </c>
      <c r="B66" s="3">
        <v>1.1302789586995234</v>
      </c>
      <c r="C66" s="3">
        <v>-1.8789586995233698E-3</v>
      </c>
    </row>
    <row r="67" spans="1:3" x14ac:dyDescent="0.3">
      <c r="A67" s="3">
        <v>43</v>
      </c>
      <c r="B67" s="3">
        <v>1.1260825594064872</v>
      </c>
      <c r="C67" s="3">
        <v>3.1174405935128213E-3</v>
      </c>
    </row>
    <row r="68" spans="1:3" x14ac:dyDescent="0.3">
      <c r="A68" s="3">
        <v>44</v>
      </c>
      <c r="B68" s="3">
        <v>1.1267281592977234</v>
      </c>
      <c r="C68" s="3">
        <v>7.2718407022764886E-3</v>
      </c>
    </row>
    <row r="69" spans="1:3" x14ac:dyDescent="0.3">
      <c r="A69" s="3">
        <v>45</v>
      </c>
      <c r="B69" s="3">
        <v>1.1306017586451413</v>
      </c>
      <c r="C69" s="3">
        <v>6.2982413548586802E-3</v>
      </c>
    </row>
    <row r="70" spans="1:3" x14ac:dyDescent="0.3">
      <c r="A70" s="3">
        <v>46</v>
      </c>
      <c r="B70" s="3">
        <v>1.1329420582508734</v>
      </c>
      <c r="C70" s="3">
        <v>-3.2420582508734253E-3</v>
      </c>
    </row>
    <row r="71" spans="1:3" x14ac:dyDescent="0.3">
      <c r="A71" s="3">
        <v>47</v>
      </c>
      <c r="B71" s="3">
        <v>1.1271316592297462</v>
      </c>
      <c r="C71" s="3">
        <v>-1.7316592297462741E-3</v>
      </c>
    </row>
    <row r="72" spans="1:3" x14ac:dyDescent="0.3">
      <c r="A72" s="3">
        <v>48</v>
      </c>
      <c r="B72" s="3">
        <v>1.1236615598143507</v>
      </c>
      <c r="C72" s="3">
        <v>8.5384401856494208E-3</v>
      </c>
    </row>
    <row r="73" spans="1:3" x14ac:dyDescent="0.3">
      <c r="A73" s="3">
        <v>49</v>
      </c>
      <c r="B73" s="3">
        <v>1.1291491588898599</v>
      </c>
      <c r="C73" s="3">
        <v>-2.8491588898598152E-3</v>
      </c>
    </row>
    <row r="74" spans="1:3" x14ac:dyDescent="0.3">
      <c r="A74" s="3">
        <v>50</v>
      </c>
      <c r="B74" s="3">
        <v>1.1243878596919918</v>
      </c>
      <c r="C74" s="3">
        <v>-8.7859691991765132E-5</v>
      </c>
    </row>
    <row r="75" spans="1:3" x14ac:dyDescent="0.3">
      <c r="A75" s="3">
        <v>51</v>
      </c>
      <c r="B75" s="3">
        <v>1.122773859963901</v>
      </c>
      <c r="C75" s="3">
        <v>-2.5738599639009152E-3</v>
      </c>
    </row>
    <row r="76" spans="1:3" x14ac:dyDescent="0.3">
      <c r="A76" s="3">
        <v>52</v>
      </c>
      <c r="B76" s="3">
        <v>1.1194651605213148</v>
      </c>
      <c r="C76" s="3">
        <v>-1.9651605213149015E-3</v>
      </c>
    </row>
    <row r="77" spans="1:3" x14ac:dyDescent="0.3">
      <c r="A77" s="3">
        <v>53</v>
      </c>
      <c r="B77" s="3">
        <v>1.1172862608883918</v>
      </c>
      <c r="C77" s="3">
        <v>8.5137391116081318E-3</v>
      </c>
    </row>
    <row r="78" spans="1:3" x14ac:dyDescent="0.3">
      <c r="A78" s="3">
        <v>54</v>
      </c>
      <c r="B78" s="3">
        <v>1.123984359759969</v>
      </c>
      <c r="C78" s="3">
        <v>6.6156402400310288E-3</v>
      </c>
    </row>
    <row r="79" spans="1:3" x14ac:dyDescent="0.3">
      <c r="A79" s="3">
        <v>55</v>
      </c>
      <c r="B79" s="3">
        <v>1.1278579591073872</v>
      </c>
      <c r="C79" s="3">
        <v>-2.8579591073871757E-3</v>
      </c>
    </row>
    <row r="80" spans="1:3" x14ac:dyDescent="0.3">
      <c r="A80" s="3">
        <v>56</v>
      </c>
      <c r="B80" s="3">
        <v>1.1233387598687328</v>
      </c>
      <c r="C80" s="3">
        <v>-1.6387598687328531E-3</v>
      </c>
    </row>
    <row r="81" spans="1:3" x14ac:dyDescent="0.3">
      <c r="A81" s="3">
        <v>57</v>
      </c>
      <c r="B81" s="3">
        <v>1.1206756603173829</v>
      </c>
      <c r="C81" s="3">
        <v>1.0243396826170592E-3</v>
      </c>
    </row>
    <row r="82" spans="1:3" x14ac:dyDescent="0.3">
      <c r="A82" s="3">
        <v>58</v>
      </c>
      <c r="B82" s="3">
        <v>1.1206756603173829</v>
      </c>
      <c r="C82" s="3">
        <v>3.32433968261725E-3</v>
      </c>
    </row>
    <row r="83" spans="1:3" x14ac:dyDescent="0.3">
      <c r="A83" s="3">
        <v>59</v>
      </c>
      <c r="B83" s="3">
        <v>1.1225317600046874</v>
      </c>
      <c r="C83" s="3">
        <v>5.6823999531263603E-4</v>
      </c>
    </row>
    <row r="84" spans="1:3" x14ac:dyDescent="0.3">
      <c r="A84" s="3">
        <v>60</v>
      </c>
      <c r="B84" s="3">
        <v>1.1218054601270464</v>
      </c>
      <c r="C84" s="3">
        <v>3.1945398729535945E-3</v>
      </c>
    </row>
    <row r="85" spans="1:3" x14ac:dyDescent="0.3">
      <c r="A85" s="3">
        <v>61</v>
      </c>
      <c r="B85" s="3">
        <v>1.1233387598687328</v>
      </c>
      <c r="C85" s="3">
        <v>4.612401312671377E-4</v>
      </c>
    </row>
    <row r="86" spans="1:3" x14ac:dyDescent="0.3">
      <c r="A86" s="3">
        <v>62</v>
      </c>
      <c r="B86" s="3">
        <v>1.1223703600318782</v>
      </c>
      <c r="C86" s="3">
        <v>2.4296399681218439E-3</v>
      </c>
    </row>
    <row r="87" spans="1:3" x14ac:dyDescent="0.3">
      <c r="A87" s="3">
        <v>63</v>
      </c>
      <c r="B87" s="3">
        <v>1.1231773598959236</v>
      </c>
      <c r="C87" s="3">
        <v>7.622640104076428E-3</v>
      </c>
    </row>
    <row r="88" spans="1:3" x14ac:dyDescent="0.3">
      <c r="A88" s="3">
        <v>64</v>
      </c>
      <c r="B88" s="3">
        <v>1.1280193590801963</v>
      </c>
      <c r="C88" s="3">
        <v>-1.019359080196347E-3</v>
      </c>
    </row>
    <row r="89" spans="1:3" x14ac:dyDescent="0.3">
      <c r="A89" s="3">
        <v>65</v>
      </c>
      <c r="B89" s="3">
        <v>1.1249527595968236</v>
      </c>
      <c r="C89" s="3">
        <v>7.9472404031764032E-3</v>
      </c>
    </row>
    <row r="90" spans="1:3" x14ac:dyDescent="0.3">
      <c r="A90" s="3">
        <v>66</v>
      </c>
      <c r="B90" s="3">
        <v>1.1297140587946917</v>
      </c>
      <c r="C90" s="3">
        <v>-1.6140587946915641E-3</v>
      </c>
    </row>
    <row r="91" spans="1:3" x14ac:dyDescent="0.3">
      <c r="A91" s="3">
        <v>67</v>
      </c>
      <c r="B91" s="3">
        <v>1.1258404594472737</v>
      </c>
      <c r="C91" s="3">
        <v>3.9595405527261818E-3</v>
      </c>
    </row>
    <row r="92" spans="1:3" x14ac:dyDescent="0.3">
      <c r="A92" s="3">
        <v>68</v>
      </c>
      <c r="B92" s="3">
        <v>1.1272123592161507</v>
      </c>
      <c r="C92" s="3">
        <v>6.7876407838491915E-3</v>
      </c>
    </row>
    <row r="93" spans="1:3" x14ac:dyDescent="0.3">
      <c r="A93" s="3">
        <v>69</v>
      </c>
      <c r="B93" s="3">
        <v>1.1306017586451413</v>
      </c>
      <c r="C93" s="3">
        <v>8.9982413548586049E-3</v>
      </c>
    </row>
    <row r="94" spans="1:3" x14ac:dyDescent="0.3">
      <c r="A94" s="3">
        <v>70</v>
      </c>
      <c r="B94" s="3">
        <v>1.135120957883796</v>
      </c>
      <c r="C94" s="3">
        <v>5.8790421162040474E-3</v>
      </c>
    </row>
    <row r="95" spans="1:3" x14ac:dyDescent="0.3">
      <c r="A95" s="3">
        <v>71</v>
      </c>
      <c r="B95" s="3">
        <v>1.1362507576934595</v>
      </c>
      <c r="C95" s="3">
        <v>2.0492423065405774E-3</v>
      </c>
    </row>
    <row r="96" spans="1:3" x14ac:dyDescent="0.3">
      <c r="A96" s="3">
        <v>72</v>
      </c>
      <c r="B96" s="3">
        <v>1.1340718580605369</v>
      </c>
      <c r="C96" s="3">
        <v>8.528141939463163E-3</v>
      </c>
    </row>
    <row r="97" spans="1:3" x14ac:dyDescent="0.3">
      <c r="A97" s="3">
        <v>73</v>
      </c>
      <c r="B97" s="3">
        <v>1.1375419574759325</v>
      </c>
      <c r="C97" s="3">
        <v>6.8580425240676313E-3</v>
      </c>
    </row>
    <row r="98" spans="1:3" x14ac:dyDescent="0.3">
      <c r="A98" s="3">
        <v>74</v>
      </c>
      <c r="B98" s="3">
        <v>1.1389945572312141</v>
      </c>
      <c r="C98" s="3">
        <v>1.3605442768785947E-2</v>
      </c>
    </row>
    <row r="99" spans="1:3" x14ac:dyDescent="0.3">
      <c r="A99" s="3">
        <v>75</v>
      </c>
      <c r="B99" s="3">
        <v>1.1456119561163867</v>
      </c>
      <c r="C99" s="3">
        <v>1.1188043883613386E-2</v>
      </c>
    </row>
    <row r="100" spans="1:3" x14ac:dyDescent="0.3">
      <c r="A100" s="3">
        <v>76</v>
      </c>
      <c r="B100" s="3">
        <v>1.1490013555453773</v>
      </c>
      <c r="C100" s="3">
        <v>1.0398644454622685E-2</v>
      </c>
    </row>
    <row r="101" spans="1:3" x14ac:dyDescent="0.3">
      <c r="A101" s="3">
        <v>77</v>
      </c>
      <c r="B101" s="3">
        <v>1.1510995551918954</v>
      </c>
      <c r="C101" s="3">
        <v>1.4300444808104551E-2</v>
      </c>
    </row>
    <row r="102" spans="1:3" x14ac:dyDescent="0.3">
      <c r="A102" s="3">
        <v>78</v>
      </c>
      <c r="B102" s="3">
        <v>1.155941554376168</v>
      </c>
      <c r="C102" s="3">
        <v>1.9158445623832066E-2</v>
      </c>
    </row>
    <row r="103" spans="1:3" x14ac:dyDescent="0.3">
      <c r="A103" s="3">
        <v>79</v>
      </c>
      <c r="B103" s="3">
        <v>1.1637694530574088</v>
      </c>
      <c r="C103" s="3">
        <v>7.6305469425912431E-3</v>
      </c>
    </row>
    <row r="104" spans="1:3" x14ac:dyDescent="0.3">
      <c r="A104" s="3">
        <v>80</v>
      </c>
      <c r="B104" s="3">
        <v>1.1607835535604407</v>
      </c>
      <c r="C104" s="3">
        <v>1.8216446439559331E-2</v>
      </c>
    </row>
    <row r="105" spans="1:3" x14ac:dyDescent="0.3">
      <c r="A105" s="3">
        <v>81</v>
      </c>
      <c r="B105" s="3">
        <v>1.166916752527186</v>
      </c>
      <c r="C105" s="3">
        <v>1.7683247472814134E-2</v>
      </c>
    </row>
    <row r="106" spans="1:3" x14ac:dyDescent="0.3">
      <c r="A106" s="3">
        <v>82</v>
      </c>
      <c r="B106" s="3">
        <v>1.1714359517658406</v>
      </c>
      <c r="C106" s="3">
        <v>5.9640482341594137E-3</v>
      </c>
    </row>
    <row r="107" spans="1:3" x14ac:dyDescent="0.3">
      <c r="A107" s="3">
        <v>83</v>
      </c>
      <c r="B107" s="3">
        <v>1.1656255527447135</v>
      </c>
      <c r="C107" s="3">
        <v>1.0474447255286456E-2</v>
      </c>
    </row>
    <row r="108" spans="1:3" x14ac:dyDescent="0.3">
      <c r="A108" s="3">
        <v>84</v>
      </c>
      <c r="B108" s="3">
        <v>1.1645764529214542</v>
      </c>
      <c r="C108" s="3">
        <v>1.5423547078545763E-2</v>
      </c>
    </row>
    <row r="109" spans="1:3" x14ac:dyDescent="0.3">
      <c r="A109" s="3">
        <v>85</v>
      </c>
      <c r="B109" s="3">
        <v>1.1677237523912314</v>
      </c>
      <c r="C109" s="3">
        <v>1.8376247608768548E-2</v>
      </c>
    </row>
    <row r="110" spans="1:3" x14ac:dyDescent="0.3">
      <c r="A110" s="3">
        <v>86</v>
      </c>
      <c r="B110" s="3">
        <v>1.1726464515619086</v>
      </c>
      <c r="C110" s="3">
        <v>1.4853548438091391E-2</v>
      </c>
    </row>
    <row r="111" spans="1:3" x14ac:dyDescent="0.3">
      <c r="A111" s="3">
        <v>87</v>
      </c>
      <c r="B111" s="3">
        <v>1.1737762513715722</v>
      </c>
      <c r="C111" s="3">
        <v>4.8237486284279374E-3</v>
      </c>
    </row>
    <row r="112" spans="1:3" x14ac:dyDescent="0.3">
      <c r="A112" s="3">
        <v>88</v>
      </c>
      <c r="B112" s="3">
        <v>1.1665939525815681</v>
      </c>
      <c r="C112" s="3">
        <v>7.0060474184319155E-3</v>
      </c>
    </row>
    <row r="113" spans="1:3" x14ac:dyDescent="0.3">
      <c r="A113" s="3">
        <v>89</v>
      </c>
      <c r="B113" s="3">
        <v>1.1625589532613407</v>
      </c>
      <c r="C113" s="3">
        <v>1.1341046738659211E-2</v>
      </c>
    </row>
    <row r="114" spans="1:3" x14ac:dyDescent="0.3">
      <c r="A114" s="3">
        <v>90</v>
      </c>
      <c r="B114" s="3">
        <v>1.1628010532205542</v>
      </c>
      <c r="C114" s="3">
        <v>1.5398946779445755E-2</v>
      </c>
    </row>
    <row r="115" spans="1:3" x14ac:dyDescent="0.3">
      <c r="A115" s="3">
        <v>91</v>
      </c>
      <c r="B115" s="3">
        <v>1.1662711526359497</v>
      </c>
      <c r="C115" s="3">
        <v>1.4928847364050313E-2</v>
      </c>
    </row>
    <row r="116" spans="1:3" x14ac:dyDescent="0.3">
      <c r="A116" s="3">
        <v>92</v>
      </c>
      <c r="B116" s="3">
        <v>1.168692152228086</v>
      </c>
      <c r="C116" s="3">
        <v>1.5407847771913952E-2</v>
      </c>
    </row>
    <row r="117" spans="1:3" x14ac:dyDescent="0.3">
      <c r="A117" s="3">
        <v>93</v>
      </c>
      <c r="B117" s="3">
        <v>1.1710324518338178</v>
      </c>
      <c r="C117" s="3">
        <v>1.5867548166182299E-2</v>
      </c>
    </row>
    <row r="118" spans="1:3" x14ac:dyDescent="0.3">
      <c r="A118" s="3">
        <v>94</v>
      </c>
      <c r="B118" s="3">
        <v>1.1732920514531449</v>
      </c>
      <c r="C118" s="3">
        <v>1.9607948546855214E-2</v>
      </c>
    </row>
    <row r="119" spans="1:3" x14ac:dyDescent="0.3">
      <c r="A119" s="3">
        <v>95</v>
      </c>
      <c r="B119" s="3">
        <v>1.1781340506374174</v>
      </c>
      <c r="C119" s="3">
        <v>5.4659493625826006E-3</v>
      </c>
    </row>
    <row r="120" spans="1:3" x14ac:dyDescent="0.3">
      <c r="A120" s="3">
        <v>96</v>
      </c>
      <c r="B120" s="3">
        <v>1.1706289519017949</v>
      </c>
      <c r="C120" s="3">
        <v>1.5271048098205009E-2</v>
      </c>
    </row>
    <row r="121" spans="1:3" x14ac:dyDescent="0.3">
      <c r="A121" s="3">
        <v>97</v>
      </c>
      <c r="B121" s="3">
        <v>1.1724850515890994</v>
      </c>
      <c r="C121" s="3">
        <v>7.0149484109005567E-3</v>
      </c>
    </row>
    <row r="122" spans="1:3" x14ac:dyDescent="0.3">
      <c r="A122" s="3">
        <v>98</v>
      </c>
      <c r="B122" s="3">
        <v>1.1673202524592088</v>
      </c>
      <c r="C122" s="3">
        <v>1.1379747540791296E-2</v>
      </c>
    </row>
    <row r="123" spans="1:3" x14ac:dyDescent="0.3">
      <c r="A123" s="3">
        <v>99</v>
      </c>
      <c r="B123" s="3">
        <v>1.1666746525679725</v>
      </c>
      <c r="C123" s="3">
        <v>1.6625347432027482E-2</v>
      </c>
    </row>
    <row r="124" spans="1:3" x14ac:dyDescent="0.3">
      <c r="A124" s="3">
        <v>100</v>
      </c>
      <c r="B124" s="3">
        <v>1.1703868519425815</v>
      </c>
      <c r="C124" s="3">
        <v>1.2513148057418544E-2</v>
      </c>
    </row>
    <row r="125" spans="1:3" x14ac:dyDescent="0.3">
      <c r="A125" s="3">
        <v>101</v>
      </c>
      <c r="B125" s="3">
        <v>1.1700640519969632</v>
      </c>
      <c r="C125" s="3">
        <v>1.2035948003036756E-2</v>
      </c>
    </row>
    <row r="126" spans="1:3" x14ac:dyDescent="0.3">
      <c r="A126" s="3">
        <v>102</v>
      </c>
      <c r="B126" s="3">
        <v>1.1694184521057269</v>
      </c>
      <c r="C126" s="3">
        <v>2.0881547894272989E-2</v>
      </c>
    </row>
    <row r="127" spans="1:3" x14ac:dyDescent="0.3">
      <c r="A127" s="3">
        <v>103</v>
      </c>
      <c r="B127" s="3">
        <v>1.1760358509908992</v>
      </c>
      <c r="C127" s="3">
        <v>1.7564149009100749E-2</v>
      </c>
    </row>
    <row r="128" spans="1:3" x14ac:dyDescent="0.3">
      <c r="A128" s="3">
        <v>104</v>
      </c>
      <c r="B128" s="3">
        <v>1.1786989505422492</v>
      </c>
      <c r="C128" s="3">
        <v>1.2301049457750901E-2</v>
      </c>
    </row>
    <row r="129" spans="1:3" x14ac:dyDescent="0.3">
      <c r="A129" s="3">
        <v>105</v>
      </c>
      <c r="B129" s="3">
        <v>1.1766007508957312</v>
      </c>
      <c r="C129" s="3">
        <v>8.6992491042687803E-3</v>
      </c>
    </row>
    <row r="130" spans="1:3" x14ac:dyDescent="0.3">
      <c r="A130" s="3">
        <v>106</v>
      </c>
      <c r="B130" s="3">
        <v>1.1720008516706724</v>
      </c>
      <c r="C130" s="3">
        <v>1.2899148329327703E-2</v>
      </c>
    </row>
    <row r="131" spans="1:3" x14ac:dyDescent="0.3">
      <c r="A131" s="3">
        <v>107</v>
      </c>
      <c r="B131" s="3">
        <v>1.171678051725054</v>
      </c>
      <c r="C131" s="3">
        <v>1.2121948274945948E-2</v>
      </c>
    </row>
    <row r="132" spans="1:3" x14ac:dyDescent="0.3">
      <c r="A132" s="3">
        <v>108</v>
      </c>
      <c r="B132" s="3">
        <v>1.1707903518746039</v>
      </c>
      <c r="C132" s="3">
        <v>1.0909648125396076E-2</v>
      </c>
    </row>
    <row r="133" spans="1:3" x14ac:dyDescent="0.3">
      <c r="A133" s="3">
        <v>109</v>
      </c>
      <c r="B133" s="3">
        <v>1.1690956521601086</v>
      </c>
      <c r="C133" s="3">
        <v>8.8043478398913688E-3</v>
      </c>
    </row>
    <row r="134" spans="1:3" x14ac:dyDescent="0.3">
      <c r="A134" s="3">
        <v>110</v>
      </c>
      <c r="B134" s="3">
        <v>1.1660290526767358</v>
      </c>
      <c r="C134" s="3">
        <v>1.4170947323264071E-2</v>
      </c>
    </row>
    <row r="135" spans="1:3" x14ac:dyDescent="0.3">
      <c r="A135" s="3">
        <v>111</v>
      </c>
      <c r="B135" s="3">
        <v>1.1678851523640406</v>
      </c>
      <c r="C135" s="3">
        <v>1.3414847635959459E-2</v>
      </c>
    </row>
    <row r="136" spans="1:3" x14ac:dyDescent="0.3">
      <c r="A136" s="3">
        <v>112</v>
      </c>
      <c r="B136" s="3">
        <v>1.1687728522144905</v>
      </c>
      <c r="C136" s="3">
        <v>1.5727147785509654E-2</v>
      </c>
    </row>
    <row r="137" spans="1:3" x14ac:dyDescent="0.3">
      <c r="A137" s="3">
        <v>113</v>
      </c>
      <c r="B137" s="3">
        <v>1.1713552517794361</v>
      </c>
      <c r="C137" s="3">
        <v>1.5444748220563964E-2</v>
      </c>
    </row>
    <row r="138" spans="1:3" x14ac:dyDescent="0.3">
      <c r="A138" s="3">
        <v>114</v>
      </c>
      <c r="B138" s="3">
        <v>1.1732113514667404</v>
      </c>
      <c r="C138" s="3">
        <v>1.1288648533259726E-2</v>
      </c>
    </row>
    <row r="139" spans="1:3" x14ac:dyDescent="0.3">
      <c r="A139" s="3">
        <v>115</v>
      </c>
      <c r="B139" s="3">
        <v>1.1713552517794361</v>
      </c>
      <c r="C139" s="3">
        <v>1.0044748220563893E-2</v>
      </c>
    </row>
    <row r="140" spans="1:3" x14ac:dyDescent="0.3">
      <c r="A140" s="3">
        <v>116</v>
      </c>
      <c r="B140" s="3">
        <v>1.1688535522008952</v>
      </c>
      <c r="C140" s="3">
        <v>1.5846447799104935E-2</v>
      </c>
    </row>
    <row r="141" spans="1:3" x14ac:dyDescent="0.3">
      <c r="A141" s="3">
        <v>117</v>
      </c>
      <c r="B141" s="3">
        <v>1.1715166517522451</v>
      </c>
      <c r="C141" s="3">
        <v>1.218334824775491E-2</v>
      </c>
    </row>
    <row r="142" spans="1:3" x14ac:dyDescent="0.3">
      <c r="A142" s="3">
        <v>118</v>
      </c>
      <c r="B142" s="3">
        <v>1.1707096518881994</v>
      </c>
      <c r="C142" s="3">
        <v>6.1903481118006365E-3</v>
      </c>
    </row>
    <row r="143" spans="1:3" x14ac:dyDescent="0.3">
      <c r="A143" s="3">
        <v>119</v>
      </c>
      <c r="B143" s="3">
        <v>1.1652220528126906</v>
      </c>
      <c r="C143" s="3">
        <v>5.3779471873094398E-3</v>
      </c>
    </row>
    <row r="144" spans="1:3" x14ac:dyDescent="0.3">
      <c r="A144" s="3">
        <v>120</v>
      </c>
      <c r="B144" s="3">
        <v>1.1601379536692045</v>
      </c>
      <c r="C144" s="3">
        <v>5.7620463307954672E-3</v>
      </c>
    </row>
    <row r="145" spans="1:3" x14ac:dyDescent="0.3">
      <c r="A145" s="3">
        <v>121</v>
      </c>
      <c r="B145" s="3">
        <v>1.1563450543081908</v>
      </c>
      <c r="C145" s="3">
        <v>1.0854945691809226E-2</v>
      </c>
    </row>
    <row r="146" spans="1:3" x14ac:dyDescent="0.3">
      <c r="A146" s="3">
        <v>122</v>
      </c>
      <c r="B146" s="3">
        <v>1.1573941541314499</v>
      </c>
      <c r="C146" s="3">
        <v>5.6058458685501744E-3</v>
      </c>
    </row>
    <row r="147" spans="1:3" x14ac:dyDescent="0.3">
      <c r="A147" s="3">
        <v>123</v>
      </c>
      <c r="B147" s="3">
        <v>1.1540047547024592</v>
      </c>
      <c r="C147" s="3">
        <v>1.239524529754088E-2</v>
      </c>
    </row>
    <row r="148" spans="1:3" x14ac:dyDescent="0.3">
      <c r="A148" s="3">
        <v>124</v>
      </c>
      <c r="B148" s="3">
        <v>1.1567485542402136</v>
      </c>
      <c r="C148" s="3">
        <v>1.7451445759786299E-2</v>
      </c>
    </row>
    <row r="149" spans="1:3" x14ac:dyDescent="0.3">
      <c r="A149" s="3">
        <v>125</v>
      </c>
      <c r="B149" s="3">
        <v>1.1630431531797678</v>
      </c>
      <c r="C149" s="3">
        <v>8.7568468202321448E-3</v>
      </c>
    </row>
    <row r="150" spans="1:3" x14ac:dyDescent="0.3">
      <c r="A150" s="3">
        <v>126</v>
      </c>
      <c r="B150" s="3">
        <v>1.1611063535060588</v>
      </c>
      <c r="C150" s="3">
        <v>1.3593646493941236E-2</v>
      </c>
    </row>
    <row r="151" spans="1:3" x14ac:dyDescent="0.3">
      <c r="A151" s="3">
        <v>127</v>
      </c>
      <c r="B151" s="3">
        <v>1.1634466531117909</v>
      </c>
      <c r="C151" s="3">
        <v>7.8533468882091562E-3</v>
      </c>
    </row>
    <row r="152" spans="1:3" x14ac:dyDescent="0.3">
      <c r="A152" s="3">
        <v>128</v>
      </c>
      <c r="B152" s="3">
        <v>1.160702853574036</v>
      </c>
      <c r="C152" s="3">
        <v>1.7397146425963905E-2</v>
      </c>
    </row>
    <row r="153" spans="1:3" x14ac:dyDescent="0.3">
      <c r="A153" s="3">
        <v>129</v>
      </c>
      <c r="B153" s="3">
        <v>1.166190452649545</v>
      </c>
      <c r="C153" s="3">
        <v>7.2095473504549812E-3</v>
      </c>
    </row>
    <row r="154" spans="1:3" x14ac:dyDescent="0.3">
      <c r="A154" s="3">
        <v>130</v>
      </c>
      <c r="B154" s="3">
        <v>1.1623975532885316</v>
      </c>
      <c r="C154" s="3">
        <v>1.3602446711468374E-2</v>
      </c>
    </row>
    <row r="155" spans="1:3" x14ac:dyDescent="0.3">
      <c r="A155" s="3">
        <v>131</v>
      </c>
      <c r="B155" s="3">
        <v>1.1644957529350497</v>
      </c>
      <c r="C155" s="3">
        <v>1.1304247064950257E-2</v>
      </c>
    </row>
    <row r="156" spans="1:3" x14ac:dyDescent="0.3">
      <c r="A156" s="3">
        <v>132</v>
      </c>
      <c r="B156" s="3">
        <v>1.1643343529622405</v>
      </c>
      <c r="C156" s="3">
        <v>1.8065647037759369E-2</v>
      </c>
    </row>
    <row r="157" spans="1:3" x14ac:dyDescent="0.3">
      <c r="A157" s="3">
        <v>133</v>
      </c>
      <c r="B157" s="3">
        <v>1.1696605520649404</v>
      </c>
      <c r="C157" s="3">
        <v>1.1639447935059666E-2</v>
      </c>
    </row>
    <row r="158" spans="1:3" x14ac:dyDescent="0.3">
      <c r="A158" s="3">
        <v>134</v>
      </c>
      <c r="B158" s="3">
        <v>1.1687728522144905</v>
      </c>
      <c r="C158" s="3">
        <v>5.6271477855096563E-3</v>
      </c>
    </row>
    <row r="159" spans="1:3" x14ac:dyDescent="0.3">
      <c r="A159" s="3">
        <v>135</v>
      </c>
      <c r="B159" s="3">
        <v>1.163204553152577</v>
      </c>
      <c r="C159" s="3">
        <v>1.1395446847423107E-2</v>
      </c>
    </row>
    <row r="160" spans="1:3" x14ac:dyDescent="0.3">
      <c r="A160" s="3">
        <v>136</v>
      </c>
      <c r="B160" s="3">
        <v>1.1633659531253862</v>
      </c>
      <c r="C160" s="3">
        <v>7.2340468746139308E-3</v>
      </c>
    </row>
    <row r="161" spans="1:3" x14ac:dyDescent="0.3">
      <c r="A161" s="3">
        <v>137</v>
      </c>
      <c r="B161" s="3">
        <v>1.1601379536692045</v>
      </c>
      <c r="C161" s="3">
        <v>1.1662046330795484E-2</v>
      </c>
    </row>
    <row r="162" spans="1:3" x14ac:dyDescent="0.3">
      <c r="A162" s="3">
        <v>138</v>
      </c>
      <c r="B162" s="3">
        <v>1.1611063535060588</v>
      </c>
      <c r="C162" s="3">
        <v>1.5493646493941249E-2</v>
      </c>
    </row>
    <row r="163" spans="1:3" x14ac:dyDescent="0.3">
      <c r="A163" s="3">
        <v>139</v>
      </c>
      <c r="B163" s="3">
        <v>1.164979952853477</v>
      </c>
      <c r="C163" s="3">
        <v>1.7120047146522932E-2</v>
      </c>
    </row>
    <row r="164" spans="1:3" x14ac:dyDescent="0.3">
      <c r="A164" s="3">
        <v>140</v>
      </c>
      <c r="B164" s="3">
        <v>1.1694184521057269</v>
      </c>
      <c r="C164" s="3">
        <v>1.6681547894273008E-2</v>
      </c>
    </row>
    <row r="165" spans="1:3" x14ac:dyDescent="0.3">
      <c r="A165" s="3">
        <v>141</v>
      </c>
      <c r="B165" s="3">
        <v>1.1726464515619086</v>
      </c>
      <c r="C165" s="3">
        <v>8.9535484380913744E-3</v>
      </c>
    </row>
    <row r="166" spans="1:3" x14ac:dyDescent="0.3">
      <c r="A166" s="3">
        <v>142</v>
      </c>
      <c r="B166" s="3">
        <v>1.1690149521737041</v>
      </c>
      <c r="C166" s="3">
        <v>1.6885047826295851E-2</v>
      </c>
    </row>
    <row r="167" spans="1:3" x14ac:dyDescent="0.3">
      <c r="A167" s="3">
        <v>143</v>
      </c>
      <c r="B167" s="3">
        <v>1.1724850515890994</v>
      </c>
      <c r="C167" s="3">
        <v>8.3149484109006355E-3</v>
      </c>
    </row>
    <row r="168" spans="1:3" x14ac:dyDescent="0.3">
      <c r="A168" s="3">
        <v>144</v>
      </c>
      <c r="B168" s="3">
        <v>1.1683693522824679</v>
      </c>
      <c r="C168" s="3">
        <v>1.1130647717532138E-2</v>
      </c>
    </row>
    <row r="169" spans="1:3" x14ac:dyDescent="0.3">
      <c r="A169" s="3">
        <v>145</v>
      </c>
      <c r="B169" s="3">
        <v>1.1673202524592088</v>
      </c>
      <c r="C169" s="3">
        <v>7.0797475407913257E-3</v>
      </c>
    </row>
    <row r="170" spans="1:3" x14ac:dyDescent="0.3">
      <c r="A170" s="3">
        <v>146</v>
      </c>
      <c r="B170" s="3">
        <v>1.163204553152577</v>
      </c>
      <c r="C170" s="3">
        <v>4.1954468474230122E-3</v>
      </c>
    </row>
    <row r="171" spans="1:3" x14ac:dyDescent="0.3">
      <c r="A171" s="3">
        <v>147</v>
      </c>
      <c r="B171" s="3">
        <v>1.157555554104259</v>
      </c>
      <c r="C171" s="3">
        <v>7.1444458957410362E-3</v>
      </c>
    </row>
    <row r="172" spans="1:3" x14ac:dyDescent="0.3">
      <c r="A172" s="3">
        <v>148</v>
      </c>
      <c r="B172" s="3">
        <v>1.1553766544713364</v>
      </c>
      <c r="C172" s="3">
        <v>8.6233455286635063E-3</v>
      </c>
    </row>
    <row r="173" spans="1:3" x14ac:dyDescent="0.3">
      <c r="A173" s="3">
        <v>149</v>
      </c>
      <c r="B173" s="3">
        <v>1.1548117545665044</v>
      </c>
      <c r="C173" s="3">
        <v>1.6288245433495607E-2</v>
      </c>
    </row>
    <row r="174" spans="1:3" x14ac:dyDescent="0.3">
      <c r="A174" s="3">
        <v>150</v>
      </c>
      <c r="B174" s="3">
        <v>1.1605414536012271</v>
      </c>
      <c r="C174" s="3">
        <v>1.165854639877284E-2</v>
      </c>
    </row>
    <row r="175" spans="1:3" x14ac:dyDescent="0.3">
      <c r="A175" s="3">
        <v>151</v>
      </c>
      <c r="B175" s="3">
        <v>1.161429153451677</v>
      </c>
      <c r="C175" s="3">
        <v>2.0670846548322963E-2</v>
      </c>
    </row>
    <row r="176" spans="1:3" x14ac:dyDescent="0.3">
      <c r="A176" s="3">
        <v>152</v>
      </c>
      <c r="B176" s="3">
        <v>1.1694184521057269</v>
      </c>
      <c r="C176" s="3">
        <v>1.7781547894273109E-2</v>
      </c>
    </row>
    <row r="177" spans="1:3" x14ac:dyDescent="0.3">
      <c r="A177" s="3">
        <v>153</v>
      </c>
      <c r="B177" s="3">
        <v>1.1735341514123585</v>
      </c>
      <c r="C177" s="3">
        <v>7.7658485876415106E-3</v>
      </c>
    </row>
    <row r="178" spans="1:3" x14ac:dyDescent="0.3">
      <c r="A178" s="3">
        <v>154</v>
      </c>
      <c r="B178" s="3">
        <v>1.1687728522144905</v>
      </c>
      <c r="C178" s="3">
        <v>1.2627147785509552E-2</v>
      </c>
    </row>
    <row r="179" spans="1:3" x14ac:dyDescent="0.3">
      <c r="A179" s="3">
        <v>155</v>
      </c>
      <c r="B179" s="3">
        <v>1.1688535522008952</v>
      </c>
      <c r="C179" s="3">
        <v>8.8464477991048174E-3</v>
      </c>
    </row>
    <row r="180" spans="1:3" x14ac:dyDescent="0.3">
      <c r="A180" s="3">
        <v>156</v>
      </c>
      <c r="B180" s="3">
        <v>1.1658676527039269</v>
      </c>
      <c r="C180" s="3">
        <v>1.4532347296073E-2</v>
      </c>
    </row>
    <row r="181" spans="1:3" x14ac:dyDescent="0.3">
      <c r="A181" s="3">
        <v>157</v>
      </c>
      <c r="B181" s="3">
        <v>1.1680465523368495</v>
      </c>
      <c r="C181" s="3">
        <v>1.5153447663150521E-2</v>
      </c>
    </row>
    <row r="182" spans="1:3" x14ac:dyDescent="0.3">
      <c r="A182" s="3">
        <v>158</v>
      </c>
      <c r="B182" s="3">
        <v>1.1703061519561768</v>
      </c>
      <c r="C182" s="3">
        <v>1.4993848043823199E-2</v>
      </c>
    </row>
    <row r="183" spans="1:3" x14ac:dyDescent="0.3">
      <c r="A183" s="3">
        <v>159</v>
      </c>
      <c r="B183" s="3">
        <v>1.1720008516706724</v>
      </c>
      <c r="C183" s="3">
        <v>1.4099148329327571E-2</v>
      </c>
    </row>
    <row r="184" spans="1:3" x14ac:dyDescent="0.3">
      <c r="A184" s="3">
        <v>160</v>
      </c>
      <c r="B184" s="3">
        <v>1.1726464515619086</v>
      </c>
      <c r="C184" s="3">
        <v>1.2553548438091422E-2</v>
      </c>
    </row>
    <row r="185" spans="1:3" x14ac:dyDescent="0.3">
      <c r="A185" s="3">
        <v>161</v>
      </c>
      <c r="B185" s="3">
        <v>1.1719201516842677</v>
      </c>
      <c r="C185" s="3">
        <v>1.5379848315732358E-2</v>
      </c>
    </row>
    <row r="186" spans="1:3" x14ac:dyDescent="0.3">
      <c r="A186" s="3">
        <v>162</v>
      </c>
      <c r="B186" s="3">
        <v>1.1736148513987632</v>
      </c>
      <c r="C186" s="3">
        <v>1.1685148601236817E-2</v>
      </c>
    </row>
    <row r="187" spans="1:3" x14ac:dyDescent="0.3">
      <c r="A187" s="3">
        <v>163</v>
      </c>
      <c r="B187" s="3">
        <v>1.1720008516706724</v>
      </c>
      <c r="C187" s="3">
        <v>1.199914832932758E-2</v>
      </c>
    </row>
    <row r="188" spans="1:3" x14ac:dyDescent="0.3">
      <c r="A188" s="3">
        <v>164</v>
      </c>
      <c r="B188" s="3">
        <v>1.1709517518474131</v>
      </c>
      <c r="C188" s="3">
        <v>1.784824815258701E-2</v>
      </c>
    </row>
    <row r="189" spans="1:3" x14ac:dyDescent="0.3">
      <c r="A189" s="3">
        <v>165</v>
      </c>
      <c r="B189" s="3">
        <v>1.1748253511948312</v>
      </c>
      <c r="C189" s="3">
        <v>1.6474648805168801E-2</v>
      </c>
    </row>
    <row r="190" spans="1:3" x14ac:dyDescent="0.3">
      <c r="A190" s="3">
        <v>166</v>
      </c>
      <c r="B190" s="3">
        <v>1.1768428508549449</v>
      </c>
      <c r="C190" s="3">
        <v>1.4457149145055137E-2</v>
      </c>
    </row>
    <row r="191" spans="1:3" x14ac:dyDescent="0.3">
      <c r="A191" s="3">
        <v>167</v>
      </c>
      <c r="B191" s="3">
        <v>1.1768428508549449</v>
      </c>
      <c r="C191" s="3">
        <v>1.9357149145055041E-2</v>
      </c>
    </row>
    <row r="192" spans="1:3" x14ac:dyDescent="0.3">
      <c r="A192" s="3">
        <v>168</v>
      </c>
      <c r="B192" s="3">
        <v>1.1807971501887673</v>
      </c>
      <c r="C192" s="3">
        <v>1.2002849811232785E-2</v>
      </c>
    </row>
    <row r="193" spans="1:3" x14ac:dyDescent="0.3">
      <c r="A193" s="3">
        <v>169</v>
      </c>
      <c r="B193" s="3">
        <v>1.1780533506510129</v>
      </c>
      <c r="C193" s="3">
        <v>2.8946649348987163E-2</v>
      </c>
    </row>
    <row r="194" spans="1:3" x14ac:dyDescent="0.3">
      <c r="A194" s="3">
        <v>170</v>
      </c>
      <c r="B194" s="3">
        <v>1.1895127487204582</v>
      </c>
      <c r="C194" s="3">
        <v>2.198725127954182E-2</v>
      </c>
    </row>
    <row r="195" spans="1:3" x14ac:dyDescent="0.3">
      <c r="A195" s="3">
        <v>171</v>
      </c>
      <c r="B195" s="3">
        <v>1.1931442481086625</v>
      </c>
      <c r="C195" s="3">
        <v>2.0855751891337482E-2</v>
      </c>
    </row>
    <row r="196" spans="1:3" x14ac:dyDescent="0.3">
      <c r="A196" s="3">
        <v>172</v>
      </c>
      <c r="B196" s="3">
        <v>1.1951617477687759</v>
      </c>
      <c r="C196" s="3">
        <v>1.6838252231224038E-2</v>
      </c>
    </row>
    <row r="197" spans="1:3" x14ac:dyDescent="0.3">
      <c r="A197" s="3">
        <v>173</v>
      </c>
      <c r="B197" s="3">
        <v>1.1935477480406851</v>
      </c>
      <c r="C197" s="3">
        <v>1.7252251959315013E-2</v>
      </c>
    </row>
    <row r="198" spans="1:3" x14ac:dyDescent="0.3">
      <c r="A198" s="3">
        <v>174</v>
      </c>
      <c r="B198" s="3">
        <v>1.1925793482038309</v>
      </c>
      <c r="C198" s="3">
        <v>1.7520651796169018E-2</v>
      </c>
    </row>
    <row r="199" spans="1:3" x14ac:dyDescent="0.3">
      <c r="A199" s="3">
        <v>175</v>
      </c>
      <c r="B199" s="3">
        <v>1.1920144482989987</v>
      </c>
      <c r="C199" s="3">
        <v>1.6085551701001233E-2</v>
      </c>
    </row>
    <row r="200" spans="1:3" x14ac:dyDescent="0.3">
      <c r="A200" s="3">
        <v>176</v>
      </c>
      <c r="B200" s="3">
        <v>1.1904004485709079</v>
      </c>
      <c r="C200" s="3">
        <v>2.3199551429092136E-2</v>
      </c>
    </row>
    <row r="201" spans="1:3" x14ac:dyDescent="0.3">
      <c r="A201" s="3">
        <v>177</v>
      </c>
      <c r="B201" s="3">
        <v>1.194838947823158</v>
      </c>
      <c r="C201" s="3">
        <v>1.6261052176842039E-2</v>
      </c>
    </row>
    <row r="202" spans="1:3" x14ac:dyDescent="0.3">
      <c r="A202" s="3">
        <v>178</v>
      </c>
      <c r="B202" s="3">
        <v>1.1928214481630444</v>
      </c>
      <c r="C202" s="3">
        <v>2.1478551836955573E-2</v>
      </c>
    </row>
    <row r="203" spans="1:3" x14ac:dyDescent="0.3">
      <c r="A203" s="3">
        <v>179</v>
      </c>
      <c r="B203" s="3">
        <v>1.1954038477279898</v>
      </c>
      <c r="C203" s="3">
        <v>1.969615227201027E-2</v>
      </c>
    </row>
    <row r="204" spans="1:3" x14ac:dyDescent="0.3">
      <c r="A204" s="3">
        <v>180</v>
      </c>
      <c r="B204" s="3">
        <v>1.196049447619226</v>
      </c>
      <c r="C204" s="3">
        <v>2.3650552380773959E-2</v>
      </c>
    </row>
    <row r="205" spans="1:3" x14ac:dyDescent="0.3">
      <c r="A205" s="3">
        <v>181</v>
      </c>
      <c r="B205" s="3">
        <v>1.199761646993835</v>
      </c>
      <c r="C205" s="3">
        <v>2.6838353006164883E-2</v>
      </c>
    </row>
    <row r="206" spans="1:3" x14ac:dyDescent="0.3">
      <c r="A206" s="3">
        <v>182</v>
      </c>
      <c r="B206" s="3">
        <v>1.2053299460557485</v>
      </c>
      <c r="C206" s="3">
        <v>2.0170053944251531E-2</v>
      </c>
    </row>
    <row r="207" spans="1:3" x14ac:dyDescent="0.3">
      <c r="A207" s="3">
        <v>183</v>
      </c>
      <c r="B207" s="3">
        <v>1.2044422462052986</v>
      </c>
      <c r="C207" s="3">
        <v>1.9757753794701349E-2</v>
      </c>
    </row>
    <row r="208" spans="1:3" x14ac:dyDescent="0.3">
      <c r="A208" s="3">
        <v>184</v>
      </c>
      <c r="B208" s="3">
        <v>1.2033931463820395</v>
      </c>
      <c r="C208" s="3">
        <v>1.2706853617960423E-2</v>
      </c>
    </row>
    <row r="209" spans="1:3" x14ac:dyDescent="0.3">
      <c r="A209" s="3">
        <v>185</v>
      </c>
      <c r="B209" s="3">
        <v>1.1968564474832715</v>
      </c>
      <c r="C209" s="3">
        <v>2.1643552516728448E-2</v>
      </c>
    </row>
    <row r="210" spans="1:3" x14ac:dyDescent="0.3">
      <c r="A210" s="3">
        <v>186</v>
      </c>
      <c r="B210" s="3">
        <v>1.1987932471569804</v>
      </c>
      <c r="C210" s="3">
        <v>1.9806752843019471E-2</v>
      </c>
    </row>
    <row r="211" spans="1:3" x14ac:dyDescent="0.3">
      <c r="A211" s="3">
        <v>187</v>
      </c>
      <c r="B211" s="3">
        <v>1.1988739471433849</v>
      </c>
      <c r="C211" s="3">
        <v>2.1526052856615019E-2</v>
      </c>
    </row>
    <row r="212" spans="1:3" x14ac:dyDescent="0.3">
      <c r="A212" s="3">
        <v>188</v>
      </c>
      <c r="B212" s="3">
        <v>1.2003265468986668</v>
      </c>
      <c r="C212" s="3">
        <v>2.1073453101333239E-2</v>
      </c>
    </row>
    <row r="213" spans="1:3" x14ac:dyDescent="0.3">
      <c r="A213" s="3">
        <v>189</v>
      </c>
      <c r="B213" s="3">
        <v>1.2011335467627124</v>
      </c>
      <c r="C213" s="3">
        <v>2.3566453237287455E-2</v>
      </c>
    </row>
    <row r="214" spans="1:3" x14ac:dyDescent="0.3">
      <c r="A214" s="3">
        <v>190</v>
      </c>
      <c r="B214" s="3">
        <v>1.2037966463140621</v>
      </c>
      <c r="C214" s="3">
        <v>2.5703353685937902E-2</v>
      </c>
    </row>
    <row r="215" spans="1:3" x14ac:dyDescent="0.3">
      <c r="A215" s="3">
        <v>191</v>
      </c>
      <c r="B215" s="3">
        <v>1.2076702456614803</v>
      </c>
      <c r="C215" s="3">
        <v>1.3629754338519762E-2</v>
      </c>
    </row>
    <row r="216" spans="1:3" x14ac:dyDescent="0.3">
      <c r="A216" s="3">
        <v>192</v>
      </c>
      <c r="B216" s="3">
        <v>1.2010528467763077</v>
      </c>
      <c r="C216" s="3">
        <v>2.3747153223692363E-2</v>
      </c>
    </row>
    <row r="217" spans="1:3" x14ac:dyDescent="0.3">
      <c r="A217" s="3">
        <v>193</v>
      </c>
      <c r="B217" s="3">
        <v>1.2038773463004668</v>
      </c>
      <c r="C217" s="3">
        <v>2.5522653699533215E-2</v>
      </c>
    </row>
    <row r="218" spans="1:3" x14ac:dyDescent="0.3">
      <c r="A218" s="3">
        <v>194</v>
      </c>
      <c r="B218" s="3">
        <v>1.2075895456750758</v>
      </c>
      <c r="C218" s="3">
        <v>2.4910454324924114E-2</v>
      </c>
    </row>
    <row r="219" spans="1:3" x14ac:dyDescent="0.3">
      <c r="A219" s="3">
        <v>195</v>
      </c>
      <c r="B219" s="3">
        <v>1.2100912452536166</v>
      </c>
      <c r="C219" s="3">
        <v>1.6908754746383536E-2</v>
      </c>
    </row>
    <row r="220" spans="1:3" x14ac:dyDescent="0.3">
      <c r="A220" s="3">
        <v>196</v>
      </c>
      <c r="B220" s="3">
        <v>1.2056527460013666</v>
      </c>
      <c r="C220" s="3">
        <v>1.6147253998633371E-2</v>
      </c>
    </row>
    <row r="221" spans="1:3" x14ac:dyDescent="0.3">
      <c r="A221" s="3">
        <v>197</v>
      </c>
      <c r="B221" s="3">
        <v>1.2014563467083303</v>
      </c>
      <c r="C221" s="3">
        <v>1.3443653291669744E-2</v>
      </c>
    </row>
    <row r="222" spans="1:3" x14ac:dyDescent="0.3">
      <c r="A222" s="3">
        <v>198</v>
      </c>
      <c r="B222" s="3">
        <v>1.1958880476464171</v>
      </c>
      <c r="C222" s="3">
        <v>2.48119523535828E-2</v>
      </c>
    </row>
    <row r="223" spans="1:3" x14ac:dyDescent="0.3">
      <c r="A223" s="3">
        <v>199</v>
      </c>
      <c r="B223" s="3">
        <v>1.2005686468578805</v>
      </c>
      <c r="C223" s="3">
        <v>1.5131353142119552E-2</v>
      </c>
    </row>
    <row r="224" spans="1:3" x14ac:dyDescent="0.3">
      <c r="A224" s="3">
        <v>200</v>
      </c>
      <c r="B224" s="3">
        <v>1.1965336475376533</v>
      </c>
      <c r="C224" s="3">
        <v>1.906635246234667E-2</v>
      </c>
    </row>
    <row r="225" spans="1:3" x14ac:dyDescent="0.3">
      <c r="A225" s="3">
        <v>201</v>
      </c>
      <c r="B225" s="3">
        <v>1.1964529475512489</v>
      </c>
      <c r="C225" s="3">
        <v>1.1347052448751116E-2</v>
      </c>
    </row>
    <row r="226" spans="1:3" x14ac:dyDescent="0.3">
      <c r="A226" s="3">
        <v>202</v>
      </c>
      <c r="B226" s="3">
        <v>1.1901583486116944</v>
      </c>
      <c r="C226" s="3">
        <v>1.7441651388305557E-2</v>
      </c>
    </row>
    <row r="227" spans="1:3" x14ac:dyDescent="0.3">
      <c r="A227" s="3">
        <v>203</v>
      </c>
      <c r="B227" s="3">
        <v>1.1899969486388855</v>
      </c>
      <c r="C227" s="3">
        <v>2.2803051361114601E-2</v>
      </c>
    </row>
    <row r="228" spans="1:3" x14ac:dyDescent="0.3">
      <c r="A228" s="3">
        <v>204</v>
      </c>
      <c r="B228" s="3">
        <v>1.1941933479319218</v>
      </c>
      <c r="C228" s="3">
        <v>1.6206652068078142E-2</v>
      </c>
    </row>
    <row r="229" spans="1:3" x14ac:dyDescent="0.3">
      <c r="A229" s="3">
        <v>205</v>
      </c>
      <c r="B229" s="3">
        <v>1.1922565482582126</v>
      </c>
      <c r="C229" s="3">
        <v>2.3943451741787358E-2</v>
      </c>
    </row>
    <row r="230" spans="1:3" x14ac:dyDescent="0.3">
      <c r="A230" s="3">
        <v>206</v>
      </c>
      <c r="B230" s="3">
        <v>1.1969371474696759</v>
      </c>
      <c r="C230" s="3">
        <v>1.9762852530323949E-2</v>
      </c>
    </row>
    <row r="231" spans="1:3" x14ac:dyDescent="0.3">
      <c r="A231" s="3">
        <v>207</v>
      </c>
      <c r="B231" s="3">
        <v>1.1973406474016985</v>
      </c>
      <c r="C231" s="3">
        <v>1.6359352598301458E-2</v>
      </c>
    </row>
    <row r="232" spans="1:3" x14ac:dyDescent="0.3">
      <c r="A232" s="3">
        <v>208</v>
      </c>
      <c r="B232" s="3">
        <v>1.1949196478095625</v>
      </c>
      <c r="C232" s="3">
        <v>2.1080352190437468E-2</v>
      </c>
    </row>
    <row r="233" spans="1:3" x14ac:dyDescent="0.3">
      <c r="A233" s="3">
        <v>209</v>
      </c>
      <c r="B233" s="3">
        <v>1.1967757474968668</v>
      </c>
      <c r="C233" s="3">
        <v>1.4024252503133328E-2</v>
      </c>
    </row>
    <row r="234" spans="1:3" x14ac:dyDescent="0.3">
      <c r="A234" s="3">
        <v>210</v>
      </c>
      <c r="B234" s="3">
        <v>1.1925793482038309</v>
      </c>
      <c r="C234" s="3">
        <v>1.952065179616902E-2</v>
      </c>
    </row>
    <row r="235" spans="1:3" x14ac:dyDescent="0.3">
      <c r="A235" s="3">
        <v>211</v>
      </c>
      <c r="B235" s="3">
        <v>1.1936284480270898</v>
      </c>
      <c r="C235" s="3">
        <v>1.9971551972910229E-2</v>
      </c>
    </row>
    <row r="236" spans="1:3" x14ac:dyDescent="0.3">
      <c r="A236" s="3">
        <v>212</v>
      </c>
      <c r="B236" s="3">
        <v>1.194838947823158</v>
      </c>
      <c r="C236" s="3">
        <v>1.1061052176841946E-2</v>
      </c>
    </row>
    <row r="237" spans="1:3" x14ac:dyDescent="0.3">
      <c r="A237" s="3">
        <v>213</v>
      </c>
      <c r="B237" s="3">
        <v>1.1886250488700081</v>
      </c>
      <c r="C237" s="3">
        <v>1.5574951129991854E-2</v>
      </c>
    </row>
    <row r="238" spans="1:3" x14ac:dyDescent="0.3">
      <c r="A238" s="3">
        <v>214</v>
      </c>
      <c r="B238" s="3">
        <v>1.1872531491011307</v>
      </c>
      <c r="C238" s="3">
        <v>1.6146850898869358E-2</v>
      </c>
    </row>
    <row r="239" spans="1:3" x14ac:dyDescent="0.3">
      <c r="A239" s="3">
        <v>215</v>
      </c>
      <c r="B239" s="3">
        <v>1.1866075492098944</v>
      </c>
      <c r="C239" s="3">
        <v>9.5924507901055112E-3</v>
      </c>
    </row>
    <row r="240" spans="1:3" x14ac:dyDescent="0.3">
      <c r="A240" s="3">
        <v>216</v>
      </c>
      <c r="B240" s="3">
        <v>1.1807971501887673</v>
      </c>
      <c r="C240" s="3">
        <v>2.340284981123264E-2</v>
      </c>
    </row>
    <row r="241" spans="1:3" x14ac:dyDescent="0.3">
      <c r="A241" s="3">
        <v>217</v>
      </c>
      <c r="B241" s="3">
        <v>1.1872531491011307</v>
      </c>
      <c r="C241" s="3">
        <v>1.7546850898869426E-2</v>
      </c>
    </row>
    <row r="242" spans="1:3" x14ac:dyDescent="0.3">
      <c r="A242" s="3">
        <v>218</v>
      </c>
      <c r="B242" s="3">
        <v>1.1877373490195582</v>
      </c>
      <c r="C242" s="3">
        <v>2.3962650980441813E-2</v>
      </c>
    </row>
    <row r="243" spans="1:3" x14ac:dyDescent="0.3">
      <c r="A243" s="3">
        <v>219</v>
      </c>
      <c r="B243" s="3">
        <v>1.1933056480814717</v>
      </c>
      <c r="C243" s="3">
        <v>1.8294351918528351E-2</v>
      </c>
    </row>
    <row r="244" spans="1:3" x14ac:dyDescent="0.3">
      <c r="A244" s="3">
        <v>220</v>
      </c>
      <c r="B244" s="3">
        <v>1.1932249480950672</v>
      </c>
      <c r="C244" s="3">
        <v>1.9575051904932916E-2</v>
      </c>
    </row>
    <row r="245" spans="1:3" x14ac:dyDescent="0.3">
      <c r="A245" s="3">
        <v>221</v>
      </c>
      <c r="B245" s="3">
        <v>1.1941933479319218</v>
      </c>
      <c r="C245" s="3">
        <v>1.760665206807821E-2</v>
      </c>
    </row>
    <row r="246" spans="1:3" x14ac:dyDescent="0.3">
      <c r="A246" s="3">
        <v>222</v>
      </c>
      <c r="B246" s="3">
        <v>1.1933863480678761</v>
      </c>
      <c r="C246" s="3">
        <v>1.9313651932123754E-2</v>
      </c>
    </row>
    <row r="247" spans="1:3" x14ac:dyDescent="0.3">
      <c r="A247" s="3">
        <v>223</v>
      </c>
      <c r="B247" s="3">
        <v>1.1941126479455169</v>
      </c>
      <c r="C247" s="3">
        <v>1.6287352054483062E-2</v>
      </c>
    </row>
    <row r="248" spans="1:3" x14ac:dyDescent="0.3">
      <c r="A248" s="3">
        <v>224</v>
      </c>
      <c r="B248" s="3">
        <v>1.1922565482582126</v>
      </c>
      <c r="C248" s="3">
        <v>1.1343451741787414E-2</v>
      </c>
    </row>
    <row r="249" spans="1:3" x14ac:dyDescent="0.3">
      <c r="A249" s="3">
        <v>225</v>
      </c>
      <c r="B249" s="3">
        <v>1.1867689491827036</v>
      </c>
      <c r="C249" s="3">
        <v>2.2031050817296505E-2</v>
      </c>
    </row>
    <row r="250" spans="1:3" x14ac:dyDescent="0.3">
      <c r="A250" s="3">
        <v>226</v>
      </c>
      <c r="B250" s="3">
        <v>1.1909653484757401</v>
      </c>
      <c r="C250" s="3">
        <v>2.0734651524259906E-2</v>
      </c>
    </row>
    <row r="251" spans="1:3" x14ac:dyDescent="0.3">
      <c r="A251" s="3">
        <v>227</v>
      </c>
      <c r="B251" s="3">
        <v>1.1933056480814717</v>
      </c>
      <c r="C251" s="3">
        <v>2.2094351918528377E-2</v>
      </c>
    </row>
    <row r="252" spans="1:3" x14ac:dyDescent="0.3">
      <c r="A252" s="3">
        <v>228</v>
      </c>
      <c r="B252" s="3">
        <v>1.1962915475784397</v>
      </c>
      <c r="C252" s="3">
        <v>1.8608452421560395E-2</v>
      </c>
    </row>
    <row r="253" spans="1:3" x14ac:dyDescent="0.3">
      <c r="A253" s="3">
        <v>229</v>
      </c>
      <c r="B253" s="3">
        <v>1.1958880476464171</v>
      </c>
      <c r="C253" s="3">
        <v>2.051195235358283E-2</v>
      </c>
    </row>
    <row r="254" spans="1:3" x14ac:dyDescent="0.3">
      <c r="A254" s="3">
        <v>230</v>
      </c>
      <c r="B254" s="3">
        <v>1.1970985474424851</v>
      </c>
      <c r="C254" s="3">
        <v>2.0501452557514899E-2</v>
      </c>
    </row>
    <row r="255" spans="1:3" x14ac:dyDescent="0.3">
      <c r="A255" s="3">
        <v>231</v>
      </c>
      <c r="B255" s="3">
        <v>1.1980669472793397</v>
      </c>
      <c r="C255" s="3">
        <v>9.3330527206603175E-3</v>
      </c>
    </row>
    <row r="256" spans="1:3" x14ac:dyDescent="0.3">
      <c r="A256" s="3">
        <v>232</v>
      </c>
      <c r="B256" s="3">
        <v>1.1898355486660761</v>
      </c>
      <c r="C256" s="3">
        <v>1.4864451333924E-2</v>
      </c>
    </row>
    <row r="257" spans="1:3" x14ac:dyDescent="0.3">
      <c r="A257" s="3">
        <v>233</v>
      </c>
      <c r="B257" s="3">
        <v>1.1876566490331537</v>
      </c>
      <c r="C257" s="3">
        <v>2.1243350966846375E-2</v>
      </c>
    </row>
    <row r="258" spans="1:3" x14ac:dyDescent="0.3">
      <c r="A258" s="3">
        <v>234</v>
      </c>
      <c r="B258" s="3">
        <v>1.1910460484621446</v>
      </c>
      <c r="C258" s="3">
        <v>1.515395153785537E-2</v>
      </c>
    </row>
    <row r="259" spans="1:3" x14ac:dyDescent="0.3">
      <c r="A259" s="3">
        <v>235</v>
      </c>
      <c r="B259" s="3">
        <v>1.1888671488292217</v>
      </c>
      <c r="C259" s="3">
        <v>7.7328511707783765E-3</v>
      </c>
    </row>
    <row r="260" spans="1:3" x14ac:dyDescent="0.3">
      <c r="A260" s="3">
        <v>236</v>
      </c>
      <c r="B260" s="3">
        <v>1.1811199501343856</v>
      </c>
      <c r="C260" s="3">
        <v>1.0580049865614338E-2</v>
      </c>
    </row>
    <row r="261" spans="1:3" x14ac:dyDescent="0.3">
      <c r="A261" s="3">
        <v>237</v>
      </c>
      <c r="B261" s="3">
        <v>1.177165650800563</v>
      </c>
      <c r="C261" s="3">
        <v>7.1343491994368957E-3</v>
      </c>
    </row>
    <row r="262" spans="1:3" x14ac:dyDescent="0.3">
      <c r="A262" s="3">
        <v>238</v>
      </c>
      <c r="B262" s="3">
        <v>1.1711938518066267</v>
      </c>
      <c r="C262" s="3">
        <v>1.8606148193373251E-2</v>
      </c>
    </row>
    <row r="263" spans="1:3" x14ac:dyDescent="0.3">
      <c r="A263" s="3">
        <v>239</v>
      </c>
      <c r="B263" s="3">
        <v>1.1756323510588766</v>
      </c>
      <c r="C263" s="3">
        <v>1.6867648941123248E-2</v>
      </c>
    </row>
    <row r="264" spans="1:3" x14ac:dyDescent="0.3">
      <c r="A264" s="3">
        <v>240</v>
      </c>
      <c r="B264" s="3">
        <v>1.1778112506917993</v>
      </c>
      <c r="C264" s="3">
        <v>2.0588749308200649E-2</v>
      </c>
    </row>
    <row r="265" spans="1:3" x14ac:dyDescent="0.3">
      <c r="A265" s="3">
        <v>241</v>
      </c>
      <c r="B265" s="3">
        <v>1.1825725498896673</v>
      </c>
      <c r="C265" s="3">
        <v>1.2627450110332727E-2</v>
      </c>
    </row>
    <row r="266" spans="1:3" x14ac:dyDescent="0.3">
      <c r="A266" s="3">
        <v>242</v>
      </c>
      <c r="B266" s="3">
        <v>1.1799901503247221</v>
      </c>
      <c r="C266" s="3">
        <v>1.2809849675277984E-2</v>
      </c>
    </row>
    <row r="267" spans="1:3" x14ac:dyDescent="0.3">
      <c r="A267" s="3">
        <v>243</v>
      </c>
      <c r="B267" s="3">
        <v>1.1780533506510129</v>
      </c>
      <c r="C267" s="3">
        <v>1.1946649348987037E-2</v>
      </c>
    </row>
    <row r="268" spans="1:3" x14ac:dyDescent="0.3">
      <c r="A268" s="3">
        <v>244</v>
      </c>
      <c r="B268" s="3">
        <v>1.1757937510316858</v>
      </c>
      <c r="C268" s="3">
        <v>2.2006248968314157E-2</v>
      </c>
    </row>
    <row r="269" spans="1:3" x14ac:dyDescent="0.3">
      <c r="A269" s="3">
        <v>245</v>
      </c>
      <c r="B269" s="3">
        <v>1.1820883499712402</v>
      </c>
      <c r="C269" s="3">
        <v>9.411650028759766E-3</v>
      </c>
    </row>
    <row r="270" spans="1:3" x14ac:dyDescent="0.3">
      <c r="A270" s="3">
        <v>246</v>
      </c>
      <c r="B270" s="3">
        <v>1.1770042508277538</v>
      </c>
      <c r="C270" s="3">
        <v>1.3295749172246074E-2</v>
      </c>
    </row>
    <row r="271" spans="1:3" x14ac:dyDescent="0.3">
      <c r="A271" s="3">
        <v>247</v>
      </c>
      <c r="B271" s="3">
        <v>1.1760358509908992</v>
      </c>
      <c r="C271" s="3">
        <v>1.7064149009100804E-2</v>
      </c>
    </row>
    <row r="272" spans="1:3" x14ac:dyDescent="0.3">
      <c r="A272" s="3">
        <v>248</v>
      </c>
      <c r="B272" s="3">
        <v>1.1782954506102268</v>
      </c>
      <c r="C272" s="3">
        <v>6.6045493897732843E-3</v>
      </c>
    </row>
    <row r="273" spans="1:3" x14ac:dyDescent="0.3">
      <c r="A273" s="3">
        <v>249</v>
      </c>
      <c r="B273" s="3">
        <v>1.171678051725054</v>
      </c>
      <c r="C273" s="3">
        <v>9.5219482749460127E-3</v>
      </c>
    </row>
    <row r="274" spans="1:3" x14ac:dyDescent="0.3">
      <c r="A274" s="3">
        <v>250</v>
      </c>
      <c r="B274" s="3">
        <v>1.168692152228086</v>
      </c>
      <c r="C274" s="3">
        <v>7.7078477719139116E-3</v>
      </c>
    </row>
    <row r="275" spans="1:3" x14ac:dyDescent="0.3">
      <c r="A275" s="3">
        <v>251</v>
      </c>
      <c r="B275" s="3">
        <v>1.1648185528806678</v>
      </c>
      <c r="C275" s="3">
        <v>1.4781447119332158E-2</v>
      </c>
    </row>
    <row r="276" spans="1:3" x14ac:dyDescent="0.3">
      <c r="A276" s="3">
        <v>252</v>
      </c>
      <c r="B276" s="3">
        <v>1.1674009524456133</v>
      </c>
      <c r="C276" s="3">
        <v>8.799047554386652E-3</v>
      </c>
    </row>
    <row r="277" spans="1:3" x14ac:dyDescent="0.3">
      <c r="A277" s="3">
        <v>253</v>
      </c>
      <c r="B277" s="3">
        <v>1.1646571529078589</v>
      </c>
      <c r="C277" s="3">
        <v>6.7428470921411243E-3</v>
      </c>
    </row>
    <row r="278" spans="1:3" x14ac:dyDescent="0.3">
      <c r="A278" s="3">
        <v>254</v>
      </c>
      <c r="B278" s="3">
        <v>1.1607835535604407</v>
      </c>
      <c r="C278" s="3">
        <v>1.2016446439559347E-2</v>
      </c>
    </row>
    <row r="279" spans="1:3" x14ac:dyDescent="0.3">
      <c r="A279" s="3">
        <v>255</v>
      </c>
      <c r="B279" s="3">
        <v>1.1619133533701045</v>
      </c>
      <c r="C279" s="3">
        <v>1.5586646629895506E-2</v>
      </c>
    </row>
    <row r="280" spans="1:3" x14ac:dyDescent="0.3">
      <c r="A280" s="3">
        <v>256</v>
      </c>
      <c r="B280" s="3">
        <v>1.1657062527311179</v>
      </c>
      <c r="C280" s="3">
        <v>1.049374726888197E-2</v>
      </c>
    </row>
    <row r="281" spans="1:3" x14ac:dyDescent="0.3">
      <c r="A281" s="3">
        <v>257</v>
      </c>
      <c r="B281" s="3">
        <v>1.1646571529078589</v>
      </c>
      <c r="C281" s="3">
        <v>1.6442847092141166E-2</v>
      </c>
    </row>
    <row r="282" spans="1:3" x14ac:dyDescent="0.3">
      <c r="A282" s="3">
        <v>258</v>
      </c>
      <c r="B282" s="3">
        <v>1.1686114522416813</v>
      </c>
      <c r="C282" s="3">
        <v>1.8888547758318719E-2</v>
      </c>
    </row>
    <row r="283" spans="1:3" x14ac:dyDescent="0.3">
      <c r="A283" s="3">
        <v>259</v>
      </c>
      <c r="B283" s="3">
        <v>1.1737762513715722</v>
      </c>
      <c r="C283" s="3">
        <v>1.32237486284279E-2</v>
      </c>
    </row>
    <row r="284" spans="1:3" x14ac:dyDescent="0.3">
      <c r="A284" s="3">
        <v>260</v>
      </c>
      <c r="B284" s="3">
        <v>1.1733727514395493</v>
      </c>
      <c r="C284" s="3">
        <v>1.7827248560450704E-2</v>
      </c>
    </row>
    <row r="285" spans="1:3" x14ac:dyDescent="0.3">
      <c r="A285" s="3">
        <v>261</v>
      </c>
      <c r="B285" s="3">
        <v>1.1767621508685404</v>
      </c>
      <c r="C285" s="3">
        <v>1.2837849131459578E-2</v>
      </c>
    </row>
    <row r="286" spans="1:3" x14ac:dyDescent="0.3">
      <c r="A286" s="3">
        <v>262</v>
      </c>
      <c r="B286" s="3">
        <v>1.1754709510860675</v>
      </c>
      <c r="C286" s="3">
        <v>1.5429048913932597E-2</v>
      </c>
    </row>
    <row r="287" spans="1:3" x14ac:dyDescent="0.3">
      <c r="A287" s="3">
        <v>263</v>
      </c>
      <c r="B287" s="3">
        <v>1.1765200509093265</v>
      </c>
      <c r="C287" s="3">
        <v>1.8079949090673564E-2</v>
      </c>
    </row>
    <row r="288" spans="1:3" x14ac:dyDescent="0.3">
      <c r="A288" s="3">
        <v>264</v>
      </c>
      <c r="B288" s="3">
        <v>1.1795059504062948</v>
      </c>
      <c r="C288" s="3">
        <v>1.8294049593705175E-2</v>
      </c>
    </row>
    <row r="289" spans="1:3" x14ac:dyDescent="0.3">
      <c r="A289" s="3">
        <v>265</v>
      </c>
      <c r="B289" s="3">
        <v>1.1820883499712402</v>
      </c>
      <c r="C289" s="3">
        <v>1.4411650028759659E-2</v>
      </c>
    </row>
    <row r="290" spans="1:3" x14ac:dyDescent="0.3">
      <c r="A290" s="3">
        <v>266</v>
      </c>
      <c r="B290" s="3">
        <v>1.1810392501479809</v>
      </c>
      <c r="C290" s="3">
        <v>1.7260749852018975E-2</v>
      </c>
    </row>
    <row r="291" spans="1:3" x14ac:dyDescent="0.3">
      <c r="A291" s="3">
        <v>267</v>
      </c>
      <c r="B291" s="3">
        <v>1.1824918499032626</v>
      </c>
      <c r="C291" s="3">
        <v>2.0808150096737421E-2</v>
      </c>
    </row>
    <row r="292" spans="1:3" x14ac:dyDescent="0.3">
      <c r="A292" s="3">
        <v>268</v>
      </c>
      <c r="B292" s="3">
        <v>1.1865268492234899</v>
      </c>
      <c r="C292" s="3">
        <v>1.6773150776510093E-2</v>
      </c>
    </row>
    <row r="293" spans="1:3" x14ac:dyDescent="0.3">
      <c r="A293" s="3">
        <v>269</v>
      </c>
      <c r="B293" s="3">
        <v>1.1865268492234899</v>
      </c>
      <c r="C293" s="3">
        <v>1.6773150776510093E-2</v>
      </c>
    </row>
    <row r="294" spans="1:3" x14ac:dyDescent="0.3">
      <c r="A294" s="3">
        <v>270</v>
      </c>
      <c r="B294" s="3">
        <v>1.1865268492234899</v>
      </c>
      <c r="C294" s="3">
        <v>1.4973150776510069E-2</v>
      </c>
    </row>
    <row r="295" spans="1:3" x14ac:dyDescent="0.3">
      <c r="A295" s="3">
        <v>271</v>
      </c>
      <c r="B295" s="3">
        <v>1.1850742494682081</v>
      </c>
      <c r="C295" s="3">
        <v>2.4825750531791924E-2</v>
      </c>
    </row>
    <row r="296" spans="1:3" x14ac:dyDescent="0.3">
      <c r="A296" s="3">
        <v>272</v>
      </c>
      <c r="B296" s="3">
        <v>1.1918530483261898</v>
      </c>
      <c r="C296" s="3">
        <v>1.6446951673810162E-2</v>
      </c>
    </row>
    <row r="297" spans="1:3" x14ac:dyDescent="0.3">
      <c r="A297" s="3">
        <v>273</v>
      </c>
      <c r="B297" s="3">
        <v>1.190561848543717</v>
      </c>
      <c r="C297" s="3">
        <v>1.8438151456283025E-2</v>
      </c>
    </row>
    <row r="298" spans="1:3" x14ac:dyDescent="0.3">
      <c r="A298" s="3">
        <v>274</v>
      </c>
      <c r="B298" s="3">
        <v>1.191126748448549</v>
      </c>
      <c r="C298" s="3">
        <v>2.1173251551450889E-2</v>
      </c>
    </row>
    <row r="299" spans="1:3" x14ac:dyDescent="0.3">
      <c r="A299" s="3">
        <v>275</v>
      </c>
      <c r="B299" s="3">
        <v>1.193789847999899</v>
      </c>
      <c r="C299" s="3">
        <v>1.8010152000101032E-2</v>
      </c>
    </row>
    <row r="300" spans="1:3" x14ac:dyDescent="0.3">
      <c r="A300" s="3">
        <v>276</v>
      </c>
      <c r="B300" s="3">
        <v>1.1933863480678761</v>
      </c>
      <c r="C300" s="3">
        <v>8.4136519321238445E-3</v>
      </c>
    </row>
    <row r="301" spans="1:3" x14ac:dyDescent="0.3">
      <c r="A301" s="3">
        <v>277</v>
      </c>
      <c r="B301" s="3">
        <v>1.1853163494274219</v>
      </c>
      <c r="C301" s="3">
        <v>2.0783650572578027E-2</v>
      </c>
    </row>
    <row r="302" spans="1:3" x14ac:dyDescent="0.3">
      <c r="A302" s="3">
        <v>278</v>
      </c>
      <c r="B302" s="3">
        <v>1.188786448842817</v>
      </c>
      <c r="C302" s="3">
        <v>1.2513551157183E-2</v>
      </c>
    </row>
    <row r="303" spans="1:3" x14ac:dyDescent="0.3">
      <c r="A303" s="3">
        <v>279</v>
      </c>
      <c r="B303" s="3">
        <v>1.1849128494953991</v>
      </c>
      <c r="C303" s="3">
        <v>1.55871505046008E-2</v>
      </c>
    </row>
    <row r="304" spans="1:3" x14ac:dyDescent="0.3">
      <c r="A304" s="3">
        <v>280</v>
      </c>
      <c r="B304" s="3">
        <v>1.1842672496041629</v>
      </c>
      <c r="C304" s="3">
        <v>2.2132750395837064E-2</v>
      </c>
    </row>
    <row r="305" spans="1:3" x14ac:dyDescent="0.3">
      <c r="A305" s="3">
        <v>281</v>
      </c>
      <c r="B305" s="3">
        <v>1.1890285488020309</v>
      </c>
      <c r="C305" s="3">
        <v>2.7271451197969032E-2</v>
      </c>
    </row>
    <row r="306" spans="1:3" x14ac:dyDescent="0.3">
      <c r="A306" s="3">
        <v>282</v>
      </c>
      <c r="B306" s="3">
        <v>1.1970178474560806</v>
      </c>
      <c r="C306" s="3">
        <v>1.5882152543919448E-2</v>
      </c>
    </row>
    <row r="307" spans="1:3" x14ac:dyDescent="0.3">
      <c r="A307" s="3">
        <v>283</v>
      </c>
      <c r="B307" s="3">
        <v>1.1942740479183263</v>
      </c>
      <c r="C307" s="3">
        <v>2.0325952081673648E-2</v>
      </c>
    </row>
    <row r="308" spans="1:3" x14ac:dyDescent="0.3">
      <c r="A308" s="3">
        <v>284</v>
      </c>
      <c r="B308" s="3">
        <v>1.1956459476872032</v>
      </c>
      <c r="C308" s="3">
        <v>1.1254052312796858E-2</v>
      </c>
    </row>
    <row r="309" spans="1:3" x14ac:dyDescent="0.3">
      <c r="A309" s="3">
        <v>285</v>
      </c>
      <c r="B309" s="3">
        <v>1.1894320487340537</v>
      </c>
      <c r="C309" s="3">
        <v>1.8367951265946258E-2</v>
      </c>
    </row>
    <row r="310" spans="1:3" x14ac:dyDescent="0.3">
      <c r="A310" s="3">
        <v>286</v>
      </c>
      <c r="B310" s="3">
        <v>1.1901583486116944</v>
      </c>
      <c r="C310" s="3">
        <v>2.3841651388305518E-2</v>
      </c>
    </row>
    <row r="311" spans="1:3" x14ac:dyDescent="0.3">
      <c r="A311" s="3">
        <v>287</v>
      </c>
      <c r="B311" s="3">
        <v>1.1951617477687759</v>
      </c>
      <c r="C311" s="3">
        <v>1.9938252231224141E-2</v>
      </c>
    </row>
    <row r="312" spans="1:3" x14ac:dyDescent="0.3">
      <c r="A312" s="3">
        <v>288</v>
      </c>
      <c r="B312" s="3">
        <v>1.196049447619226</v>
      </c>
      <c r="C312" s="3">
        <v>2.5950552380773928E-2</v>
      </c>
    </row>
    <row r="313" spans="1:3" x14ac:dyDescent="0.3">
      <c r="A313" s="3">
        <v>289</v>
      </c>
      <c r="B313" s="3">
        <v>1.2016177466811395</v>
      </c>
      <c r="C313" s="3">
        <v>1.5582253318860539E-2</v>
      </c>
    </row>
    <row r="314" spans="1:3" x14ac:dyDescent="0.3">
      <c r="A314" s="3">
        <v>290</v>
      </c>
      <c r="B314" s="3">
        <v>1.1977441473337214</v>
      </c>
      <c r="C314" s="3">
        <v>2.4855852666278544E-2</v>
      </c>
    </row>
    <row r="315" spans="1:3" x14ac:dyDescent="0.3">
      <c r="A315" s="3">
        <v>291</v>
      </c>
      <c r="B315" s="3">
        <v>1.2021019465995666</v>
      </c>
      <c r="C315" s="3">
        <v>1.5798053400433387E-2</v>
      </c>
    </row>
    <row r="316" spans="1:3" x14ac:dyDescent="0.3">
      <c r="A316" s="3">
        <v>292</v>
      </c>
      <c r="B316" s="3">
        <v>1.1983090472385531</v>
      </c>
      <c r="C316" s="3">
        <v>2.3190952761446892E-2</v>
      </c>
    </row>
    <row r="317" spans="1:3" x14ac:dyDescent="0.3">
      <c r="A317" s="3">
        <v>293</v>
      </c>
      <c r="B317" s="3">
        <v>1.2012142467491169</v>
      </c>
      <c r="C317" s="3">
        <v>2.3785753250883168E-2</v>
      </c>
    </row>
    <row r="318" spans="1:3" x14ac:dyDescent="0.3">
      <c r="A318" s="3">
        <v>294</v>
      </c>
      <c r="B318" s="3">
        <v>1.2040387462732758</v>
      </c>
      <c r="C318" s="3">
        <v>1.49612537267243E-2</v>
      </c>
    </row>
    <row r="319" spans="1:3" x14ac:dyDescent="0.3">
      <c r="A319" s="3">
        <v>295</v>
      </c>
      <c r="B319" s="3">
        <v>1.1991967470890033</v>
      </c>
      <c r="C319" s="3">
        <v>2.0003252910996805E-2</v>
      </c>
    </row>
    <row r="320" spans="1:3" x14ac:dyDescent="0.3">
      <c r="A320" s="3">
        <v>296</v>
      </c>
      <c r="B320" s="3">
        <v>1.1993581470618124</v>
      </c>
      <c r="C320" s="3">
        <v>1.9541852938187665E-2</v>
      </c>
    </row>
    <row r="321" spans="1:3" x14ac:dyDescent="0.3">
      <c r="A321" s="3">
        <v>297</v>
      </c>
      <c r="B321" s="3">
        <v>1.1991160471025988</v>
      </c>
      <c r="C321" s="3">
        <v>2.3383952897401139E-2</v>
      </c>
    </row>
    <row r="322" spans="1:3" x14ac:dyDescent="0.3">
      <c r="A322" s="3">
        <v>298</v>
      </c>
      <c r="B322" s="3">
        <v>1.2020212466131621</v>
      </c>
      <c r="C322" s="3">
        <v>1.9078753386837954E-2</v>
      </c>
    </row>
    <row r="323" spans="1:3" x14ac:dyDescent="0.3">
      <c r="A323" s="3">
        <v>299</v>
      </c>
      <c r="B323" s="3">
        <v>1.2008914468034986</v>
      </c>
      <c r="C323" s="3">
        <v>2.0008553196501522E-2</v>
      </c>
    </row>
    <row r="324" spans="1:3" x14ac:dyDescent="0.3">
      <c r="A324" s="3">
        <v>300</v>
      </c>
      <c r="B324" s="3">
        <v>1.2007300468306896</v>
      </c>
      <c r="C324" s="3">
        <v>1.1669953169310299E-2</v>
      </c>
    </row>
    <row r="325" spans="1:3" x14ac:dyDescent="0.3">
      <c r="A325" s="3">
        <v>301</v>
      </c>
      <c r="B325" s="3">
        <v>1.1938705479863034</v>
      </c>
      <c r="C325" s="3">
        <v>2.2629452013696483E-2</v>
      </c>
    </row>
    <row r="326" spans="1:3" x14ac:dyDescent="0.3">
      <c r="A326" s="3">
        <v>302</v>
      </c>
      <c r="B326" s="3">
        <v>1.1971792474288896</v>
      </c>
      <c r="C326" s="3">
        <v>2.1720752571110502E-2</v>
      </c>
    </row>
    <row r="327" spans="1:3" x14ac:dyDescent="0.3">
      <c r="A327" s="3">
        <v>303</v>
      </c>
      <c r="B327" s="3">
        <v>1.1991160471025988</v>
      </c>
      <c r="C327" s="3">
        <v>1.798395289740129E-2</v>
      </c>
    </row>
    <row r="328" spans="1:3" x14ac:dyDescent="0.3">
      <c r="A328" s="3">
        <v>304</v>
      </c>
      <c r="B328" s="3">
        <v>1.1976634473473169</v>
      </c>
      <c r="C328" s="3">
        <v>2.0136552652683104E-2</v>
      </c>
    </row>
    <row r="329" spans="1:3" x14ac:dyDescent="0.3">
      <c r="A329" s="3">
        <v>305</v>
      </c>
      <c r="B329" s="3">
        <v>1.1982283472521487</v>
      </c>
      <c r="C329" s="3">
        <v>1.867165274785143E-2</v>
      </c>
    </row>
    <row r="330" spans="1:3" x14ac:dyDescent="0.3">
      <c r="A330" s="3">
        <v>306</v>
      </c>
      <c r="B330" s="3">
        <v>1.1975020473745079</v>
      </c>
      <c r="C330" s="3">
        <v>1.309795262549196E-2</v>
      </c>
    </row>
    <row r="331" spans="1:3" x14ac:dyDescent="0.3">
      <c r="A331" s="3">
        <v>307</v>
      </c>
      <c r="B331" s="3">
        <v>1.1924179482310215</v>
      </c>
      <c r="C331" s="3">
        <v>1.9382051768978448E-2</v>
      </c>
    </row>
    <row r="332" spans="1:3" x14ac:dyDescent="0.3">
      <c r="A332" s="3">
        <v>308</v>
      </c>
      <c r="B332" s="3">
        <v>1.1933863480678761</v>
      </c>
      <c r="C332" s="3">
        <v>1.9013651932123787E-2</v>
      </c>
    </row>
    <row r="333" spans="1:3" x14ac:dyDescent="0.3">
      <c r="A333" s="3">
        <v>309</v>
      </c>
      <c r="B333" s="3">
        <v>1.1938705479863034</v>
      </c>
      <c r="C333" s="3">
        <v>5.5294520136965897E-3</v>
      </c>
    </row>
    <row r="334" spans="1:3" x14ac:dyDescent="0.3">
      <c r="A334" s="3">
        <v>310</v>
      </c>
      <c r="B334" s="3">
        <v>1.1833795497537127</v>
      </c>
      <c r="C334" s="3">
        <v>7.2204502462873688E-3</v>
      </c>
    </row>
    <row r="335" spans="1:3" x14ac:dyDescent="0.3">
      <c r="A335" s="3">
        <v>311</v>
      </c>
      <c r="B335" s="3">
        <v>1.1762779509501131</v>
      </c>
      <c r="C335" s="3">
        <v>9.7220490498868273E-3</v>
      </c>
    </row>
    <row r="336" spans="1:3" x14ac:dyDescent="0.3">
      <c r="A336" s="3">
        <v>312</v>
      </c>
      <c r="B336" s="3">
        <v>1.1725657515755041</v>
      </c>
      <c r="C336" s="3">
        <v>1.893424842449587E-2</v>
      </c>
    </row>
    <row r="337" spans="1:3" x14ac:dyDescent="0.3">
      <c r="A337" s="3">
        <v>313</v>
      </c>
      <c r="B337" s="3">
        <v>1.1770042508277538</v>
      </c>
      <c r="C337" s="3">
        <v>1.6795749172246133E-2</v>
      </c>
    </row>
    <row r="338" spans="1:3" x14ac:dyDescent="0.3">
      <c r="A338" s="3">
        <v>314</v>
      </c>
      <c r="B338" s="3">
        <v>1.1788603505150583</v>
      </c>
      <c r="C338" s="3">
        <v>1.3639649484941563E-2</v>
      </c>
    </row>
    <row r="339" spans="1:3" x14ac:dyDescent="0.3">
      <c r="A339" s="3">
        <v>315</v>
      </c>
      <c r="B339" s="3">
        <v>1.1778112506917993</v>
      </c>
      <c r="C339" s="3">
        <v>1.51887493082008E-2</v>
      </c>
    </row>
    <row r="340" spans="1:3" x14ac:dyDescent="0.3">
      <c r="A340" s="3">
        <v>316</v>
      </c>
      <c r="B340" s="3">
        <v>1.1782147506238221</v>
      </c>
      <c r="C340" s="3">
        <v>1.5085249376177945E-2</v>
      </c>
    </row>
    <row r="341" spans="1:3" x14ac:dyDescent="0.3">
      <c r="A341" s="3">
        <v>317</v>
      </c>
      <c r="B341" s="3">
        <v>1.1784568505830357</v>
      </c>
      <c r="C341" s="3">
        <v>1.3943149416964173E-2</v>
      </c>
    </row>
    <row r="342" spans="1:3" x14ac:dyDescent="0.3">
      <c r="A342" s="3">
        <v>318</v>
      </c>
      <c r="B342" s="3">
        <v>1.1777305507053946</v>
      </c>
      <c r="C342" s="3">
        <v>1.1769449294605439E-2</v>
      </c>
    </row>
    <row r="343" spans="1:3" x14ac:dyDescent="0.3">
      <c r="A343" s="3">
        <v>319</v>
      </c>
      <c r="B343" s="3">
        <v>1.175390251099663</v>
      </c>
      <c r="C343" s="3">
        <v>1.0109748900337001E-2</v>
      </c>
    </row>
    <row r="344" spans="1:3" x14ac:dyDescent="0.3">
      <c r="A344" s="3">
        <v>320</v>
      </c>
      <c r="B344" s="3">
        <v>1.1721622516434813</v>
      </c>
      <c r="C344" s="3">
        <v>1.2637748356518763E-2</v>
      </c>
    </row>
    <row r="345" spans="1:3" x14ac:dyDescent="0.3">
      <c r="A345" s="3">
        <v>321</v>
      </c>
      <c r="B345" s="3">
        <v>1.1715973517386495</v>
      </c>
      <c r="C345" s="3">
        <v>1.480264826135036E-2</v>
      </c>
    </row>
    <row r="346" spans="1:3" x14ac:dyDescent="0.3">
      <c r="A346" s="3">
        <v>322</v>
      </c>
      <c r="B346" s="3">
        <v>1.172888551521122</v>
      </c>
      <c r="C346" s="3">
        <v>1.3211448478877896E-2</v>
      </c>
    </row>
    <row r="347" spans="1:3" x14ac:dyDescent="0.3">
      <c r="A347" s="3">
        <v>323</v>
      </c>
      <c r="B347" s="3">
        <v>1.1726464515619086</v>
      </c>
      <c r="C347" s="3">
        <v>9.5535484380913083E-3</v>
      </c>
    </row>
    <row r="348" spans="1:3" x14ac:dyDescent="0.3">
      <c r="A348" s="3">
        <v>324</v>
      </c>
      <c r="B348" s="3">
        <v>1.1694991520921314</v>
      </c>
      <c r="C348" s="3">
        <v>9.4008479078686591E-3</v>
      </c>
    </row>
    <row r="349" spans="1:3" x14ac:dyDescent="0.3">
      <c r="A349" s="3">
        <v>325</v>
      </c>
      <c r="B349" s="3">
        <v>1.1668360525407815</v>
      </c>
      <c r="C349" s="3">
        <v>1.7363947459218432E-2</v>
      </c>
    </row>
    <row r="350" spans="1:3" x14ac:dyDescent="0.3">
      <c r="A350" s="3">
        <v>326</v>
      </c>
      <c r="B350" s="3">
        <v>1.1711131518202222</v>
      </c>
      <c r="C350" s="3">
        <v>1.618684817977778E-2</v>
      </c>
    </row>
    <row r="351" spans="1:3" x14ac:dyDescent="0.3">
      <c r="A351" s="3">
        <v>327</v>
      </c>
      <c r="B351" s="3">
        <v>1.1736148513987632</v>
      </c>
      <c r="C351" s="3">
        <v>1.2285148601236751E-2</v>
      </c>
    </row>
    <row r="352" spans="1:3" x14ac:dyDescent="0.3">
      <c r="A352" s="3">
        <v>328</v>
      </c>
      <c r="B352" s="3">
        <v>1.1724850515890994</v>
      </c>
      <c r="C352" s="3">
        <v>4.9149484109005659E-3</v>
      </c>
    </row>
    <row r="353" spans="1:3" x14ac:dyDescent="0.3">
      <c r="A353" s="3">
        <v>329</v>
      </c>
      <c r="B353" s="3">
        <v>1.1656255527447135</v>
      </c>
      <c r="C353" s="3">
        <v>1.787444725528653E-2</v>
      </c>
    </row>
    <row r="354" spans="1:3" x14ac:dyDescent="0.3">
      <c r="A354" s="3">
        <v>330</v>
      </c>
      <c r="B354" s="3">
        <v>1.1705482519153905</v>
      </c>
      <c r="C354" s="3">
        <v>1.0651748084609558E-2</v>
      </c>
    </row>
    <row r="355" spans="1:3" x14ac:dyDescent="0.3">
      <c r="A355" s="3">
        <v>331</v>
      </c>
      <c r="B355" s="3">
        <v>1.168692152228086</v>
      </c>
      <c r="C355" s="3">
        <v>1.1807847771914126E-2</v>
      </c>
    </row>
    <row r="356" spans="1:3" x14ac:dyDescent="0.3">
      <c r="A356" s="3">
        <v>332</v>
      </c>
      <c r="B356" s="3">
        <v>1.1681272523232542</v>
      </c>
      <c r="C356" s="3">
        <v>1.1672747676745754E-2</v>
      </c>
    </row>
    <row r="357" spans="1:3" x14ac:dyDescent="0.3">
      <c r="A357" s="3">
        <v>333</v>
      </c>
      <c r="B357" s="3">
        <v>1.1675623524184222</v>
      </c>
      <c r="C357" s="3">
        <v>1.0337647581577736E-2</v>
      </c>
    </row>
    <row r="358" spans="1:3" x14ac:dyDescent="0.3">
      <c r="A358" s="3">
        <v>334</v>
      </c>
      <c r="B358" s="3">
        <v>1.1660290526767358</v>
      </c>
      <c r="C358" s="3">
        <v>1.3170947323264182E-2</v>
      </c>
    </row>
    <row r="359" spans="1:3" x14ac:dyDescent="0.3">
      <c r="A359" s="3">
        <v>335</v>
      </c>
      <c r="B359" s="3">
        <v>1.1670781524999951</v>
      </c>
      <c r="C359" s="3">
        <v>9.92184750000491E-3</v>
      </c>
    </row>
    <row r="360" spans="1:3" x14ac:dyDescent="0.3">
      <c r="A360" s="3">
        <v>336</v>
      </c>
      <c r="B360" s="3">
        <v>1.1653027527990951</v>
      </c>
      <c r="C360" s="3">
        <v>1.1797247200904915E-2</v>
      </c>
    </row>
    <row r="361" spans="1:3" x14ac:dyDescent="0.3">
      <c r="A361" s="3">
        <v>337</v>
      </c>
      <c r="B361" s="3">
        <v>1.1653834527854996</v>
      </c>
      <c r="C361" s="3">
        <v>1.4516547214500353E-2</v>
      </c>
    </row>
    <row r="362" spans="1:3" x14ac:dyDescent="0.3">
      <c r="A362" s="3">
        <v>338</v>
      </c>
      <c r="B362" s="3">
        <v>1.1676430524048267</v>
      </c>
      <c r="C362" s="3">
        <v>1.3756947595173319E-2</v>
      </c>
    </row>
    <row r="363" spans="1:3" x14ac:dyDescent="0.3">
      <c r="A363" s="3">
        <v>339</v>
      </c>
      <c r="B363" s="3">
        <v>1.1688535522008952</v>
      </c>
      <c r="C363" s="3">
        <v>1.5346447799104768E-2</v>
      </c>
    </row>
    <row r="364" spans="1:3" x14ac:dyDescent="0.3">
      <c r="A364" s="3">
        <v>340</v>
      </c>
      <c r="B364" s="3">
        <v>1.1711131518202222</v>
      </c>
      <c r="C364" s="3">
        <v>1.7486848179777859E-2</v>
      </c>
    </row>
    <row r="365" spans="1:3" x14ac:dyDescent="0.3">
      <c r="A365" s="3">
        <v>341</v>
      </c>
      <c r="B365" s="3">
        <v>1.1746639512220223</v>
      </c>
      <c r="C365" s="3">
        <v>1.2336048777977782E-2</v>
      </c>
    </row>
    <row r="366" spans="1:3" x14ac:dyDescent="0.3">
      <c r="A366" s="3">
        <v>342</v>
      </c>
      <c r="B366" s="3">
        <v>1.1733727514395493</v>
      </c>
      <c r="C366" s="3">
        <v>1.3327248560450755E-2</v>
      </c>
    </row>
    <row r="367" spans="1:3" x14ac:dyDescent="0.3">
      <c r="A367" s="3">
        <v>343</v>
      </c>
      <c r="B367" s="3">
        <v>1.1731306514803359</v>
      </c>
      <c r="C367" s="3">
        <v>1.2869348519664037E-2</v>
      </c>
    </row>
    <row r="368" spans="1:3" x14ac:dyDescent="0.3">
      <c r="A368" s="3">
        <v>344</v>
      </c>
      <c r="B368" s="3">
        <v>1.1725657515755041</v>
      </c>
      <c r="C368" s="3">
        <v>1.0934248424495863E-2</v>
      </c>
    </row>
    <row r="369" spans="1:3" x14ac:dyDescent="0.3">
      <c r="A369" s="3">
        <v>345</v>
      </c>
      <c r="B369" s="3">
        <v>1.1705482519153905</v>
      </c>
      <c r="C369" s="3">
        <v>1.265174808460956E-2</v>
      </c>
    </row>
    <row r="370" spans="1:3" x14ac:dyDescent="0.3">
      <c r="A370" s="3">
        <v>346</v>
      </c>
      <c r="B370" s="3">
        <v>1.1703061519561768</v>
      </c>
      <c r="C370" s="3">
        <v>5.6938480438231132E-3</v>
      </c>
    </row>
    <row r="371" spans="1:3" x14ac:dyDescent="0.3">
      <c r="A371" s="3">
        <v>347</v>
      </c>
      <c r="B371" s="3">
        <v>1.1644957529350497</v>
      </c>
      <c r="C371" s="3">
        <v>9.2042470649502661E-3</v>
      </c>
    </row>
    <row r="372" spans="1:3" x14ac:dyDescent="0.3">
      <c r="A372" s="3">
        <v>348</v>
      </c>
      <c r="B372" s="3">
        <v>1.1626396532477452</v>
      </c>
      <c r="C372" s="3">
        <v>9.1603467522547444E-3</v>
      </c>
    </row>
    <row r="373" spans="1:3" x14ac:dyDescent="0.3">
      <c r="A373" s="3">
        <v>349</v>
      </c>
      <c r="B373" s="3">
        <v>1.1611063535060588</v>
      </c>
      <c r="C373" s="3">
        <v>1.2593646493941124E-2</v>
      </c>
    </row>
    <row r="374" spans="1:3" x14ac:dyDescent="0.3">
      <c r="A374" s="3">
        <v>350</v>
      </c>
      <c r="B374" s="3">
        <v>1.1626396532477452</v>
      </c>
      <c r="C374" s="3">
        <v>1.0060346752254867E-2</v>
      </c>
    </row>
    <row r="375" spans="1:3" x14ac:dyDescent="0.3">
      <c r="A375" s="3">
        <v>351</v>
      </c>
      <c r="B375" s="3">
        <v>1.1618326533836998</v>
      </c>
      <c r="C375" s="3">
        <v>1.726734661630025E-2</v>
      </c>
    </row>
    <row r="376" spans="1:3" x14ac:dyDescent="0.3">
      <c r="A376" s="3">
        <v>352</v>
      </c>
      <c r="B376" s="3">
        <v>1.1669974525135904</v>
      </c>
      <c r="C376" s="3">
        <v>1.070254748640953E-2</v>
      </c>
    </row>
    <row r="377" spans="1:3" x14ac:dyDescent="0.3">
      <c r="A377" s="3">
        <v>353</v>
      </c>
      <c r="B377" s="3">
        <v>1.1658676527039269</v>
      </c>
      <c r="C377" s="3">
        <v>4.9323472960731696E-3</v>
      </c>
    </row>
    <row r="378" spans="1:3" x14ac:dyDescent="0.3">
      <c r="A378" s="3">
        <v>354</v>
      </c>
      <c r="B378" s="3">
        <v>1.1602993536420136</v>
      </c>
      <c r="C378" s="3">
        <v>1.0700646357986399E-2</v>
      </c>
    </row>
    <row r="379" spans="1:3" x14ac:dyDescent="0.3">
      <c r="A379" s="3">
        <v>355</v>
      </c>
      <c r="B379" s="3">
        <v>1.1604607536148226</v>
      </c>
      <c r="C379" s="3">
        <v>6.9392463851774E-3</v>
      </c>
    </row>
    <row r="380" spans="1:3" x14ac:dyDescent="0.3">
      <c r="A380" s="3">
        <v>356</v>
      </c>
      <c r="B380" s="3">
        <v>1.157555554104259</v>
      </c>
      <c r="C380" s="3">
        <v>1.2044445895740941E-2</v>
      </c>
    </row>
    <row r="381" spans="1:3" x14ac:dyDescent="0.3">
      <c r="A381" s="3">
        <v>357</v>
      </c>
      <c r="B381" s="3">
        <v>1.159330953805159</v>
      </c>
      <c r="C381" s="3">
        <v>1.4969046194840852E-2</v>
      </c>
    </row>
    <row r="382" spans="1:3" x14ac:dyDescent="0.3">
      <c r="A382" s="3">
        <v>358</v>
      </c>
      <c r="B382" s="3">
        <v>1.1631238531661725</v>
      </c>
      <c r="C382" s="3">
        <v>1.2176146833827506E-2</v>
      </c>
    </row>
    <row r="383" spans="1:3" x14ac:dyDescent="0.3">
      <c r="A383" s="3">
        <v>359</v>
      </c>
      <c r="B383" s="3">
        <v>1.1639308530302179</v>
      </c>
      <c r="C383" s="3">
        <v>1.3069146969782119E-2</v>
      </c>
    </row>
    <row r="384" spans="1:3" x14ac:dyDescent="0.3">
      <c r="A384" s="3">
        <v>360</v>
      </c>
      <c r="B384" s="3">
        <v>1.1653027527990951</v>
      </c>
      <c r="C384" s="3">
        <v>9.6972472009049238E-3</v>
      </c>
    </row>
    <row r="385" spans="1:3" x14ac:dyDescent="0.3">
      <c r="A385" s="3">
        <v>361</v>
      </c>
      <c r="B385" s="3">
        <v>1.1636887530710043</v>
      </c>
      <c r="C385" s="3">
        <v>1.5611246928995737E-2</v>
      </c>
    </row>
    <row r="386" spans="1:3" x14ac:dyDescent="0.3">
      <c r="A386" s="3">
        <v>362</v>
      </c>
      <c r="B386" s="3">
        <v>1.1671588524863996</v>
      </c>
      <c r="C386" s="3">
        <v>1.2341147513600381E-2</v>
      </c>
    </row>
    <row r="387" spans="1:3" x14ac:dyDescent="0.3">
      <c r="A387" s="3">
        <v>363</v>
      </c>
      <c r="B387" s="3">
        <v>1.1673202524592088</v>
      </c>
      <c r="C387" s="3">
        <v>1.3379747540791298E-2</v>
      </c>
    </row>
    <row r="388" spans="1:3" x14ac:dyDescent="0.3">
      <c r="A388" s="3">
        <v>364</v>
      </c>
      <c r="B388" s="3">
        <v>1.1682886522960634</v>
      </c>
      <c r="C388" s="3">
        <v>1.5411347703936595E-2</v>
      </c>
    </row>
    <row r="389" spans="1:3" x14ac:dyDescent="0.3">
      <c r="A389" s="3">
        <v>365</v>
      </c>
      <c r="B389" s="3">
        <v>1.1707096518881994</v>
      </c>
      <c r="C389" s="3">
        <v>1.6590348111800601E-2</v>
      </c>
    </row>
    <row r="390" spans="1:3" x14ac:dyDescent="0.3">
      <c r="A390" s="3">
        <v>366</v>
      </c>
      <c r="B390" s="3">
        <v>1.1736148513987632</v>
      </c>
      <c r="C390" s="3">
        <v>1.4585148601236719E-2</v>
      </c>
    </row>
    <row r="391" spans="1:3" x14ac:dyDescent="0.3">
      <c r="A391" s="3">
        <v>367</v>
      </c>
      <c r="B391" s="3">
        <v>1.1743411512764039</v>
      </c>
      <c r="C391" s="3">
        <v>1.245884872359615E-2</v>
      </c>
    </row>
    <row r="392" spans="1:3" x14ac:dyDescent="0.3">
      <c r="A392" s="3">
        <v>368</v>
      </c>
      <c r="B392" s="3">
        <v>1.1732113514667404</v>
      </c>
      <c r="C392" s="3">
        <v>1.068864853325957E-2</v>
      </c>
    </row>
    <row r="393" spans="1:3" x14ac:dyDescent="0.3">
      <c r="A393" s="3">
        <v>369</v>
      </c>
      <c r="B393" s="3">
        <v>1.1708710518610086</v>
      </c>
      <c r="C393" s="3">
        <v>1.0428948138991423E-2</v>
      </c>
    </row>
    <row r="394" spans="1:3" x14ac:dyDescent="0.3">
      <c r="A394" s="3">
        <v>370</v>
      </c>
      <c r="B394" s="3">
        <v>1.1687728522144905</v>
      </c>
      <c r="C394" s="3">
        <v>1.3727147785509652E-2</v>
      </c>
    </row>
    <row r="395" spans="1:3" x14ac:dyDescent="0.3">
      <c r="A395" s="3">
        <v>371</v>
      </c>
      <c r="B395" s="3">
        <v>1.169741252051345</v>
      </c>
      <c r="C395" s="3">
        <v>1.1658747948654957E-2</v>
      </c>
    </row>
    <row r="396" spans="1:3" x14ac:dyDescent="0.3">
      <c r="A396" s="3">
        <v>372</v>
      </c>
      <c r="B396" s="3">
        <v>1.1688535522008952</v>
      </c>
      <c r="C396" s="3">
        <v>1.194644779910492E-2</v>
      </c>
    </row>
    <row r="397" spans="1:3" x14ac:dyDescent="0.3">
      <c r="A397" s="3">
        <v>373</v>
      </c>
      <c r="B397" s="3">
        <v>1.1683693522824679</v>
      </c>
      <c r="C397" s="3">
        <v>1.1830647717532061E-2</v>
      </c>
    </row>
    <row r="398" spans="1:3" x14ac:dyDescent="0.3">
      <c r="A398" s="3">
        <v>374</v>
      </c>
      <c r="B398" s="3">
        <v>1.1678851523640406</v>
      </c>
      <c r="C398" s="3">
        <v>1.3614847635959437E-2</v>
      </c>
    </row>
    <row r="399" spans="1:3" x14ac:dyDescent="0.3">
      <c r="A399" s="3">
        <v>375</v>
      </c>
      <c r="B399" s="3">
        <v>1.1689342521872996</v>
      </c>
      <c r="C399" s="3">
        <v>7.465747812700263E-3</v>
      </c>
    </row>
    <row r="400" spans="1:3" x14ac:dyDescent="0.3">
      <c r="A400" s="3">
        <v>376</v>
      </c>
      <c r="B400" s="3">
        <v>1.1648185528806678</v>
      </c>
      <c r="C400" s="3">
        <v>7.6814471193322742E-3</v>
      </c>
    </row>
    <row r="401" spans="1:3" x14ac:dyDescent="0.3">
      <c r="A401" s="3">
        <v>377</v>
      </c>
      <c r="B401" s="3">
        <v>1.1616712534108906</v>
      </c>
      <c r="C401" s="3">
        <v>1.0828746589109484E-2</v>
      </c>
    </row>
    <row r="402" spans="1:3" x14ac:dyDescent="0.3">
      <c r="A402" s="3">
        <v>378</v>
      </c>
      <c r="B402" s="3">
        <v>1.1616712534108906</v>
      </c>
      <c r="C402" s="3">
        <v>1.0628746589109284E-2</v>
      </c>
    </row>
    <row r="403" spans="1:3" x14ac:dyDescent="0.3">
      <c r="A403" s="3">
        <v>379</v>
      </c>
      <c r="B403" s="3">
        <v>1.1615098534380817</v>
      </c>
      <c r="C403" s="3">
        <v>7.0901465619184201E-3</v>
      </c>
    </row>
    <row r="404" spans="1:3" x14ac:dyDescent="0.3">
      <c r="A404" s="3">
        <v>380</v>
      </c>
      <c r="B404" s="3">
        <v>1.1585239539411136</v>
      </c>
      <c r="C404" s="3">
        <v>1.507604605888635E-2</v>
      </c>
    </row>
    <row r="405" spans="1:3" x14ac:dyDescent="0.3">
      <c r="A405" s="3">
        <v>381</v>
      </c>
      <c r="B405" s="3">
        <v>1.1625589532613407</v>
      </c>
      <c r="C405" s="3">
        <v>8.8410467386592639E-3</v>
      </c>
    </row>
    <row r="406" spans="1:3" x14ac:dyDescent="0.3">
      <c r="A406" s="3">
        <v>382</v>
      </c>
      <c r="B406" s="3">
        <v>1.1607835535604407</v>
      </c>
      <c r="C406" s="3">
        <v>8.6164464395592777E-3</v>
      </c>
    </row>
    <row r="407" spans="1:3" x14ac:dyDescent="0.3">
      <c r="A407" s="3">
        <v>383</v>
      </c>
      <c r="B407" s="3">
        <v>1.1591695538323499</v>
      </c>
      <c r="C407" s="3">
        <v>8.9304461676500413E-3</v>
      </c>
    </row>
    <row r="408" spans="1:3" x14ac:dyDescent="0.3">
      <c r="A408" s="3">
        <v>384</v>
      </c>
      <c r="B408" s="3">
        <v>1.1581204540090906</v>
      </c>
      <c r="C408" s="3">
        <v>1.3795459909093921E-3</v>
      </c>
    </row>
    <row r="409" spans="1:3" x14ac:dyDescent="0.3">
      <c r="A409" s="3">
        <v>385</v>
      </c>
      <c r="B409" s="3">
        <v>1.1511802551782999</v>
      </c>
      <c r="C409" s="3">
        <v>6.9197448216999913E-3</v>
      </c>
    </row>
    <row r="410" spans="1:3" x14ac:dyDescent="0.3">
      <c r="A410" s="3">
        <v>386</v>
      </c>
      <c r="B410" s="3">
        <v>1.1500504553686364</v>
      </c>
      <c r="C410" s="3">
        <v>9.3495446313636155E-3</v>
      </c>
    </row>
    <row r="411" spans="1:3" x14ac:dyDescent="0.3">
      <c r="A411" s="3">
        <v>387</v>
      </c>
      <c r="B411" s="3">
        <v>1.1510995551918954</v>
      </c>
      <c r="C411" s="3">
        <v>1.100044480810447E-2</v>
      </c>
    </row>
    <row r="412" spans="1:3" x14ac:dyDescent="0.3">
      <c r="A412" s="3">
        <v>388</v>
      </c>
      <c r="B412" s="3">
        <v>1.1532784548248181</v>
      </c>
      <c r="C412" s="3">
        <v>6.3215451751819085E-3</v>
      </c>
    </row>
    <row r="413" spans="1:3" x14ac:dyDescent="0.3">
      <c r="A413" s="3">
        <v>389</v>
      </c>
      <c r="B413" s="3">
        <v>1.1512609551647046</v>
      </c>
      <c r="C413" s="3">
        <v>4.339044835295347E-3</v>
      </c>
    </row>
    <row r="414" spans="1:3" x14ac:dyDescent="0.3">
      <c r="A414" s="3">
        <v>390</v>
      </c>
      <c r="B414" s="3">
        <v>1.1480329557085227</v>
      </c>
      <c r="C414" s="3">
        <v>6.9670442914773201E-3</v>
      </c>
    </row>
    <row r="415" spans="1:3" x14ac:dyDescent="0.3">
      <c r="A415" s="3">
        <v>391</v>
      </c>
      <c r="B415" s="3">
        <v>1.1475487557900956</v>
      </c>
      <c r="C415" s="3">
        <v>9.15124420990443E-3</v>
      </c>
    </row>
    <row r="416" spans="1:3" x14ac:dyDescent="0.3">
      <c r="A416" s="3">
        <v>392</v>
      </c>
      <c r="B416" s="3">
        <v>1.1489206555589728</v>
      </c>
      <c r="C416" s="3">
        <v>6.1793444410271903E-3</v>
      </c>
    </row>
    <row r="417" spans="1:3" x14ac:dyDescent="0.3">
      <c r="A417" s="3">
        <v>393</v>
      </c>
      <c r="B417" s="3">
        <v>1.1476294557765003</v>
      </c>
      <c r="C417" s="3">
        <v>5.0705442234997289E-3</v>
      </c>
    </row>
    <row r="418" spans="1:3" x14ac:dyDescent="0.3">
      <c r="A418" s="3">
        <v>394</v>
      </c>
      <c r="B418" s="3">
        <v>1.1456926561027911</v>
      </c>
      <c r="C418" s="3">
        <v>1.3507343897208868E-2</v>
      </c>
    </row>
    <row r="419" spans="1:3" x14ac:dyDescent="0.3">
      <c r="A419" s="3">
        <v>395</v>
      </c>
      <c r="B419" s="3">
        <v>1.1509381552190865</v>
      </c>
      <c r="C419" s="3">
        <v>8.4618447809134967E-3</v>
      </c>
    </row>
    <row r="420" spans="1:3" x14ac:dyDescent="0.3">
      <c r="A420" s="3">
        <v>396</v>
      </c>
      <c r="B420" s="3">
        <v>1.1510995551918954</v>
      </c>
      <c r="C420" s="3">
        <v>8.9004448081044796E-3</v>
      </c>
    </row>
    <row r="421" spans="1:3" x14ac:dyDescent="0.3">
      <c r="A421" s="3">
        <v>397</v>
      </c>
      <c r="B421" s="3">
        <v>1.1515837551103227</v>
      </c>
      <c r="C421" s="3">
        <v>9.3162448896773054E-3</v>
      </c>
    </row>
    <row r="422" spans="1:3" x14ac:dyDescent="0.3">
      <c r="A422" s="3">
        <v>398</v>
      </c>
      <c r="B422" s="3">
        <v>1.1523100549879637</v>
      </c>
      <c r="C422" s="3">
        <v>1.0889945012036328E-2</v>
      </c>
    </row>
    <row r="423" spans="1:3" x14ac:dyDescent="0.3">
      <c r="A423" s="3">
        <v>399</v>
      </c>
      <c r="B423" s="3">
        <v>1.1541661546752682</v>
      </c>
      <c r="C423" s="3">
        <v>1.0733845324731872E-2</v>
      </c>
    </row>
    <row r="424" spans="1:3" x14ac:dyDescent="0.3">
      <c r="A424" s="3">
        <v>400</v>
      </c>
      <c r="B424" s="3">
        <v>1.1555380544441456</v>
      </c>
      <c r="C424" s="3">
        <v>6.5619455558543205E-3</v>
      </c>
    </row>
    <row r="425" spans="1:3" x14ac:dyDescent="0.3">
      <c r="A425" s="3">
        <v>401</v>
      </c>
      <c r="B425" s="3">
        <v>1.1532784548248181</v>
      </c>
      <c r="C425" s="3">
        <v>1.1421545175182013E-2</v>
      </c>
    </row>
    <row r="426" spans="1:3" x14ac:dyDescent="0.3">
      <c r="A426" s="3">
        <v>402</v>
      </c>
      <c r="B426" s="3">
        <v>1.1553766544713364</v>
      </c>
      <c r="C426" s="3">
        <v>5.2233455286636588E-3</v>
      </c>
    </row>
    <row r="427" spans="1:3" x14ac:dyDescent="0.3">
      <c r="A427" s="3">
        <v>403</v>
      </c>
      <c r="B427" s="3">
        <v>1.15206795502875</v>
      </c>
      <c r="C427" s="3">
        <v>7.4320449712499403E-3</v>
      </c>
    </row>
    <row r="428" spans="1:3" x14ac:dyDescent="0.3">
      <c r="A428" s="3">
        <v>404</v>
      </c>
      <c r="B428" s="3">
        <v>1.1511802551782999</v>
      </c>
      <c r="C428" s="3">
        <v>9.2197448217001821E-3</v>
      </c>
    </row>
    <row r="429" spans="1:3" x14ac:dyDescent="0.3">
      <c r="A429" s="3">
        <v>405</v>
      </c>
      <c r="B429" s="3">
        <v>1.1519065550559411</v>
      </c>
      <c r="C429" s="3">
        <v>1.5993444944058854E-2</v>
      </c>
    </row>
    <row r="430" spans="1:3" x14ac:dyDescent="0.3">
      <c r="A430" s="3">
        <v>406</v>
      </c>
      <c r="B430" s="3">
        <v>1.1579590540362816</v>
      </c>
      <c r="C430" s="3">
        <v>-1.8590540362817265E-3</v>
      </c>
    </row>
    <row r="431" spans="1:3" x14ac:dyDescent="0.3">
      <c r="A431" s="3">
        <v>407</v>
      </c>
      <c r="B431" s="3">
        <v>1.1484364556405455</v>
      </c>
      <c r="C431" s="3">
        <v>1.2163544359454548E-2</v>
      </c>
    </row>
    <row r="432" spans="1:3" x14ac:dyDescent="0.3">
      <c r="A432" s="3">
        <v>408</v>
      </c>
      <c r="B432" s="3">
        <v>1.15206795502875</v>
      </c>
      <c r="C432" s="3">
        <v>5.6320449712499165E-3</v>
      </c>
    </row>
    <row r="433" spans="1:3" x14ac:dyDescent="0.3">
      <c r="A433" s="3">
        <v>409</v>
      </c>
      <c r="B433" s="3">
        <v>1.1497276554230182</v>
      </c>
      <c r="C433" s="3">
        <v>1.1272344576981785E-2</v>
      </c>
    </row>
    <row r="434" spans="1:3" x14ac:dyDescent="0.3">
      <c r="A434" s="3">
        <v>410</v>
      </c>
      <c r="B434" s="3">
        <v>1.1523907549743684</v>
      </c>
      <c r="C434" s="3">
        <v>2.8092450256316237E-3</v>
      </c>
    </row>
    <row r="435" spans="1:3" x14ac:dyDescent="0.3">
      <c r="A435" s="3">
        <v>411</v>
      </c>
      <c r="B435" s="3">
        <v>1.1477101557629048</v>
      </c>
      <c r="C435" s="3">
        <v>8.8898442370952679E-3</v>
      </c>
    </row>
    <row r="436" spans="1:3" x14ac:dyDescent="0.3">
      <c r="A436" s="3">
        <v>412</v>
      </c>
      <c r="B436" s="3">
        <v>1.1488399555725683</v>
      </c>
      <c r="C436" s="3">
        <v>9.7600444274317244E-3</v>
      </c>
    </row>
    <row r="437" spans="1:3" x14ac:dyDescent="0.3">
      <c r="A437" s="3">
        <v>413</v>
      </c>
      <c r="B437" s="3">
        <v>1.1504539553006592</v>
      </c>
      <c r="C437" s="3">
        <v>8.6460446993408269E-3</v>
      </c>
    </row>
    <row r="438" spans="1:3" x14ac:dyDescent="0.3">
      <c r="A438" s="3">
        <v>414</v>
      </c>
      <c r="B438" s="3">
        <v>1.150857455232682</v>
      </c>
      <c r="C438" s="3">
        <v>-3.0574552326820825E-3</v>
      </c>
    </row>
    <row r="439" spans="1:3" x14ac:dyDescent="0.3">
      <c r="A439" s="3">
        <v>415</v>
      </c>
      <c r="B439" s="3">
        <v>1.1417383567689685</v>
      </c>
      <c r="C439" s="3">
        <v>3.261643231031508E-3</v>
      </c>
    </row>
    <row r="440" spans="1:3" x14ac:dyDescent="0.3">
      <c r="A440" s="3">
        <v>416</v>
      </c>
      <c r="B440" s="3">
        <v>1.1394787571496412</v>
      </c>
      <c r="C440" s="3">
        <v>5.5212428503588207E-3</v>
      </c>
    </row>
    <row r="441" spans="1:3" x14ac:dyDescent="0.3">
      <c r="A441" s="3">
        <v>417</v>
      </c>
      <c r="B441" s="3">
        <v>1.1394787571496412</v>
      </c>
      <c r="C441" s="3">
        <v>-2.7787571496411534E-3</v>
      </c>
    </row>
    <row r="442" spans="1:3" x14ac:dyDescent="0.3">
      <c r="A442" s="3">
        <v>418</v>
      </c>
      <c r="B442" s="3">
        <v>1.1327806582780644</v>
      </c>
      <c r="C442" s="3">
        <v>-8.8065827806449448E-4</v>
      </c>
    </row>
    <row r="443" spans="1:3" x14ac:dyDescent="0.3">
      <c r="A443" s="3">
        <v>419</v>
      </c>
      <c r="B443" s="3">
        <v>1.128907058930646</v>
      </c>
      <c r="C443" s="3">
        <v>2.9929410693538827E-3</v>
      </c>
    </row>
    <row r="444" spans="1:3" x14ac:dyDescent="0.3">
      <c r="A444" s="3">
        <v>420</v>
      </c>
      <c r="B444" s="3">
        <v>1.128907058930646</v>
      </c>
      <c r="C444" s="3">
        <v>7.9929410693539982E-3</v>
      </c>
    </row>
    <row r="445" spans="1:3" x14ac:dyDescent="0.3">
      <c r="A445" s="3">
        <v>421</v>
      </c>
      <c r="B445" s="3">
        <v>1.1329420582508734</v>
      </c>
      <c r="C445" s="3">
        <v>-4.1420582508733261E-3</v>
      </c>
    </row>
    <row r="446" spans="1:3" x14ac:dyDescent="0.3">
      <c r="A446" s="3">
        <v>422</v>
      </c>
      <c r="B446" s="3">
        <v>1.1264053593521055</v>
      </c>
      <c r="C446" s="3">
        <v>-3.0053593521055522E-3</v>
      </c>
    </row>
    <row r="447" spans="1:3" x14ac:dyDescent="0.3">
      <c r="A447" s="3">
        <v>423</v>
      </c>
      <c r="B447" s="3">
        <v>1.1220475600862598</v>
      </c>
      <c r="C447" s="3">
        <v>2.5524399137402121E-3</v>
      </c>
    </row>
    <row r="448" spans="1:3" x14ac:dyDescent="0.3">
      <c r="A448" s="3">
        <v>424</v>
      </c>
      <c r="B448" s="3">
        <v>1.1230159599231144</v>
      </c>
      <c r="C448" s="3">
        <v>-3.3159599231145087E-3</v>
      </c>
    </row>
    <row r="449" spans="1:3" x14ac:dyDescent="0.3">
      <c r="A449" s="3">
        <v>425</v>
      </c>
      <c r="B449" s="3">
        <v>1.1190616605892918</v>
      </c>
      <c r="C449" s="3">
        <v>1.5383394107082449E-3</v>
      </c>
    </row>
    <row r="450" spans="1:3" x14ac:dyDescent="0.3">
      <c r="A450" s="3">
        <v>426</v>
      </c>
      <c r="B450" s="3">
        <v>1.1197879604669327</v>
      </c>
      <c r="C450" s="3">
        <v>1.1912039533067187E-2</v>
      </c>
    </row>
    <row r="451" spans="1:3" x14ac:dyDescent="0.3">
      <c r="A451" s="3">
        <v>427</v>
      </c>
      <c r="B451" s="3">
        <v>1.1287456589578371</v>
      </c>
      <c r="C451" s="3">
        <v>3.5434104216292006E-4</v>
      </c>
    </row>
    <row r="452" spans="1:3" x14ac:dyDescent="0.3">
      <c r="A452" s="3">
        <v>428</v>
      </c>
      <c r="B452" s="3">
        <v>1.1266474593113189</v>
      </c>
      <c r="C452" s="3">
        <v>6.9525406886810082E-3</v>
      </c>
    </row>
    <row r="453" spans="1:3" x14ac:dyDescent="0.3">
      <c r="A453" s="3">
        <v>429</v>
      </c>
      <c r="B453" s="3">
        <v>1.1302789586995234</v>
      </c>
      <c r="C453" s="3">
        <v>1.6210413004764668E-3</v>
      </c>
    </row>
    <row r="454" spans="1:3" x14ac:dyDescent="0.3">
      <c r="A454" s="3">
        <v>430</v>
      </c>
      <c r="B454" s="3">
        <v>1.128907058930646</v>
      </c>
      <c r="C454" s="3">
        <v>9.9294106935388093E-4</v>
      </c>
    </row>
    <row r="455" spans="1:3" x14ac:dyDescent="0.3">
      <c r="A455" s="3">
        <v>431</v>
      </c>
      <c r="B455" s="3">
        <v>1.1272930592025552</v>
      </c>
      <c r="C455" s="3">
        <v>4.0069407974447913E-3</v>
      </c>
    </row>
    <row r="456" spans="1:3" x14ac:dyDescent="0.3">
      <c r="A456" s="3">
        <v>432</v>
      </c>
      <c r="B456" s="3">
        <v>1.1284228590122189</v>
      </c>
      <c r="C456" s="3">
        <v>7.7140987781110226E-5</v>
      </c>
    </row>
    <row r="457" spans="1:3" x14ac:dyDescent="0.3">
      <c r="A457" s="3">
        <v>433</v>
      </c>
      <c r="B457" s="3">
        <v>1.1261632593928916</v>
      </c>
      <c r="C457" s="3">
        <v>1.3674060710844316E-4</v>
      </c>
    </row>
    <row r="458" spans="1:3" x14ac:dyDescent="0.3">
      <c r="A458" s="3">
        <v>434</v>
      </c>
      <c r="B458" s="3">
        <v>1.1243878596919918</v>
      </c>
      <c r="C458" s="3">
        <v>9.8121403080082548E-3</v>
      </c>
    </row>
    <row r="459" spans="1:3" x14ac:dyDescent="0.3">
      <c r="A459" s="3">
        <v>435</v>
      </c>
      <c r="B459" s="3">
        <v>1.1307631586179507</v>
      </c>
      <c r="C459" s="3">
        <v>-1.5631586179507551E-3</v>
      </c>
    </row>
    <row r="460" spans="1:3" x14ac:dyDescent="0.3">
      <c r="A460" s="3">
        <v>436</v>
      </c>
      <c r="B460" s="3">
        <v>1.1267281592977234</v>
      </c>
      <c r="C460" s="3">
        <v>4.3718407022765859E-3</v>
      </c>
    </row>
    <row r="461" spans="1:3" x14ac:dyDescent="0.3">
      <c r="A461" s="3">
        <v>437</v>
      </c>
      <c r="B461" s="3">
        <v>1.1282614590394098</v>
      </c>
      <c r="C461" s="3">
        <v>3.8540960590305318E-5</v>
      </c>
    </row>
    <row r="462" spans="1:3" x14ac:dyDescent="0.3">
      <c r="A462" s="3">
        <v>438</v>
      </c>
      <c r="B462" s="3">
        <v>1.1260018594200827</v>
      </c>
      <c r="C462" s="3">
        <v>-3.0185942008276179E-4</v>
      </c>
    </row>
    <row r="463" spans="1:3" x14ac:dyDescent="0.3">
      <c r="A463" s="3">
        <v>439</v>
      </c>
      <c r="B463" s="3">
        <v>1.1239036597735645</v>
      </c>
      <c r="C463" s="3">
        <v>4.5963402264355135E-3</v>
      </c>
    </row>
    <row r="464" spans="1:3" x14ac:dyDescent="0.3">
      <c r="A464" s="3">
        <v>440</v>
      </c>
      <c r="B464" s="3">
        <v>1.1261632593928916</v>
      </c>
      <c r="C464" s="3">
        <v>6.6367406071083934E-3</v>
      </c>
    </row>
    <row r="465" spans="1:3" x14ac:dyDescent="0.3">
      <c r="A465" s="3">
        <v>441</v>
      </c>
      <c r="B465" s="3">
        <v>1.1296333588082872</v>
      </c>
      <c r="C465" s="3">
        <v>-5.7333588082872922E-3</v>
      </c>
    </row>
    <row r="466" spans="1:3" x14ac:dyDescent="0.3">
      <c r="A466" s="3">
        <v>442</v>
      </c>
      <c r="B466" s="3">
        <v>1.1224510600182827</v>
      </c>
      <c r="C466" s="3">
        <v>5.0489399817172931E-3</v>
      </c>
    </row>
    <row r="467" spans="1:3" x14ac:dyDescent="0.3">
      <c r="A467" s="3">
        <v>443</v>
      </c>
      <c r="B467" s="3">
        <v>1.1253562595288462</v>
      </c>
      <c r="C467" s="3">
        <v>2.9437404711538662E-3</v>
      </c>
    </row>
    <row r="468" spans="1:3" x14ac:dyDescent="0.3">
      <c r="A468" s="3">
        <v>444</v>
      </c>
      <c r="B468" s="3">
        <v>1.1260018594200827</v>
      </c>
      <c r="C468" s="3">
        <v>6.3981405799173885E-3</v>
      </c>
    </row>
    <row r="469" spans="1:3" x14ac:dyDescent="0.3">
      <c r="A469" s="3">
        <v>445</v>
      </c>
      <c r="B469" s="3">
        <v>1.1293105588626688</v>
      </c>
      <c r="C469" s="3">
        <v>3.489441137331184E-3</v>
      </c>
    </row>
    <row r="470" spans="1:3" x14ac:dyDescent="0.3">
      <c r="A470" s="3">
        <v>446</v>
      </c>
      <c r="B470" s="3">
        <v>1.1296333588082872</v>
      </c>
      <c r="C470" s="3">
        <v>2.066641191712737E-3</v>
      </c>
    </row>
    <row r="471" spans="1:3" x14ac:dyDescent="0.3">
      <c r="A471" s="3">
        <v>447</v>
      </c>
      <c r="B471" s="3">
        <v>1.1287456589578371</v>
      </c>
      <c r="C471" s="3">
        <v>3.7543410421629897E-3</v>
      </c>
    </row>
    <row r="472" spans="1:3" x14ac:dyDescent="0.3">
      <c r="A472" s="3">
        <v>448</v>
      </c>
      <c r="B472" s="3">
        <v>1.1293912588490735</v>
      </c>
      <c r="C472" s="3">
        <v>1.5087411509264737E-3</v>
      </c>
    </row>
    <row r="473" spans="1:3" x14ac:dyDescent="0.3">
      <c r="A473" s="3">
        <v>449</v>
      </c>
      <c r="B473" s="3">
        <v>1.1281000590666008</v>
      </c>
      <c r="C473" s="3">
        <v>6.6999409333992066E-3</v>
      </c>
    </row>
    <row r="474" spans="1:3" x14ac:dyDescent="0.3">
      <c r="A474" s="3">
        <v>450</v>
      </c>
      <c r="B474" s="3">
        <v>1.131247358536378</v>
      </c>
      <c r="C474" s="3">
        <v>1.0526414636220505E-3</v>
      </c>
    </row>
    <row r="475" spans="1:3" x14ac:dyDescent="0.3">
      <c r="A475" s="3">
        <v>451</v>
      </c>
      <c r="B475" s="3">
        <v>1.1292298588762644</v>
      </c>
      <c r="C475" s="3">
        <v>7.5701411237356631E-3</v>
      </c>
    </row>
    <row r="476" spans="1:3" x14ac:dyDescent="0.3">
      <c r="A476" s="3">
        <v>452</v>
      </c>
      <c r="B476" s="3">
        <v>1.1328613582644689</v>
      </c>
      <c r="C476" s="3">
        <v>-3.4613582644689167E-3</v>
      </c>
    </row>
    <row r="477" spans="1:3" x14ac:dyDescent="0.3">
      <c r="A477" s="3">
        <v>453</v>
      </c>
      <c r="B477" s="3">
        <v>1.1268895592705326</v>
      </c>
      <c r="C477" s="3">
        <v>1.6104407294674772E-3</v>
      </c>
    </row>
    <row r="478" spans="1:3" x14ac:dyDescent="0.3">
      <c r="A478" s="3">
        <v>454</v>
      </c>
      <c r="B478" s="3">
        <v>1.1261632593928916</v>
      </c>
      <c r="C478" s="3">
        <v>5.1367406071083366E-3</v>
      </c>
    </row>
    <row r="479" spans="1:3" x14ac:dyDescent="0.3">
      <c r="A479" s="3">
        <v>455</v>
      </c>
      <c r="B479" s="3">
        <v>1.1284228590122189</v>
      </c>
      <c r="C479" s="3">
        <v>6.7714098778104415E-4</v>
      </c>
    </row>
    <row r="480" spans="1:3" x14ac:dyDescent="0.3">
      <c r="A480" s="3">
        <v>456</v>
      </c>
      <c r="B480" s="3">
        <v>1.1266474593113189</v>
      </c>
      <c r="C480" s="3">
        <v>9.2525406886809769E-3</v>
      </c>
    </row>
    <row r="481" spans="1:3" x14ac:dyDescent="0.3">
      <c r="A481" s="3">
        <v>457</v>
      </c>
      <c r="B481" s="3">
        <v>1.1321350583868277</v>
      </c>
      <c r="C481" s="3">
        <v>2.6494161317236475E-4</v>
      </c>
    </row>
    <row r="482" spans="1:3" x14ac:dyDescent="0.3">
      <c r="A482" s="3">
        <v>458</v>
      </c>
      <c r="B482" s="3">
        <v>1.1293105588626688</v>
      </c>
      <c r="C482" s="3">
        <v>7.0894411373312316E-3</v>
      </c>
    </row>
    <row r="483" spans="1:3" x14ac:dyDescent="0.3">
      <c r="A483" s="3">
        <v>459</v>
      </c>
      <c r="B483" s="3">
        <v>1.1325385583188505</v>
      </c>
      <c r="C483" s="3">
        <v>1.1661441681149576E-2</v>
      </c>
    </row>
    <row r="484" spans="1:3" x14ac:dyDescent="0.3">
      <c r="A484" s="3">
        <v>460</v>
      </c>
      <c r="B484" s="3">
        <v>1.1388331572584049</v>
      </c>
      <c r="C484" s="3">
        <v>6.4668427415950358E-3</v>
      </c>
    </row>
    <row r="485" spans="1:3" x14ac:dyDescent="0.3">
      <c r="A485" s="3">
        <v>461</v>
      </c>
      <c r="B485" s="3">
        <v>1.1397208571088551</v>
      </c>
      <c r="C485" s="3">
        <v>1.6791428911449024E-3</v>
      </c>
    </row>
    <row r="486" spans="1:3" x14ac:dyDescent="0.3">
      <c r="A486" s="3">
        <v>462</v>
      </c>
      <c r="B486" s="3">
        <v>1.1365735576390779</v>
      </c>
      <c r="C486" s="3">
        <v>4.126442360922189E-3</v>
      </c>
    </row>
    <row r="487" spans="1:3" x14ac:dyDescent="0.3">
      <c r="A487" s="3">
        <v>463</v>
      </c>
      <c r="B487" s="3">
        <v>1.1360086577342461</v>
      </c>
      <c r="C487" s="3">
        <v>-3.5086577342460235E-3</v>
      </c>
    </row>
    <row r="488" spans="1:3" x14ac:dyDescent="0.3">
      <c r="A488" s="3">
        <v>464</v>
      </c>
      <c r="B488" s="3">
        <v>1.1293912588490735</v>
      </c>
      <c r="C488" s="3">
        <v>4.7087411509265653E-3</v>
      </c>
    </row>
    <row r="489" spans="1:3" x14ac:dyDescent="0.3">
      <c r="A489" s="3">
        <v>465</v>
      </c>
      <c r="B489" s="3">
        <v>1.1306824586315463</v>
      </c>
      <c r="C489" s="3">
        <v>3.1754136845374425E-4</v>
      </c>
    </row>
    <row r="490" spans="1:3" x14ac:dyDescent="0.3">
      <c r="A490" s="3">
        <v>466</v>
      </c>
      <c r="B490" s="3">
        <v>1.1281807590530053</v>
      </c>
      <c r="C490" s="3">
        <v>5.8192409469945972E-3</v>
      </c>
    </row>
    <row r="491" spans="1:3" x14ac:dyDescent="0.3">
      <c r="A491" s="3">
        <v>467</v>
      </c>
      <c r="B491" s="3">
        <v>1.1306017586451413</v>
      </c>
      <c r="C491" s="3">
        <v>1.6982413548587427E-3</v>
      </c>
    </row>
    <row r="492" spans="1:3" x14ac:dyDescent="0.3">
      <c r="A492" s="3">
        <v>468</v>
      </c>
      <c r="B492" s="3">
        <v>1.1292298588762644</v>
      </c>
      <c r="C492" s="3">
        <v>6.701411237355348E-4</v>
      </c>
    </row>
    <row r="493" spans="1:3" x14ac:dyDescent="0.3">
      <c r="A493" s="3">
        <v>469</v>
      </c>
      <c r="B493" s="3">
        <v>1.1272930592025552</v>
      </c>
      <c r="C493" s="3">
        <v>-3.5930592025552599E-3</v>
      </c>
    </row>
    <row r="494" spans="1:3" x14ac:dyDescent="0.3">
      <c r="A494" s="3">
        <v>470</v>
      </c>
      <c r="B494" s="3">
        <v>1.1222896600454737</v>
      </c>
      <c r="C494" s="3">
        <v>-7.9896600454736344E-3</v>
      </c>
    </row>
    <row r="495" spans="1:3" x14ac:dyDescent="0.3">
      <c r="A495" s="3">
        <v>471</v>
      </c>
      <c r="B495" s="3">
        <v>1.1147038613234468</v>
      </c>
      <c r="C495" s="3">
        <v>-4.0386132344671921E-4</v>
      </c>
    </row>
    <row r="496" spans="1:3" x14ac:dyDescent="0.3">
      <c r="A496" s="3">
        <v>472</v>
      </c>
      <c r="B496" s="3">
        <v>1.1147038613234468</v>
      </c>
      <c r="C496" s="3">
        <v>8.5961386765531778E-3</v>
      </c>
    </row>
    <row r="497" spans="1:3" x14ac:dyDescent="0.3">
      <c r="A497" s="3">
        <v>473</v>
      </c>
      <c r="B497" s="3">
        <v>1.1219668600998554</v>
      </c>
      <c r="C497" s="3">
        <v>4.9331399001446563E-3</v>
      </c>
    </row>
    <row r="498" spans="1:3" x14ac:dyDescent="0.3">
      <c r="A498" s="3">
        <v>474</v>
      </c>
      <c r="B498" s="3">
        <v>1.1248720596104191</v>
      </c>
      <c r="C498" s="3">
        <v>5.427940389580943E-3</v>
      </c>
    </row>
    <row r="499" spans="1:3" x14ac:dyDescent="0.3">
      <c r="A499" s="3">
        <v>475</v>
      </c>
      <c r="B499" s="3">
        <v>1.1276158591481735</v>
      </c>
      <c r="C499" s="3">
        <v>1.6184140851826401E-2</v>
      </c>
    </row>
    <row r="500" spans="1:3" x14ac:dyDescent="0.3">
      <c r="A500" s="3">
        <v>476</v>
      </c>
      <c r="B500" s="3">
        <v>1.1385103573127866</v>
      </c>
      <c r="C500" s="3">
        <v>6.089642687213459E-3</v>
      </c>
    </row>
    <row r="501" spans="1:3" x14ac:dyDescent="0.3">
      <c r="A501" s="3">
        <v>477</v>
      </c>
      <c r="B501" s="3">
        <v>1.1391559572040233</v>
      </c>
      <c r="C501" s="3">
        <v>5.0440427959768108E-3</v>
      </c>
    </row>
    <row r="502" spans="1:3" x14ac:dyDescent="0.3">
      <c r="A502" s="3">
        <v>478</v>
      </c>
      <c r="B502" s="3">
        <v>1.1388331572584049</v>
      </c>
      <c r="C502" s="3">
        <v>2.5668427415950212E-3</v>
      </c>
    </row>
    <row r="503" spans="1:3" x14ac:dyDescent="0.3">
      <c r="A503" s="3">
        <v>479</v>
      </c>
      <c r="B503" s="3">
        <v>1.1365735576390779</v>
      </c>
      <c r="C503" s="3">
        <v>5.6264423609222458E-3</v>
      </c>
    </row>
    <row r="504" spans="1:3" x14ac:dyDescent="0.3">
      <c r="A504" s="3">
        <v>480</v>
      </c>
      <c r="B504" s="3">
        <v>1.1372191575303141</v>
      </c>
      <c r="C504" s="3">
        <v>5.4808424696859426E-3</v>
      </c>
    </row>
    <row r="505" spans="1:3" x14ac:dyDescent="0.3">
      <c r="A505" s="3">
        <v>481</v>
      </c>
      <c r="B505" s="3">
        <v>1.1376226574623369</v>
      </c>
      <c r="C505" s="3">
        <v>-2.7226574623369082E-3</v>
      </c>
    </row>
    <row r="506" spans="1:3" x14ac:dyDescent="0.3">
      <c r="A506" s="3">
        <v>482</v>
      </c>
      <c r="B506" s="3">
        <v>1.1313280585227825</v>
      </c>
      <c r="C506" s="3">
        <v>-8.2805852278244885E-4</v>
      </c>
    </row>
    <row r="507" spans="1:3" x14ac:dyDescent="0.3">
      <c r="A507" s="3">
        <v>483</v>
      </c>
      <c r="B507" s="3">
        <v>1.1277772591209825</v>
      </c>
      <c r="C507" s="3">
        <v>7.8227408790174646E-3</v>
      </c>
    </row>
    <row r="508" spans="1:3" x14ac:dyDescent="0.3">
      <c r="A508" s="3">
        <v>484</v>
      </c>
      <c r="B508" s="3">
        <v>1.1318929584276143</v>
      </c>
      <c r="C508" s="3">
        <v>5.4070415723856957E-3</v>
      </c>
    </row>
    <row r="509" spans="1:3" x14ac:dyDescent="0.3">
      <c r="A509" s="3">
        <v>485</v>
      </c>
      <c r="B509" s="3">
        <v>1.1332648581964915</v>
      </c>
      <c r="C509" s="3">
        <v>2.735141803508423E-3</v>
      </c>
    </row>
    <row r="510" spans="1:3" x14ac:dyDescent="0.3">
      <c r="A510" s="3">
        <v>486</v>
      </c>
      <c r="B510" s="3">
        <v>1.1322157583732324</v>
      </c>
      <c r="C510" s="3">
        <v>-1.1575837323229976E-4</v>
      </c>
    </row>
    <row r="511" spans="1:3" x14ac:dyDescent="0.3">
      <c r="A511" s="3">
        <v>487</v>
      </c>
      <c r="B511" s="3">
        <v>1.1290684589034554</v>
      </c>
      <c r="C511" s="3">
        <v>1.9315410965445867E-3</v>
      </c>
    </row>
    <row r="512" spans="1:3" x14ac:dyDescent="0.3">
      <c r="A512" s="3">
        <v>488</v>
      </c>
      <c r="B512" s="3">
        <v>1.1281807590530053</v>
      </c>
      <c r="C512" s="3">
        <v>4.3192409469947624E-3</v>
      </c>
    </row>
    <row r="513" spans="1:3" x14ac:dyDescent="0.3">
      <c r="A513" s="3">
        <v>489</v>
      </c>
      <c r="B513" s="3">
        <v>1.1293912588490735</v>
      </c>
      <c r="C513" s="3">
        <v>1.5087411509264737E-3</v>
      </c>
    </row>
    <row r="514" spans="1:3" x14ac:dyDescent="0.3">
      <c r="A514" s="3">
        <v>490</v>
      </c>
      <c r="B514" s="3">
        <v>1.1281000590666008</v>
      </c>
      <c r="C514" s="3">
        <v>-9.0000590666008407E-3</v>
      </c>
    </row>
    <row r="515" spans="1:3" x14ac:dyDescent="0.3">
      <c r="A515" s="3">
        <v>491</v>
      </c>
      <c r="B515" s="3">
        <v>1.1185774606708647</v>
      </c>
      <c r="C515" s="3">
        <v>8.1225393291353143E-3</v>
      </c>
    </row>
    <row r="516" spans="1:3" x14ac:dyDescent="0.3">
      <c r="A516" s="3">
        <v>492</v>
      </c>
      <c r="B516" s="3">
        <v>1.12471065963761</v>
      </c>
      <c r="C516" s="3">
        <v>-2.810659637610069E-3</v>
      </c>
    </row>
    <row r="517" spans="1:3" x14ac:dyDescent="0.3">
      <c r="A517" s="3">
        <v>493</v>
      </c>
      <c r="B517" s="3">
        <v>1.1208370602901918</v>
      </c>
      <c r="C517" s="3">
        <v>-8.2370602901917778E-3</v>
      </c>
    </row>
    <row r="518" spans="1:3" x14ac:dyDescent="0.3">
      <c r="A518" s="3">
        <v>494</v>
      </c>
      <c r="B518" s="3">
        <v>1.1133319615545694</v>
      </c>
      <c r="C518" s="3">
        <v>-1.231961554569283E-3</v>
      </c>
    </row>
    <row r="519" spans="1:3" x14ac:dyDescent="0.3">
      <c r="A519" s="3">
        <v>495</v>
      </c>
      <c r="B519" s="3">
        <v>1.1129284616225465</v>
      </c>
      <c r="C519" s="3">
        <v>-6.5284616225464998E-3</v>
      </c>
    </row>
    <row r="520" spans="1:3" x14ac:dyDescent="0.3">
      <c r="A520" s="3">
        <v>496</v>
      </c>
      <c r="B520" s="3">
        <v>1.1083285623974877</v>
      </c>
      <c r="C520" s="3">
        <v>-1.5728562397487655E-2</v>
      </c>
    </row>
    <row r="521" spans="1:3" x14ac:dyDescent="0.3">
      <c r="A521" s="3">
        <v>497</v>
      </c>
      <c r="B521" s="3">
        <v>1.0971919642736607</v>
      </c>
      <c r="C521" s="3">
        <v>-1.1991964273660782E-2</v>
      </c>
    </row>
    <row r="522" spans="1:3" x14ac:dyDescent="0.3">
      <c r="A522" s="3">
        <v>498</v>
      </c>
      <c r="B522" s="3">
        <v>1.0912201652797244</v>
      </c>
      <c r="C522" s="3">
        <v>-1.3201652797243391E-3</v>
      </c>
    </row>
    <row r="523" spans="1:3" x14ac:dyDescent="0.3">
      <c r="A523" s="3">
        <v>499</v>
      </c>
      <c r="B523" s="3">
        <v>1.0950130646407381</v>
      </c>
      <c r="C523" s="3">
        <v>1.2486935359261819E-2</v>
      </c>
    </row>
    <row r="524" spans="1:3" x14ac:dyDescent="0.3">
      <c r="A524" s="3">
        <v>500</v>
      </c>
      <c r="B524" s="3">
        <v>1.1092162622479376</v>
      </c>
      <c r="C524" s="3">
        <v>-1.0916262247937514E-2</v>
      </c>
    </row>
    <row r="525" spans="1:3" x14ac:dyDescent="0.3">
      <c r="A525" s="3">
        <v>501</v>
      </c>
      <c r="B525" s="3">
        <v>1.1017918634987196</v>
      </c>
      <c r="C525" s="3">
        <v>-1.0891863498719623E-2</v>
      </c>
    </row>
    <row r="526" spans="1:3" x14ac:dyDescent="0.3">
      <c r="A526" s="3">
        <v>502</v>
      </c>
      <c r="B526" s="3">
        <v>1.0958200645047835</v>
      </c>
      <c r="C526" s="3">
        <v>-1.9200645047834364E-3</v>
      </c>
    </row>
    <row r="527" spans="1:3" x14ac:dyDescent="0.3">
      <c r="A527" s="3">
        <v>503</v>
      </c>
      <c r="B527" s="3">
        <v>1.09824106409692</v>
      </c>
      <c r="C527" s="3">
        <v>-3.1410640969200543E-3</v>
      </c>
    </row>
    <row r="528" spans="1:3" x14ac:dyDescent="0.3">
      <c r="A528" s="3">
        <v>504</v>
      </c>
      <c r="B528" s="3">
        <v>1.0992094639337742</v>
      </c>
      <c r="C528" s="3">
        <v>3.9905360662257916E-3</v>
      </c>
    </row>
    <row r="529" spans="1:3" x14ac:dyDescent="0.3">
      <c r="A529" s="3">
        <v>505</v>
      </c>
      <c r="B529" s="3">
        <v>1.1057461628325422</v>
      </c>
      <c r="C529" s="3">
        <v>3.1538371674577625E-3</v>
      </c>
    </row>
    <row r="530" spans="1:3" x14ac:dyDescent="0.3">
      <c r="A530" s="3">
        <v>506</v>
      </c>
      <c r="B530" s="3">
        <v>1.1103460620576011</v>
      </c>
      <c r="C530" s="3">
        <v>-4.8460620576011859E-3</v>
      </c>
    </row>
    <row r="531" spans="1:3" x14ac:dyDescent="0.3">
      <c r="A531" s="3">
        <v>507</v>
      </c>
      <c r="B531" s="3">
        <v>1.1076022625198467</v>
      </c>
      <c r="C531" s="3">
        <v>-6.2022625198467907E-3</v>
      </c>
    </row>
    <row r="532" spans="1:3" x14ac:dyDescent="0.3">
      <c r="A532" s="3">
        <v>508</v>
      </c>
      <c r="B532" s="3">
        <v>1.1042935630772606</v>
      </c>
      <c r="C532" s="3">
        <v>-1.5935630772605514E-3</v>
      </c>
    </row>
    <row r="533" spans="1:3" x14ac:dyDescent="0.3">
      <c r="A533" s="3">
        <v>509</v>
      </c>
      <c r="B533" s="3">
        <v>1.1053426629005196</v>
      </c>
      <c r="C533" s="3">
        <v>-4.9426629005195899E-3</v>
      </c>
    </row>
    <row r="534" spans="1:3" x14ac:dyDescent="0.3">
      <c r="A534" s="3">
        <v>510</v>
      </c>
      <c r="B534" s="3">
        <v>1.1034865632132151</v>
      </c>
      <c r="C534" s="3">
        <v>-3.8865632132152328E-3</v>
      </c>
    </row>
    <row r="535" spans="1:3" x14ac:dyDescent="0.3">
      <c r="A535" s="3">
        <v>511</v>
      </c>
      <c r="B535" s="3">
        <v>1.1028409633219787</v>
      </c>
      <c r="C535" s="3">
        <v>-4.7409633219785974E-3</v>
      </c>
    </row>
    <row r="536" spans="1:3" x14ac:dyDescent="0.3">
      <c r="A536" s="3">
        <v>512</v>
      </c>
      <c r="B536" s="3">
        <v>1.1016304635259107</v>
      </c>
      <c r="C536" s="3">
        <v>-3.8304635259105435E-3</v>
      </c>
    </row>
    <row r="537" spans="1:3" x14ac:dyDescent="0.3">
      <c r="A537" s="3">
        <v>513</v>
      </c>
      <c r="B537" s="3">
        <v>1.101388363566697</v>
      </c>
      <c r="C537" s="3">
        <v>7.1116364333030369E-3</v>
      </c>
    </row>
    <row r="538" spans="1:3" x14ac:dyDescent="0.3">
      <c r="A538" s="3">
        <v>514</v>
      </c>
      <c r="B538" s="3">
        <v>1.1100232621119832</v>
      </c>
      <c r="C538" s="3">
        <v>5.576737888016714E-3</v>
      </c>
    </row>
    <row r="539" spans="1:3" x14ac:dyDescent="0.3">
      <c r="A539" s="3">
        <v>515</v>
      </c>
      <c r="B539" s="3">
        <v>1.1157529611467056</v>
      </c>
      <c r="C539" s="3">
        <v>-9.2529611467055961E-3</v>
      </c>
    </row>
    <row r="540" spans="1:3" x14ac:dyDescent="0.3">
      <c r="A540" s="3">
        <v>516</v>
      </c>
      <c r="B540" s="3">
        <v>1.1084092623838924</v>
      </c>
      <c r="C540" s="3">
        <v>-3.1092623838924194E-3</v>
      </c>
    </row>
    <row r="541" spans="1:3" x14ac:dyDescent="0.3">
      <c r="A541" s="3">
        <v>517</v>
      </c>
      <c r="B541" s="3">
        <v>1.1074408625470378</v>
      </c>
      <c r="C541" s="3">
        <v>-1.0440862547037799E-2</v>
      </c>
    </row>
    <row r="542" spans="1:3" x14ac:dyDescent="0.3">
      <c r="A542" s="3">
        <v>518</v>
      </c>
      <c r="B542" s="3">
        <v>1.1007427636754605</v>
      </c>
      <c r="C542" s="3">
        <v>-1.0442763675460487E-2</v>
      </c>
    </row>
    <row r="543" spans="1:3" x14ac:dyDescent="0.3">
      <c r="A543" s="3">
        <v>519</v>
      </c>
      <c r="B543" s="3">
        <v>1.0953358645863562</v>
      </c>
      <c r="C543" s="3">
        <v>-6.0358645863562987E-3</v>
      </c>
    </row>
    <row r="544" spans="1:3" x14ac:dyDescent="0.3">
      <c r="A544" s="3">
        <v>520</v>
      </c>
      <c r="B544" s="3">
        <v>1.0945288647223106</v>
      </c>
      <c r="C544" s="3">
        <v>-6.7288647223104903E-3</v>
      </c>
    </row>
    <row r="545" spans="1:3" x14ac:dyDescent="0.3">
      <c r="A545" s="3">
        <v>521</v>
      </c>
      <c r="B545" s="3">
        <v>1.0933183649262428</v>
      </c>
      <c r="C545" s="3">
        <v>-5.7183649262428915E-3</v>
      </c>
    </row>
    <row r="546" spans="1:3" x14ac:dyDescent="0.3">
      <c r="A546" s="3">
        <v>522</v>
      </c>
      <c r="B546" s="3">
        <v>1.0931569649534336</v>
      </c>
      <c r="C546" s="3">
        <v>-4.8569649534335735E-3</v>
      </c>
    </row>
    <row r="547" spans="1:3" x14ac:dyDescent="0.3">
      <c r="A547" s="3">
        <v>523</v>
      </c>
      <c r="B547" s="3">
        <v>1.0937218648582654</v>
      </c>
      <c r="C547" s="3">
        <v>-1.1121864858265385E-2</v>
      </c>
    </row>
    <row r="548" spans="1:3" x14ac:dyDescent="0.3">
      <c r="A548" s="3">
        <v>524</v>
      </c>
      <c r="B548" s="3">
        <v>1.0891219656332063</v>
      </c>
      <c r="C548" s="3">
        <v>-6.219656332062673E-4</v>
      </c>
    </row>
    <row r="549" spans="1:3" x14ac:dyDescent="0.3">
      <c r="A549" s="3">
        <v>525</v>
      </c>
      <c r="B549" s="3">
        <v>1.0938832648310743</v>
      </c>
      <c r="C549" s="3">
        <v>-1.1183264831074347E-2</v>
      </c>
    </row>
    <row r="550" spans="1:3" x14ac:dyDescent="0.3">
      <c r="A550" s="3">
        <v>526</v>
      </c>
      <c r="B550" s="3">
        <v>1.089202665619611</v>
      </c>
      <c r="C550" s="3">
        <v>-8.602665619610983E-3</v>
      </c>
    </row>
    <row r="551" spans="1:3" x14ac:dyDescent="0.3">
      <c r="A551" s="3">
        <v>527</v>
      </c>
      <c r="B551" s="3">
        <v>1.0875079659051154</v>
      </c>
      <c r="C551" s="3">
        <v>-9.5079659051153786E-3</v>
      </c>
    </row>
    <row r="552" spans="1:3" x14ac:dyDescent="0.3">
      <c r="A552" s="3">
        <v>528</v>
      </c>
      <c r="B552" s="3">
        <v>1.0854097662585975</v>
      </c>
      <c r="C552" s="3">
        <v>-6.8097662585975272E-3</v>
      </c>
    </row>
    <row r="553" spans="1:3" x14ac:dyDescent="0.3">
      <c r="A553" s="3">
        <v>529</v>
      </c>
      <c r="B553" s="3">
        <v>1.0858939661770246</v>
      </c>
      <c r="C553" s="3">
        <v>-8.9396617702464098E-4</v>
      </c>
    </row>
    <row r="554" spans="1:3" x14ac:dyDescent="0.3">
      <c r="A554" s="3">
        <v>530</v>
      </c>
      <c r="B554" s="3">
        <v>1.0910587653069155</v>
      </c>
      <c r="C554" s="3">
        <v>-7.4587653069155824E-3</v>
      </c>
    </row>
    <row r="555" spans="1:3" x14ac:dyDescent="0.3">
      <c r="A555" s="3">
        <v>531</v>
      </c>
      <c r="B555" s="3">
        <v>1.0899289654972517</v>
      </c>
      <c r="C555" s="3">
        <v>-1.0528965497251797E-2</v>
      </c>
    </row>
    <row r="556" spans="1:3" x14ac:dyDescent="0.3">
      <c r="A556" s="3">
        <v>532</v>
      </c>
      <c r="B556" s="3">
        <v>1.0865395660682609</v>
      </c>
      <c r="C556" s="3">
        <v>-1.5439566068260913E-2</v>
      </c>
    </row>
    <row r="557" spans="1:3" x14ac:dyDescent="0.3">
      <c r="A557" s="3">
        <v>533</v>
      </c>
      <c r="B557" s="3">
        <v>1.0798414671966841</v>
      </c>
      <c r="C557" s="3">
        <v>-1.6241467196683956E-2</v>
      </c>
    </row>
    <row r="558" spans="1:3" x14ac:dyDescent="0.3">
      <c r="A558" s="3">
        <v>534</v>
      </c>
      <c r="B558" s="3">
        <v>1.0737889682163433</v>
      </c>
      <c r="C558" s="3">
        <v>-1.8288968216343182E-2</v>
      </c>
    </row>
    <row r="559" spans="1:3" x14ac:dyDescent="0.3">
      <c r="A559" s="3">
        <v>535</v>
      </c>
      <c r="B559" s="3">
        <v>1.0672522693175752</v>
      </c>
      <c r="C559" s="3">
        <v>-1.7852269317575109E-2</v>
      </c>
    </row>
    <row r="560" spans="1:3" x14ac:dyDescent="0.3">
      <c r="A560" s="3">
        <v>536</v>
      </c>
      <c r="B560" s="3">
        <v>1.0623295701468982</v>
      </c>
      <c r="C560" s="3">
        <v>-8.2295701468981797E-3</v>
      </c>
    </row>
    <row r="561" spans="1:3" x14ac:dyDescent="0.3">
      <c r="A561" s="3">
        <v>537</v>
      </c>
      <c r="B561" s="3">
        <v>1.0661224695079117</v>
      </c>
      <c r="C561" s="3">
        <v>-1.5722469507911674E-2</v>
      </c>
    </row>
    <row r="562" spans="1:3" x14ac:dyDescent="0.3">
      <c r="A562" s="3">
        <v>538</v>
      </c>
      <c r="B562" s="3">
        <v>1.0631365700109434</v>
      </c>
      <c r="C562" s="3">
        <v>-1.113657001094337E-2</v>
      </c>
    </row>
    <row r="563" spans="1:3" x14ac:dyDescent="0.3">
      <c r="A563" s="3">
        <v>539</v>
      </c>
      <c r="B563" s="3">
        <v>1.0644277697934164</v>
      </c>
      <c r="C563" s="3">
        <v>-2.3277697934163122E-3</v>
      </c>
    </row>
    <row r="564" spans="1:3" x14ac:dyDescent="0.3">
      <c r="A564" s="3">
        <v>540</v>
      </c>
      <c r="B564" s="3">
        <v>1.072578468420275</v>
      </c>
      <c r="C564" s="3">
        <v>-1.8578468420274996E-2</v>
      </c>
    </row>
    <row r="565" spans="1:3" x14ac:dyDescent="0.3">
      <c r="A565" s="3">
        <v>541</v>
      </c>
      <c r="B565" s="3">
        <v>1.0660417695215072</v>
      </c>
      <c r="C565" s="3">
        <v>-1.0941769521507272E-2</v>
      </c>
    </row>
    <row r="566" spans="1:3" x14ac:dyDescent="0.3">
      <c r="A566" s="3">
        <v>542</v>
      </c>
      <c r="B566" s="3">
        <v>1.0669294693719569</v>
      </c>
      <c r="C566" s="3">
        <v>-1.1429469371956769E-2</v>
      </c>
    </row>
    <row r="567" spans="1:3" x14ac:dyDescent="0.3">
      <c r="A567" s="3">
        <v>543</v>
      </c>
      <c r="B567" s="3">
        <v>1.0672522693175752</v>
      </c>
      <c r="C567" s="3">
        <v>-1.455226931757525E-2</v>
      </c>
    </row>
    <row r="568" spans="1:3" x14ac:dyDescent="0.3">
      <c r="A568" s="3">
        <v>544</v>
      </c>
      <c r="B568" s="3">
        <v>1.0649926696982481</v>
      </c>
      <c r="C568" s="3">
        <v>-1.3892669698248206E-2</v>
      </c>
    </row>
    <row r="569" spans="1:3" x14ac:dyDescent="0.3">
      <c r="A569" s="3">
        <v>545</v>
      </c>
      <c r="B569" s="3">
        <v>1.0637014699157752</v>
      </c>
      <c r="C569" s="3">
        <v>-2.5801469915775144E-2</v>
      </c>
    </row>
    <row r="570" spans="1:3" x14ac:dyDescent="0.3">
      <c r="A570" s="3">
        <v>546</v>
      </c>
      <c r="B570" s="3">
        <v>1.0530490717103755</v>
      </c>
      <c r="C570" s="3">
        <v>-1.1949071710375625E-2</v>
      </c>
    </row>
    <row r="571" spans="1:3" x14ac:dyDescent="0.3">
      <c r="A571" s="3">
        <v>547</v>
      </c>
      <c r="B571" s="3">
        <v>1.055631471275321</v>
      </c>
      <c r="C571" s="3">
        <v>-1.253147127532106E-2</v>
      </c>
    </row>
    <row r="572" spans="1:3" x14ac:dyDescent="0.3">
      <c r="A572" s="3">
        <v>548</v>
      </c>
      <c r="B572" s="3">
        <v>1.0572454710034118</v>
      </c>
      <c r="C572" s="3">
        <v>-2.5454710034118477E-3</v>
      </c>
    </row>
    <row r="573" spans="1:3" x14ac:dyDescent="0.3">
      <c r="A573" s="3">
        <v>549</v>
      </c>
      <c r="B573" s="3">
        <v>1.066606669426339</v>
      </c>
      <c r="C573" s="3">
        <v>-2.0006669426338997E-2</v>
      </c>
    </row>
    <row r="574" spans="1:3" x14ac:dyDescent="0.3">
      <c r="A574" s="3">
        <v>550</v>
      </c>
      <c r="B574" s="3">
        <v>1.0600699705275709</v>
      </c>
      <c r="C574" s="3">
        <v>-1.4699705275709185E-3</v>
      </c>
    </row>
    <row r="575" spans="1:3" x14ac:dyDescent="0.3">
      <c r="A575" s="3">
        <v>551</v>
      </c>
      <c r="B575" s="3">
        <v>1.0697539688961162</v>
      </c>
      <c r="C575" s="3">
        <v>-1.3753968896116131E-2</v>
      </c>
    </row>
    <row r="576" spans="1:3" x14ac:dyDescent="0.3">
      <c r="A576" s="3">
        <v>552</v>
      </c>
      <c r="B576" s="3">
        <v>1.067655769249598</v>
      </c>
      <c r="C576" s="3">
        <v>1.2442307504019201E-3</v>
      </c>
    </row>
    <row r="577" spans="1:3" x14ac:dyDescent="0.3">
      <c r="A577" s="3">
        <v>553</v>
      </c>
      <c r="B577" s="3">
        <v>1.0780660674957838</v>
      </c>
      <c r="C577" s="3">
        <v>-4.6660674957839099E-3</v>
      </c>
    </row>
    <row r="578" spans="1:3" x14ac:dyDescent="0.3">
      <c r="A578" s="3">
        <v>554</v>
      </c>
      <c r="B578" s="3">
        <v>1.0816975668839883</v>
      </c>
      <c r="C578" s="3">
        <v>-1.3697566883988266E-2</v>
      </c>
    </row>
    <row r="579" spans="1:3" x14ac:dyDescent="0.3">
      <c r="A579" s="3">
        <v>555</v>
      </c>
      <c r="B579" s="3">
        <v>1.0773397676181431</v>
      </c>
      <c r="C579" s="3">
        <v>-4.9397676181430761E-3</v>
      </c>
    </row>
    <row r="580" spans="1:3" x14ac:dyDescent="0.3">
      <c r="A580" s="3">
        <v>556</v>
      </c>
      <c r="B580" s="3">
        <v>1.0808905670199431</v>
      </c>
      <c r="C580" s="3">
        <v>-8.1905670199431402E-3</v>
      </c>
    </row>
    <row r="581" spans="1:3" x14ac:dyDescent="0.3">
      <c r="A581" s="3">
        <v>557</v>
      </c>
      <c r="B581" s="3">
        <v>1.0811326669791566</v>
      </c>
      <c r="C581" s="3">
        <v>-3.4326669791564512E-3</v>
      </c>
    </row>
    <row r="582" spans="1:3" x14ac:dyDescent="0.3">
      <c r="A582" s="3">
        <v>558</v>
      </c>
      <c r="B582" s="3">
        <v>1.0851676662993839</v>
      </c>
      <c r="C582" s="3">
        <v>-1.1867666299383961E-2</v>
      </c>
    </row>
    <row r="583" spans="1:3" x14ac:dyDescent="0.3">
      <c r="A583" s="3">
        <v>559</v>
      </c>
      <c r="B583" s="3">
        <v>1.0816168668975839</v>
      </c>
      <c r="C583" s="3">
        <v>-1.701686689758386E-2</v>
      </c>
    </row>
    <row r="584" spans="1:3" x14ac:dyDescent="0.3">
      <c r="A584" s="3">
        <v>560</v>
      </c>
      <c r="B584" s="3">
        <v>1.0745959680803887</v>
      </c>
      <c r="C584" s="3">
        <v>-9.596808038869753E-5</v>
      </c>
    </row>
    <row r="585" spans="1:3" x14ac:dyDescent="0.3">
      <c r="A585" s="3">
        <v>561</v>
      </c>
      <c r="B585" s="3">
        <v>1.0825852667344384</v>
      </c>
      <c r="C585" s="3">
        <v>-1.0785266734438359E-2</v>
      </c>
    </row>
    <row r="586" spans="1:3" x14ac:dyDescent="0.3">
      <c r="A586" s="3">
        <v>562</v>
      </c>
      <c r="B586" s="3">
        <v>1.0804063671015158</v>
      </c>
      <c r="C586" s="3">
        <v>-1.1006367101515924E-2</v>
      </c>
    </row>
    <row r="587" spans="1:3" x14ac:dyDescent="0.3">
      <c r="A587" s="3">
        <v>563</v>
      </c>
      <c r="B587" s="3">
        <v>1.0784695674278066</v>
      </c>
      <c r="C587" s="3">
        <v>-8.5695674278065681E-3</v>
      </c>
    </row>
    <row r="588" spans="1:3" x14ac:dyDescent="0.3">
      <c r="A588" s="3">
        <v>564</v>
      </c>
      <c r="B588" s="3">
        <v>1.0788730673598295</v>
      </c>
      <c r="C588" s="3">
        <v>-7.4730673598295549E-3</v>
      </c>
    </row>
    <row r="589" spans="1:3" x14ac:dyDescent="0.3">
      <c r="A589" s="3">
        <v>565</v>
      </c>
      <c r="B589" s="3">
        <v>1.0800835671558975</v>
      </c>
      <c r="C589" s="3">
        <v>-1.8683567155897585E-2</v>
      </c>
    </row>
    <row r="590" spans="1:3" x14ac:dyDescent="0.3">
      <c r="A590" s="3">
        <v>566</v>
      </c>
      <c r="B590" s="3">
        <v>1.0720135685154433</v>
      </c>
      <c r="C590" s="3">
        <v>-2.051356851544317E-2</v>
      </c>
    </row>
    <row r="591" spans="1:3" x14ac:dyDescent="0.3">
      <c r="A591" s="3">
        <v>567</v>
      </c>
      <c r="B591" s="3">
        <v>1.0640242698613935</v>
      </c>
      <c r="C591" s="3">
        <v>-2.3224269861393587E-2</v>
      </c>
    </row>
    <row r="592" spans="1:3" x14ac:dyDescent="0.3">
      <c r="A592" s="3">
        <v>568</v>
      </c>
      <c r="B592" s="3">
        <v>1.0553893713161073</v>
      </c>
      <c r="C592" s="3">
        <v>-1.3989371316107224E-2</v>
      </c>
    </row>
    <row r="593" spans="1:3" x14ac:dyDescent="0.3">
      <c r="A593" s="3">
        <v>569</v>
      </c>
      <c r="B593" s="3">
        <v>1.0558735712345348</v>
      </c>
      <c r="C593" s="3">
        <v>-1.1573571234534841E-2</v>
      </c>
    </row>
    <row r="594" spans="1:3" x14ac:dyDescent="0.3">
      <c r="A594" s="3">
        <v>570</v>
      </c>
      <c r="B594" s="3">
        <v>1.0582138708402664</v>
      </c>
      <c r="C594" s="3">
        <v>-3.513870840266442E-3</v>
      </c>
    </row>
    <row r="595" spans="1:3" x14ac:dyDescent="0.3">
      <c r="A595" s="3">
        <v>571</v>
      </c>
      <c r="B595" s="3">
        <v>1.066606669426339</v>
      </c>
      <c r="C595" s="3">
        <v>-1.6806669426338905E-2</v>
      </c>
    </row>
    <row r="596" spans="1:3" x14ac:dyDescent="0.3">
      <c r="A596" s="3">
        <v>572</v>
      </c>
      <c r="B596" s="3">
        <v>1.0626523700925163</v>
      </c>
      <c r="C596" s="3">
        <v>-1.1752370092516395E-2</v>
      </c>
    </row>
    <row r="597" spans="1:3" x14ac:dyDescent="0.3">
      <c r="A597" s="3">
        <v>573</v>
      </c>
      <c r="B597" s="3">
        <v>1.0635400699429662</v>
      </c>
      <c r="C597" s="3">
        <v>-1.1040069942966246E-2</v>
      </c>
    </row>
    <row r="598" spans="1:3" x14ac:dyDescent="0.3">
      <c r="A598" s="3">
        <v>574</v>
      </c>
      <c r="B598" s="3">
        <v>1.064831269725439</v>
      </c>
      <c r="C598" s="3">
        <v>-8.3312697254389612E-3</v>
      </c>
    </row>
    <row r="599" spans="1:3" x14ac:dyDescent="0.3">
      <c r="A599" s="3">
        <v>575</v>
      </c>
      <c r="B599" s="3">
        <v>1.0680592691816206</v>
      </c>
      <c r="C599" s="3">
        <v>-1.5759269181620628E-2</v>
      </c>
    </row>
    <row r="600" spans="1:3" x14ac:dyDescent="0.3">
      <c r="A600" s="3">
        <v>576</v>
      </c>
      <c r="B600" s="3">
        <v>1.0646698697526298</v>
      </c>
      <c r="C600" s="3">
        <v>-9.269869752629889E-3</v>
      </c>
    </row>
    <row r="601" spans="1:3" x14ac:dyDescent="0.3">
      <c r="A601" s="3">
        <v>577</v>
      </c>
      <c r="B601" s="3">
        <v>1.0671715693311707</v>
      </c>
      <c r="C601" s="3">
        <v>-8.8715693311707255E-3</v>
      </c>
    </row>
    <row r="602" spans="1:3" x14ac:dyDescent="0.3">
      <c r="A602" s="3">
        <v>578</v>
      </c>
      <c r="B602" s="3">
        <v>1.0695118689369023</v>
      </c>
      <c r="C602" s="3">
        <v>-1.7711868936902242E-2</v>
      </c>
    </row>
    <row r="603" spans="1:3" x14ac:dyDescent="0.3">
      <c r="A603" s="3">
        <v>579</v>
      </c>
      <c r="B603" s="3">
        <v>1.0642663698206072</v>
      </c>
      <c r="C603" s="3">
        <v>-2.0366369820607133E-2</v>
      </c>
    </row>
    <row r="604" spans="1:3" x14ac:dyDescent="0.3">
      <c r="A604" s="3">
        <v>580</v>
      </c>
      <c r="B604" s="3">
        <v>1.0578910708946483</v>
      </c>
      <c r="C604" s="3">
        <v>-9.6910708946482682E-3</v>
      </c>
    </row>
    <row r="605" spans="1:3" x14ac:dyDescent="0.3">
      <c r="A605" s="3">
        <v>581</v>
      </c>
      <c r="B605" s="3">
        <v>1.0613611703100436</v>
      </c>
      <c r="C605" s="3">
        <v>-1.8561170310043673E-2</v>
      </c>
    </row>
    <row r="606" spans="1:3" x14ac:dyDescent="0.3">
      <c r="A606" s="3">
        <v>582</v>
      </c>
      <c r="B606" s="3">
        <v>1.0570033710441982</v>
      </c>
      <c r="C606" s="3">
        <v>-1.4903371044198144E-2</v>
      </c>
    </row>
    <row r="607" spans="1:3" x14ac:dyDescent="0.3">
      <c r="A607" s="3">
        <v>583</v>
      </c>
      <c r="B607" s="3">
        <v>1.0564384711393666</v>
      </c>
      <c r="C607" s="3">
        <v>-2.9838471139366662E-2</v>
      </c>
    </row>
    <row r="608" spans="1:3" x14ac:dyDescent="0.3">
      <c r="A608" s="3">
        <v>584</v>
      </c>
      <c r="B608" s="3">
        <v>1.0439299732466623</v>
      </c>
      <c r="C608" s="3">
        <v>-2.5829973246662252E-2</v>
      </c>
    </row>
    <row r="609" spans="1:3" x14ac:dyDescent="0.3">
      <c r="A609" s="3">
        <v>585</v>
      </c>
      <c r="B609" s="3">
        <v>1.0370704744022761</v>
      </c>
      <c r="C609" s="3">
        <v>-2.117047440227604E-2</v>
      </c>
    </row>
    <row r="610" spans="1:3" x14ac:dyDescent="0.3">
      <c r="A610" s="3">
        <v>586</v>
      </c>
      <c r="B610" s="3">
        <v>1.0352950747013763</v>
      </c>
      <c r="C610" s="3">
        <v>-1.6995074701376289E-2</v>
      </c>
    </row>
    <row r="611" spans="1:3" x14ac:dyDescent="0.3">
      <c r="A611" s="3">
        <v>587</v>
      </c>
      <c r="B611" s="3">
        <v>1.037231874375085</v>
      </c>
      <c r="C611" s="3">
        <v>-3.3331874375085002E-2</v>
      </c>
    </row>
    <row r="612" spans="1:3" x14ac:dyDescent="0.3">
      <c r="A612" s="3">
        <v>588</v>
      </c>
      <c r="B612" s="3">
        <v>1.025611076332831</v>
      </c>
      <c r="C612" s="3">
        <v>-2.2011076332830948E-2</v>
      </c>
    </row>
    <row r="613" spans="1:3" x14ac:dyDescent="0.3">
      <c r="A613" s="3">
        <v>589</v>
      </c>
      <c r="B613" s="3">
        <v>1.0253689763736173</v>
      </c>
      <c r="C613" s="3">
        <v>-1.9368976373617341E-2</v>
      </c>
    </row>
    <row r="614" spans="1:3" x14ac:dyDescent="0.3">
      <c r="A614" s="3">
        <v>590</v>
      </c>
      <c r="B614" s="3">
        <v>1.0273057760473265</v>
      </c>
      <c r="C614" s="3">
        <v>-2.570577604732649E-2</v>
      </c>
    </row>
    <row r="615" spans="1:3" x14ac:dyDescent="0.3">
      <c r="A615" s="3">
        <v>591</v>
      </c>
      <c r="B615" s="3">
        <v>1.0237549766455265</v>
      </c>
      <c r="C615" s="3">
        <v>-1.5054976645526574E-2</v>
      </c>
    </row>
    <row r="616" spans="1:3" x14ac:dyDescent="0.3">
      <c r="A616" s="3">
        <v>592</v>
      </c>
      <c r="B616" s="3">
        <v>1.0294846756802489</v>
      </c>
      <c r="C616" s="3">
        <v>-1.5384675680248927E-2</v>
      </c>
    </row>
    <row r="617" spans="1:3" x14ac:dyDescent="0.3">
      <c r="A617" s="3">
        <v>593</v>
      </c>
      <c r="B617" s="3">
        <v>1.0338424749460944</v>
      </c>
      <c r="C617" s="3">
        <v>-1.1442474946094405E-2</v>
      </c>
    </row>
    <row r="618" spans="1:3" x14ac:dyDescent="0.3">
      <c r="A618" s="3">
        <v>594</v>
      </c>
      <c r="B618" s="3">
        <v>1.0405405738176714</v>
      </c>
      <c r="C618" s="3">
        <v>-2.284057381767135E-2</v>
      </c>
    </row>
    <row r="619" spans="1:3" x14ac:dyDescent="0.3">
      <c r="A619" s="3">
        <v>595</v>
      </c>
      <c r="B619" s="3">
        <v>1.0367476744566579</v>
      </c>
      <c r="C619" s="3">
        <v>-1.394767445665801E-2</v>
      </c>
    </row>
    <row r="620" spans="1:3" x14ac:dyDescent="0.3">
      <c r="A620" s="3">
        <v>596</v>
      </c>
      <c r="B620" s="3">
        <v>1.0408633737632895</v>
      </c>
      <c r="C620" s="3">
        <v>-1.9863373763289616E-2</v>
      </c>
    </row>
    <row r="621" spans="1:3" x14ac:dyDescent="0.3">
      <c r="A621" s="3">
        <v>597</v>
      </c>
      <c r="B621" s="3">
        <v>1.0394107740080076</v>
      </c>
      <c r="C621" s="3">
        <v>-1.7410774008007612E-2</v>
      </c>
    </row>
    <row r="622" spans="1:3" x14ac:dyDescent="0.3">
      <c r="A622" s="3">
        <v>598</v>
      </c>
      <c r="B622" s="3">
        <v>1.0402177738720533</v>
      </c>
      <c r="C622" s="3">
        <v>-2.8817773872053198E-2</v>
      </c>
    </row>
    <row r="623" spans="1:3" x14ac:dyDescent="0.3">
      <c r="A623" s="3">
        <v>599</v>
      </c>
      <c r="B623" s="3">
        <v>1.0316635753131718</v>
      </c>
      <c r="C623" s="3">
        <v>-1.146357531317177E-2</v>
      </c>
    </row>
    <row r="624" spans="1:3" x14ac:dyDescent="0.3">
      <c r="A624" s="3">
        <v>600</v>
      </c>
      <c r="B624" s="3">
        <v>1.0387651741167714</v>
      </c>
      <c r="C624" s="3">
        <v>-1.9165174116771322E-2</v>
      </c>
    </row>
    <row r="625" spans="1:3" x14ac:dyDescent="0.3">
      <c r="A625" s="3">
        <v>601</v>
      </c>
      <c r="B625" s="3">
        <v>1.0382809741983443</v>
      </c>
      <c r="C625" s="3">
        <v>-1.6480974198344267E-2</v>
      </c>
    </row>
    <row r="626" spans="1:3" x14ac:dyDescent="0.3">
      <c r="A626" s="3">
        <v>602</v>
      </c>
      <c r="B626" s="3">
        <v>1.0400563738992443</v>
      </c>
      <c r="C626" s="3">
        <v>-1.3956373899244312E-2</v>
      </c>
    </row>
    <row r="627" spans="1:3" x14ac:dyDescent="0.3">
      <c r="A627" s="3">
        <v>603</v>
      </c>
      <c r="B627" s="3">
        <v>1.0435264733146394</v>
      </c>
      <c r="C627" s="3">
        <v>-2.7126473314639465E-2</v>
      </c>
    </row>
    <row r="628" spans="1:3" x14ac:dyDescent="0.3">
      <c r="A628" s="3">
        <v>604</v>
      </c>
      <c r="B628" s="3">
        <v>1.0356985746333989</v>
      </c>
      <c r="C628" s="3">
        <v>-1.9298574633398902E-2</v>
      </c>
    </row>
    <row r="629" spans="1:3" x14ac:dyDescent="0.3">
      <c r="A629" s="3">
        <v>605</v>
      </c>
      <c r="B629" s="3">
        <v>1.0356985746333989</v>
      </c>
      <c r="C629" s="3">
        <v>-1.1398574633398884E-2</v>
      </c>
    </row>
    <row r="630" spans="1:3" x14ac:dyDescent="0.3">
      <c r="A630" s="3">
        <v>606</v>
      </c>
      <c r="B630" s="3">
        <v>1.0420738735593578</v>
      </c>
      <c r="C630" s="3">
        <v>-2.3973873559357761E-2</v>
      </c>
    </row>
    <row r="631" spans="1:3" x14ac:dyDescent="0.3">
      <c r="A631" s="3">
        <v>607</v>
      </c>
      <c r="B631" s="3">
        <v>1.0370704744022761</v>
      </c>
      <c r="C631" s="3">
        <v>-1.7570474402275993E-2</v>
      </c>
    </row>
    <row r="632" spans="1:3" x14ac:dyDescent="0.3">
      <c r="A632" s="3">
        <v>608</v>
      </c>
      <c r="B632" s="3">
        <v>1.0382002742119396</v>
      </c>
      <c r="C632" s="3">
        <v>-1.7100274211939714E-2</v>
      </c>
    </row>
    <row r="633" spans="1:3" x14ac:dyDescent="0.3">
      <c r="A633" s="3">
        <v>609</v>
      </c>
      <c r="B633" s="3">
        <v>1.0394914739944123</v>
      </c>
      <c r="C633" s="3">
        <v>-9.7914739944122697E-3</v>
      </c>
    </row>
    <row r="634" spans="1:3" x14ac:dyDescent="0.3">
      <c r="A634" s="3">
        <v>610</v>
      </c>
      <c r="B634" s="3">
        <v>1.0464316728252032</v>
      </c>
      <c r="C634" s="3">
        <v>-1.4731672825203157E-2</v>
      </c>
    </row>
    <row r="635" spans="1:3" x14ac:dyDescent="0.3">
      <c r="A635" s="3">
        <v>611</v>
      </c>
      <c r="B635" s="3">
        <v>1.0480456725532941</v>
      </c>
      <c r="C635" s="3">
        <v>-2.2245672553294016E-2</v>
      </c>
    </row>
    <row r="636" spans="1:3" x14ac:dyDescent="0.3">
      <c r="A636" s="3">
        <v>612</v>
      </c>
      <c r="B636" s="3">
        <v>1.043284373355426</v>
      </c>
      <c r="C636" s="3">
        <v>-2.7284373355425995E-2</v>
      </c>
    </row>
    <row r="637" spans="1:3" x14ac:dyDescent="0.3">
      <c r="A637" s="3">
        <v>613</v>
      </c>
      <c r="B637" s="3">
        <v>1.0353757746877807</v>
      </c>
      <c r="C637" s="3">
        <v>-1.8375774687780844E-2</v>
      </c>
    </row>
    <row r="638" spans="1:3" x14ac:dyDescent="0.3">
      <c r="A638" s="3">
        <v>614</v>
      </c>
      <c r="B638" s="3">
        <v>1.0361827745518259</v>
      </c>
      <c r="C638" s="3">
        <v>-1.8182774551825931E-2</v>
      </c>
    </row>
    <row r="639" spans="1:3" x14ac:dyDescent="0.3">
      <c r="A639" s="3">
        <v>615</v>
      </c>
      <c r="B639" s="3">
        <v>1.0369897744158716</v>
      </c>
      <c r="C639" s="3">
        <v>-2.8189774415871671E-2</v>
      </c>
    </row>
    <row r="640" spans="1:3" x14ac:dyDescent="0.3">
      <c r="A640" s="3">
        <v>616</v>
      </c>
      <c r="B640" s="3">
        <v>1.0295653756666536</v>
      </c>
      <c r="C640" s="3">
        <v>-2.6165375666653556E-2</v>
      </c>
    </row>
    <row r="641" spans="1:3" x14ac:dyDescent="0.3">
      <c r="A641" s="3">
        <v>617</v>
      </c>
      <c r="B641" s="3">
        <v>1.0252075764008084</v>
      </c>
      <c r="C641" s="3">
        <v>-3.1107576400808412E-2</v>
      </c>
    </row>
    <row r="642" spans="1:3" x14ac:dyDescent="0.3">
      <c r="A642" s="3">
        <v>618</v>
      </c>
      <c r="B642" s="3">
        <v>1.0177024776651857</v>
      </c>
      <c r="C642" s="3">
        <v>-2.1002477665185704E-2</v>
      </c>
    </row>
    <row r="643" spans="1:3" x14ac:dyDescent="0.3">
      <c r="A643" s="3">
        <v>619</v>
      </c>
      <c r="B643" s="3">
        <v>1.0198006773117039</v>
      </c>
      <c r="C643" s="3">
        <v>-2.3300677311703821E-2</v>
      </c>
    </row>
    <row r="644" spans="1:3" x14ac:dyDescent="0.3">
      <c r="A644" s="3">
        <v>620</v>
      </c>
      <c r="B644" s="3">
        <v>1.0196392773388947</v>
      </c>
      <c r="C644" s="3">
        <v>-2.2239277338894747E-2</v>
      </c>
    </row>
    <row r="645" spans="1:3" x14ac:dyDescent="0.3">
      <c r="A645" s="3">
        <v>621</v>
      </c>
      <c r="B645" s="3">
        <v>1.0203655772165356</v>
      </c>
      <c r="C645" s="3">
        <v>-2.4265577216535661E-2</v>
      </c>
    </row>
    <row r="646" spans="1:3" x14ac:dyDescent="0.3">
      <c r="A646" s="3">
        <v>622</v>
      </c>
      <c r="B646" s="3">
        <v>1.0193164773932766</v>
      </c>
      <c r="C646" s="3">
        <v>-1.9816477393276521E-2</v>
      </c>
    </row>
    <row r="647" spans="1:3" x14ac:dyDescent="0.3">
      <c r="A647" s="3">
        <v>623</v>
      </c>
      <c r="B647" s="3">
        <v>1.0220602769310312</v>
      </c>
      <c r="C647" s="3">
        <v>-2.0860276931031096E-2</v>
      </c>
    </row>
    <row r="648" spans="1:3" x14ac:dyDescent="0.3">
      <c r="A648" s="3">
        <v>624</v>
      </c>
      <c r="B648" s="3">
        <v>1.0234321766999084</v>
      </c>
      <c r="C648" s="3">
        <v>-1.7732176699908342E-2</v>
      </c>
    </row>
    <row r="649" spans="1:3" x14ac:dyDescent="0.3">
      <c r="A649" s="3">
        <v>625</v>
      </c>
      <c r="B649" s="3">
        <v>1.0270636760881127</v>
      </c>
      <c r="C649" s="3">
        <v>-3.2663676088112714E-2</v>
      </c>
    </row>
    <row r="650" spans="1:3" x14ac:dyDescent="0.3">
      <c r="A650" s="3">
        <v>626</v>
      </c>
      <c r="B650" s="3">
        <v>1.0179445776243994</v>
      </c>
      <c r="C650" s="3">
        <v>-2.2844577624399398E-2</v>
      </c>
    </row>
    <row r="651" spans="1:3" x14ac:dyDescent="0.3">
      <c r="A651" s="3">
        <v>627</v>
      </c>
      <c r="B651" s="3">
        <v>1.0185094775292312</v>
      </c>
      <c r="C651" s="3">
        <v>-2.5909477529231117E-2</v>
      </c>
    </row>
    <row r="652" spans="1:3" x14ac:dyDescent="0.3">
      <c r="A652" s="3">
        <v>628</v>
      </c>
      <c r="B652" s="3">
        <v>1.0164919778691175</v>
      </c>
      <c r="C652" s="3">
        <v>-2.6291977869117522E-2</v>
      </c>
    </row>
    <row r="653" spans="1:3" x14ac:dyDescent="0.3">
      <c r="A653" s="3">
        <v>629</v>
      </c>
      <c r="B653" s="3">
        <v>1.0145551781954085</v>
      </c>
      <c r="C653" s="3">
        <v>-1.4655178195408514E-2</v>
      </c>
    </row>
    <row r="654" spans="1:3" x14ac:dyDescent="0.3">
      <c r="A654" s="3">
        <v>630</v>
      </c>
      <c r="B654" s="3">
        <v>1.0223830768766491</v>
      </c>
      <c r="C654" s="3">
        <v>-2.2983076876649133E-2</v>
      </c>
    </row>
    <row r="655" spans="1:3" x14ac:dyDescent="0.3">
      <c r="A655" s="3">
        <v>631</v>
      </c>
      <c r="B655" s="3">
        <v>1.0219795769446265</v>
      </c>
      <c r="C655" s="3">
        <v>-1.8079576944626474E-2</v>
      </c>
    </row>
    <row r="656" spans="1:3" x14ac:dyDescent="0.3">
      <c r="A656" s="3">
        <v>632</v>
      </c>
      <c r="B656" s="3">
        <v>1.025611076332831</v>
      </c>
      <c r="C656" s="3">
        <v>-1.3711076332830974E-2</v>
      </c>
    </row>
    <row r="657" spans="1:3" x14ac:dyDescent="0.3">
      <c r="A657" s="3">
        <v>633</v>
      </c>
      <c r="B657" s="3">
        <v>1.0320670752451946</v>
      </c>
      <c r="C657" s="3">
        <v>-3.506707524519459E-2</v>
      </c>
    </row>
    <row r="658" spans="1:3" x14ac:dyDescent="0.3">
      <c r="A658" s="3">
        <v>634</v>
      </c>
      <c r="B658" s="3">
        <v>1.0200427772709175</v>
      </c>
      <c r="C658" s="3">
        <v>-2.2342777270917491E-2</v>
      </c>
    </row>
    <row r="659" spans="1:3" x14ac:dyDescent="0.3">
      <c r="A659" s="3">
        <v>635</v>
      </c>
      <c r="B659" s="3">
        <v>1.0206076771757493</v>
      </c>
      <c r="C659" s="3">
        <v>-2.0707677175749284E-2</v>
      </c>
    </row>
    <row r="660" spans="1:3" x14ac:dyDescent="0.3">
      <c r="A660" s="3">
        <v>636</v>
      </c>
      <c r="B660" s="3">
        <v>1.0223830768766491</v>
      </c>
      <c r="C660" s="3">
        <v>-2.0883076876649032E-2</v>
      </c>
    </row>
    <row r="661" spans="1:3" x14ac:dyDescent="0.3">
      <c r="A661" s="3">
        <v>637</v>
      </c>
      <c r="B661" s="3">
        <v>1.023674276659122</v>
      </c>
      <c r="C661" s="3">
        <v>-2.1474276659122049E-2</v>
      </c>
    </row>
    <row r="662" spans="1:3" x14ac:dyDescent="0.3">
      <c r="A662" s="3">
        <v>638</v>
      </c>
      <c r="B662" s="3">
        <v>1.0242391765639538</v>
      </c>
      <c r="C662" s="3">
        <v>-2.7239176563953804E-2</v>
      </c>
    </row>
    <row r="663" spans="1:3" x14ac:dyDescent="0.3">
      <c r="A663" s="3">
        <v>639</v>
      </c>
      <c r="B663" s="3">
        <v>1.0200427772709175</v>
      </c>
      <c r="C663" s="3">
        <v>-3.6342777270917503E-2</v>
      </c>
    </row>
    <row r="664" spans="1:3" x14ac:dyDescent="0.3">
      <c r="A664" s="3">
        <v>640</v>
      </c>
      <c r="B664" s="3">
        <v>1.0093096790791134</v>
      </c>
      <c r="C664" s="3">
        <v>-2.5709679079113368E-2</v>
      </c>
    </row>
    <row r="665" spans="1:3" x14ac:dyDescent="0.3">
      <c r="A665" s="3">
        <v>641</v>
      </c>
      <c r="B665" s="3">
        <v>1.0092289790927087</v>
      </c>
      <c r="C665" s="3">
        <v>-4.0228979092708728E-2</v>
      </c>
    </row>
    <row r="666" spans="1:3" x14ac:dyDescent="0.3">
      <c r="A666" s="3">
        <v>642</v>
      </c>
      <c r="B666" s="3">
        <v>0.99744678107764539</v>
      </c>
      <c r="C666" s="3">
        <v>-3.6846781077645385E-2</v>
      </c>
    </row>
    <row r="667" spans="1:3" x14ac:dyDescent="0.3">
      <c r="A667" s="3">
        <v>643</v>
      </c>
      <c r="B667" s="3">
        <v>0.99066798221966379</v>
      </c>
      <c r="C667" s="3">
        <v>-3.1467982219663737E-2</v>
      </c>
    </row>
    <row r="668" spans="1:3" x14ac:dyDescent="0.3">
      <c r="A668" s="3">
        <v>644</v>
      </c>
      <c r="B668" s="3">
        <v>0.98953818241000024</v>
      </c>
      <c r="C668" s="3">
        <v>-1.6138182410000201E-2</v>
      </c>
    </row>
    <row r="669" spans="1:3" x14ac:dyDescent="0.3">
      <c r="A669" s="3">
        <v>645</v>
      </c>
      <c r="B669" s="3">
        <v>1.0009975804794453</v>
      </c>
      <c r="C669" s="3">
        <v>-1.9597580479445265E-2</v>
      </c>
    </row>
    <row r="670" spans="1:3" x14ac:dyDescent="0.3">
      <c r="A670" s="3">
        <v>646</v>
      </c>
      <c r="B670" s="3">
        <v>1.0074535793918087</v>
      </c>
      <c r="C670" s="3">
        <v>-2.7553579391808691E-2</v>
      </c>
    </row>
    <row r="671" spans="1:3" x14ac:dyDescent="0.3">
      <c r="A671" s="3">
        <v>647</v>
      </c>
      <c r="B671" s="3">
        <v>1.0062430795957407</v>
      </c>
      <c r="C671" s="3">
        <v>-2.3843079595740613E-2</v>
      </c>
    </row>
    <row r="672" spans="1:3" x14ac:dyDescent="0.3">
      <c r="A672" s="3">
        <v>648</v>
      </c>
      <c r="B672" s="3">
        <v>1.0082605792558543</v>
      </c>
      <c r="C672" s="3">
        <v>-9.9605792558543627E-3</v>
      </c>
    </row>
    <row r="673" spans="1:3" x14ac:dyDescent="0.3">
      <c r="A673" s="3">
        <v>649</v>
      </c>
      <c r="B673" s="3">
        <v>1.0210918770941766</v>
      </c>
      <c r="C673" s="3">
        <v>-3.2891877094176625E-2</v>
      </c>
    </row>
    <row r="674" spans="1:3" x14ac:dyDescent="0.3">
      <c r="A674" s="3">
        <v>650</v>
      </c>
      <c r="B674" s="3">
        <v>1.0129411784673177</v>
      </c>
      <c r="C674" s="3">
        <v>-3.4141178467317679E-2</v>
      </c>
    </row>
    <row r="675" spans="1:3" x14ac:dyDescent="0.3">
      <c r="A675" s="3">
        <v>651</v>
      </c>
      <c r="B675" s="3">
        <v>1.0053553797452905</v>
      </c>
      <c r="C675" s="3">
        <v>-3.1255379745290579E-2</v>
      </c>
    </row>
    <row r="676" spans="1:3" x14ac:dyDescent="0.3">
      <c r="A676" s="3">
        <v>652</v>
      </c>
      <c r="B676" s="3">
        <v>1.0015624803842771</v>
      </c>
      <c r="C676" s="3">
        <v>-3.1562480384277114E-2</v>
      </c>
    </row>
    <row r="677" spans="1:3" x14ac:dyDescent="0.3">
      <c r="A677" s="3">
        <v>653</v>
      </c>
      <c r="B677" s="3">
        <v>0.99825378094169082</v>
      </c>
      <c r="C677" s="3">
        <v>-2.7953780941690765E-2</v>
      </c>
    </row>
    <row r="678" spans="1:3" x14ac:dyDescent="0.3">
      <c r="A678" s="3">
        <v>654</v>
      </c>
      <c r="B678" s="3">
        <v>0.99849588090090446</v>
      </c>
      <c r="C678" s="3">
        <v>-2.8095880900904424E-2</v>
      </c>
    </row>
    <row r="679" spans="1:3" x14ac:dyDescent="0.3">
      <c r="A679" s="3">
        <v>655</v>
      </c>
      <c r="B679" s="3">
        <v>0.99857658088730905</v>
      </c>
      <c r="C679" s="3">
        <v>-2.1276580887309104E-2</v>
      </c>
    </row>
    <row r="680" spans="1:3" x14ac:dyDescent="0.3">
      <c r="A680" s="3">
        <v>656</v>
      </c>
      <c r="B680" s="3">
        <v>1.0041448799492225</v>
      </c>
      <c r="C680" s="3">
        <v>-3.2244879949222538E-2</v>
      </c>
    </row>
    <row r="681" spans="1:3" x14ac:dyDescent="0.3">
      <c r="A681" s="3">
        <v>657</v>
      </c>
      <c r="B681" s="3">
        <v>0.99978708068337718</v>
      </c>
      <c r="C681" s="3">
        <v>-1.5987080683377175E-2</v>
      </c>
    </row>
    <row r="682" spans="1:3" x14ac:dyDescent="0.3">
      <c r="A682" s="3">
        <v>658</v>
      </c>
      <c r="B682" s="3">
        <v>1.0093903790655179</v>
      </c>
      <c r="C682" s="3">
        <v>-2.4190379065517909E-2</v>
      </c>
    </row>
    <row r="683" spans="1:3" x14ac:dyDescent="0.3">
      <c r="A683" s="3">
        <v>659</v>
      </c>
      <c r="B683" s="3">
        <v>1.0105201788751814</v>
      </c>
      <c r="C683" s="3">
        <v>-3.342017887518145E-2</v>
      </c>
    </row>
    <row r="684" spans="1:3" x14ac:dyDescent="0.3">
      <c r="A684" s="3">
        <v>660</v>
      </c>
      <c r="B684" s="3">
        <v>1.0039834799764134</v>
      </c>
      <c r="C684" s="3">
        <v>-2.5683479976413404E-2</v>
      </c>
    </row>
    <row r="685" spans="1:3" x14ac:dyDescent="0.3">
      <c r="A685" s="3">
        <v>661</v>
      </c>
      <c r="B685" s="3">
        <v>1.0049518798132677</v>
      </c>
      <c r="C685" s="3">
        <v>-1.8951879813267736E-2</v>
      </c>
    </row>
    <row r="686" spans="1:3" x14ac:dyDescent="0.3">
      <c r="A686" s="3">
        <v>662</v>
      </c>
      <c r="B686" s="3">
        <v>1.0111657787664177</v>
      </c>
      <c r="C686" s="3">
        <v>-2.3765778766417611E-2</v>
      </c>
    </row>
    <row r="687" spans="1:3" x14ac:dyDescent="0.3">
      <c r="A687" s="3">
        <v>663</v>
      </c>
      <c r="B687" s="3">
        <v>1.0122955785760814</v>
      </c>
      <c r="C687" s="3">
        <v>-1.5895578576081482E-2</v>
      </c>
    </row>
    <row r="688" spans="1:3" x14ac:dyDescent="0.3">
      <c r="A688" s="3">
        <v>664</v>
      </c>
      <c r="B688" s="3">
        <v>1.0195585773524902</v>
      </c>
      <c r="C688" s="3">
        <v>-1.1858577352490185E-2</v>
      </c>
    </row>
    <row r="689" spans="1:3" x14ac:dyDescent="0.3">
      <c r="A689" s="3">
        <v>665</v>
      </c>
      <c r="B689" s="3">
        <v>1.0286776758162035</v>
      </c>
      <c r="C689" s="3">
        <v>-3.2477675816203533E-2</v>
      </c>
    </row>
    <row r="690" spans="1:3" x14ac:dyDescent="0.3">
      <c r="A690" s="3">
        <v>666</v>
      </c>
      <c r="B690" s="3">
        <v>1.0193971773796813</v>
      </c>
      <c r="C690" s="3">
        <v>-2.3097177379681311E-2</v>
      </c>
    </row>
    <row r="691" spans="1:3" x14ac:dyDescent="0.3">
      <c r="A691" s="3">
        <v>667</v>
      </c>
      <c r="B691" s="3">
        <v>1.0194778773660857</v>
      </c>
      <c r="C691" s="3">
        <v>-3.1177877366085793E-2</v>
      </c>
    </row>
    <row r="692" spans="1:3" x14ac:dyDescent="0.3">
      <c r="A692" s="3">
        <v>668</v>
      </c>
      <c r="B692" s="3">
        <v>1.0130218784537222</v>
      </c>
      <c r="C692" s="3">
        <v>-2.5621878453722102E-2</v>
      </c>
    </row>
    <row r="693" spans="1:3" x14ac:dyDescent="0.3">
      <c r="A693" s="3">
        <v>669</v>
      </c>
      <c r="B693" s="3">
        <v>1.0122955785760814</v>
      </c>
      <c r="C693" s="3">
        <v>-3.0595578576081417E-2</v>
      </c>
    </row>
    <row r="694" spans="1:3" x14ac:dyDescent="0.3">
      <c r="A694" s="3">
        <v>670</v>
      </c>
      <c r="B694" s="3">
        <v>1.0076956793510226</v>
      </c>
      <c r="C694" s="3">
        <v>-3.2595679351022588E-2</v>
      </c>
    </row>
    <row r="695" spans="1:3" x14ac:dyDescent="0.3">
      <c r="A695" s="3">
        <v>671</v>
      </c>
      <c r="B695" s="3">
        <v>1.0023694802483225</v>
      </c>
      <c r="C695" s="3">
        <v>-6.3694802483225121E-3</v>
      </c>
    </row>
    <row r="696" spans="1:3" x14ac:dyDescent="0.3">
      <c r="A696" s="3">
        <v>672</v>
      </c>
      <c r="B696" s="3">
        <v>1.0192357774068721</v>
      </c>
      <c r="C696" s="3">
        <v>-1.7335777406872088E-2</v>
      </c>
    </row>
    <row r="697" spans="1:3" x14ac:dyDescent="0.3">
      <c r="A697" s="3">
        <v>673</v>
      </c>
      <c r="B697" s="3">
        <v>1.0239970766047402</v>
      </c>
      <c r="C697" s="3">
        <v>-1.6797076604740058E-2</v>
      </c>
    </row>
    <row r="698" spans="1:3" x14ac:dyDescent="0.3">
      <c r="A698" s="3">
        <v>674</v>
      </c>
      <c r="B698" s="3">
        <v>1.0282741758841811</v>
      </c>
      <c r="C698" s="3">
        <v>-2.7174175884181029E-2</v>
      </c>
    </row>
    <row r="699" spans="1:3" x14ac:dyDescent="0.3">
      <c r="A699" s="3">
        <v>675</v>
      </c>
      <c r="B699" s="3">
        <v>1.0233514767135037</v>
      </c>
      <c r="C699" s="3">
        <v>-2.551476713503753E-3</v>
      </c>
    </row>
    <row r="700" spans="1:3" x14ac:dyDescent="0.3">
      <c r="A700" s="3">
        <v>676</v>
      </c>
      <c r="B700" s="3">
        <v>1.0392493740351987</v>
      </c>
      <c r="C700" s="3">
        <v>-4.0493740351987828E-3</v>
      </c>
    </row>
    <row r="701" spans="1:3" x14ac:dyDescent="0.3">
      <c r="A701" s="3">
        <v>677</v>
      </c>
      <c r="B701" s="3">
        <v>1.0508701720774529</v>
      </c>
      <c r="C701" s="3">
        <v>-1.8370172077452951E-2</v>
      </c>
    </row>
    <row r="702" spans="1:3" x14ac:dyDescent="0.3">
      <c r="A702" s="3">
        <v>678</v>
      </c>
      <c r="B702" s="3">
        <v>1.0486912724445303</v>
      </c>
      <c r="C702" s="3">
        <v>-1.3891272444530367E-2</v>
      </c>
    </row>
    <row r="703" spans="1:3" x14ac:dyDescent="0.3">
      <c r="A703" s="3">
        <v>679</v>
      </c>
      <c r="B703" s="3">
        <v>1.0505473721318348</v>
      </c>
      <c r="C703" s="3">
        <v>-1.1347372131834899E-2</v>
      </c>
    </row>
    <row r="704" spans="1:3" x14ac:dyDescent="0.3">
      <c r="A704" s="3">
        <v>680</v>
      </c>
      <c r="B704" s="3">
        <v>1.0540981715336346</v>
      </c>
      <c r="C704" s="3">
        <v>-1.8098171533634577E-2</v>
      </c>
    </row>
    <row r="705" spans="1:3" x14ac:dyDescent="0.3">
      <c r="A705" s="3">
        <v>681</v>
      </c>
      <c r="B705" s="3">
        <v>1.0515157719686894</v>
      </c>
      <c r="C705" s="3">
        <v>-1.911577196868941E-2</v>
      </c>
    </row>
    <row r="706" spans="1:3" x14ac:dyDescent="0.3">
      <c r="A706" s="3">
        <v>682</v>
      </c>
      <c r="B706" s="3">
        <v>1.0486105724581258</v>
      </c>
      <c r="C706" s="3">
        <v>-2.4510572458125823E-2</v>
      </c>
    </row>
    <row r="707" spans="1:3" x14ac:dyDescent="0.3">
      <c r="A707" s="3">
        <v>683</v>
      </c>
      <c r="B707" s="3">
        <v>1.0419124735865486</v>
      </c>
      <c r="C707" s="3">
        <v>-1.1712473586548589E-2</v>
      </c>
    </row>
    <row r="708" spans="1:3" x14ac:dyDescent="0.3">
      <c r="A708" s="3">
        <v>684</v>
      </c>
      <c r="B708" s="3">
        <v>1.0468351727572258</v>
      </c>
      <c r="C708" s="3">
        <v>-7.3351727572257275E-3</v>
      </c>
    </row>
    <row r="709" spans="1:3" x14ac:dyDescent="0.3">
      <c r="A709" s="3">
        <v>685</v>
      </c>
      <c r="B709" s="3">
        <v>1.0543402714928485</v>
      </c>
      <c r="C709" s="3">
        <v>-1.3540271492848532E-2</v>
      </c>
    </row>
    <row r="710" spans="1:3" x14ac:dyDescent="0.3">
      <c r="A710" s="3">
        <v>686</v>
      </c>
      <c r="B710" s="3">
        <v>1.0553893713161073</v>
      </c>
      <c r="C710" s="3">
        <v>-1.5889371316107237E-2</v>
      </c>
    </row>
    <row r="711" spans="1:3" x14ac:dyDescent="0.3">
      <c r="A711" s="3">
        <v>687</v>
      </c>
      <c r="B711" s="3">
        <v>1.0543402714928485</v>
      </c>
      <c r="C711" s="3">
        <v>-2.0640271492848417E-2</v>
      </c>
    </row>
    <row r="712" spans="1:3" x14ac:dyDescent="0.3">
      <c r="A712" s="3">
        <v>688</v>
      </c>
      <c r="B712" s="3">
        <v>1.0496596722813849</v>
      </c>
      <c r="C712" s="3">
        <v>-1.6959672281384952E-2</v>
      </c>
    </row>
    <row r="713" spans="1:3" x14ac:dyDescent="0.3">
      <c r="A713" s="3">
        <v>689</v>
      </c>
      <c r="B713" s="3">
        <v>1.0488526724173393</v>
      </c>
      <c r="C713" s="3">
        <v>-8.3526724173392797E-3</v>
      </c>
    </row>
    <row r="714" spans="1:3" x14ac:dyDescent="0.3">
      <c r="A714" s="3">
        <v>690</v>
      </c>
      <c r="B714" s="3">
        <v>1.0551472713568937</v>
      </c>
      <c r="C714" s="3">
        <v>-2.9472713568936548E-3</v>
      </c>
    </row>
    <row r="715" spans="1:3" x14ac:dyDescent="0.3">
      <c r="A715" s="3">
        <v>691</v>
      </c>
      <c r="B715" s="3">
        <v>1.0645891697662253</v>
      </c>
      <c r="C715" s="3">
        <v>-1.0789169766225237E-2</v>
      </c>
    </row>
    <row r="716" spans="1:3" x14ac:dyDescent="0.3">
      <c r="A716" s="3">
        <v>692</v>
      </c>
      <c r="B716" s="3">
        <v>1.065880369548698</v>
      </c>
      <c r="C716" s="3">
        <v>-1.6780369548698104E-2</v>
      </c>
    </row>
    <row r="717" spans="1:3" x14ac:dyDescent="0.3">
      <c r="A717" s="3">
        <v>693</v>
      </c>
      <c r="B717" s="3">
        <v>1.0620874701876843</v>
      </c>
      <c r="C717" s="3">
        <v>-1.5187470187684404E-2</v>
      </c>
    </row>
    <row r="718" spans="1:3" x14ac:dyDescent="0.3">
      <c r="A718" s="3">
        <v>694</v>
      </c>
      <c r="B718" s="3">
        <v>1.0603120704867846</v>
      </c>
      <c r="C718" s="3">
        <v>-9.8120704867845632E-3</v>
      </c>
    </row>
    <row r="719" spans="1:3" x14ac:dyDescent="0.3">
      <c r="A719" s="3">
        <v>695</v>
      </c>
      <c r="B719" s="3">
        <v>1.0632172699973481</v>
      </c>
      <c r="C719" s="3">
        <v>-7.6172699973480196E-3</v>
      </c>
    </row>
    <row r="720" spans="1:3" x14ac:dyDescent="0.3">
      <c r="A720" s="3">
        <v>696</v>
      </c>
      <c r="B720" s="3">
        <v>1.0673329693039797</v>
      </c>
      <c r="C720" s="3">
        <v>-1.4332969303979759E-2</v>
      </c>
    </row>
    <row r="721" spans="1:3" x14ac:dyDescent="0.3">
      <c r="A721" s="3">
        <v>697</v>
      </c>
      <c r="B721" s="3">
        <v>1.0652347696574616</v>
      </c>
      <c r="C721" s="3">
        <v>-1.1734769657461452E-2</v>
      </c>
    </row>
    <row r="722" spans="1:3" x14ac:dyDescent="0.3">
      <c r="A722" s="3">
        <v>698</v>
      </c>
      <c r="B722" s="3">
        <v>1.0656382695894844</v>
      </c>
      <c r="C722" s="3">
        <v>-2.6382695894844321E-3</v>
      </c>
    </row>
    <row r="723" spans="1:3" x14ac:dyDescent="0.3">
      <c r="A723" s="3">
        <v>699</v>
      </c>
      <c r="B723" s="3">
        <v>1.0733047682979158</v>
      </c>
      <c r="C723" s="3">
        <v>-5.1047682979157294E-3</v>
      </c>
    </row>
    <row r="724" spans="1:3" x14ac:dyDescent="0.3">
      <c r="A724" s="3">
        <v>700</v>
      </c>
      <c r="B724" s="3">
        <v>1.0775011675909523</v>
      </c>
      <c r="C724" s="3">
        <v>-1.490116759095228E-2</v>
      </c>
    </row>
    <row r="725" spans="1:3" x14ac:dyDescent="0.3">
      <c r="A725" s="3">
        <v>701</v>
      </c>
      <c r="B725" s="3">
        <v>1.0729819683522979</v>
      </c>
      <c r="C725" s="3">
        <v>-1.4781968352297836E-2</v>
      </c>
    </row>
    <row r="726" spans="1:3" x14ac:dyDescent="0.3">
      <c r="A726" s="3">
        <v>702</v>
      </c>
      <c r="B726" s="3">
        <v>1.0694311689504978</v>
      </c>
      <c r="C726" s="3">
        <v>-8.9311689504978364E-3</v>
      </c>
    </row>
    <row r="727" spans="1:3" x14ac:dyDescent="0.3">
      <c r="A727" s="3">
        <v>703</v>
      </c>
      <c r="B727" s="3">
        <v>1.0712872686378023</v>
      </c>
      <c r="C727" s="3">
        <v>-9.1872686378022816E-3</v>
      </c>
    </row>
    <row r="728" spans="1:3" x14ac:dyDescent="0.3">
      <c r="A728" s="3">
        <v>704</v>
      </c>
      <c r="B728" s="3">
        <v>1.072578468420275</v>
      </c>
      <c r="C728" s="3">
        <v>-1.2278468420275024E-2</v>
      </c>
    </row>
    <row r="729" spans="1:3" x14ac:dyDescent="0.3">
      <c r="A729" s="3">
        <v>705</v>
      </c>
      <c r="B729" s="3">
        <v>1.0711258686649932</v>
      </c>
      <c r="C729" s="3">
        <v>-1.1825868664993244E-2</v>
      </c>
    </row>
    <row r="730" spans="1:3" x14ac:dyDescent="0.3">
      <c r="A730" s="3">
        <v>706</v>
      </c>
      <c r="B730" s="3">
        <v>1.070318868800948</v>
      </c>
      <c r="C730" s="3">
        <v>-8.9188688009480543E-3</v>
      </c>
    </row>
    <row r="731" spans="1:3" x14ac:dyDescent="0.3">
      <c r="A731" s="3">
        <v>707</v>
      </c>
      <c r="B731" s="3">
        <v>1.0720135685154433</v>
      </c>
      <c r="C731" s="3">
        <v>-8.5135685154433816E-3</v>
      </c>
    </row>
    <row r="732" spans="1:3" x14ac:dyDescent="0.3">
      <c r="A732" s="3">
        <v>708</v>
      </c>
      <c r="B732" s="3">
        <v>1.0737082682299386</v>
      </c>
      <c r="C732" s="3">
        <v>-9.9082682299385105E-3</v>
      </c>
    </row>
    <row r="733" spans="1:3" x14ac:dyDescent="0.3">
      <c r="A733" s="3">
        <v>709</v>
      </c>
      <c r="B733" s="3">
        <v>1.0739503681891525</v>
      </c>
      <c r="C733" s="3">
        <v>-1.3150368189152495E-2</v>
      </c>
    </row>
    <row r="734" spans="1:3" x14ac:dyDescent="0.3">
      <c r="A734" s="3">
        <v>710</v>
      </c>
      <c r="B734" s="3">
        <v>1.071529368597016</v>
      </c>
      <c r="C734" s="3">
        <v>-5.4293685970159267E-3</v>
      </c>
    </row>
    <row r="735" spans="1:3" x14ac:dyDescent="0.3">
      <c r="A735" s="3">
        <v>711</v>
      </c>
      <c r="B735" s="3">
        <v>1.0758064678764567</v>
      </c>
      <c r="C735" s="3">
        <v>-5.6064678764566889E-3</v>
      </c>
    </row>
    <row r="736" spans="1:3" x14ac:dyDescent="0.3">
      <c r="A736" s="3">
        <v>712</v>
      </c>
      <c r="B736" s="3">
        <v>1.0791151673190431</v>
      </c>
      <c r="C736" s="3">
        <v>2.5284832680956937E-2</v>
      </c>
    </row>
    <row r="737" spans="1:3" x14ac:dyDescent="0.3">
      <c r="A737" s="3">
        <v>713</v>
      </c>
      <c r="B737" s="3">
        <v>1.1067145626693968</v>
      </c>
      <c r="C737" s="3">
        <v>-4.0514562669396792E-2</v>
      </c>
    </row>
    <row r="738" spans="1:3" x14ac:dyDescent="0.3">
      <c r="A738" s="3">
        <v>714</v>
      </c>
      <c r="B738" s="3">
        <v>1.0758871678628612</v>
      </c>
      <c r="C738" s="3">
        <v>-2.1287167862861223E-2</v>
      </c>
    </row>
    <row r="739" spans="1:3" x14ac:dyDescent="0.3">
      <c r="A739" s="3">
        <v>715</v>
      </c>
      <c r="B739" s="3">
        <v>1.0665259694399343</v>
      </c>
      <c r="C739" s="3">
        <v>-6.6259694399342095E-3</v>
      </c>
    </row>
    <row r="740" spans="1:3" x14ac:dyDescent="0.3">
      <c r="A740" s="3">
        <v>716</v>
      </c>
      <c r="B740" s="3">
        <v>1.0708030687193753</v>
      </c>
      <c r="C740" s="3">
        <v>-1.8803068719375204E-2</v>
      </c>
    </row>
    <row r="741" spans="1:3" x14ac:dyDescent="0.3">
      <c r="A741" s="3">
        <v>717</v>
      </c>
      <c r="B741" s="3">
        <v>1.0644277697934164</v>
      </c>
      <c r="C741" s="3">
        <v>-2.7769793416343447E-5</v>
      </c>
    </row>
    <row r="742" spans="1:3" x14ac:dyDescent="0.3">
      <c r="A742" s="3">
        <v>718</v>
      </c>
      <c r="B742" s="3">
        <v>1.0744345681075795</v>
      </c>
      <c r="C742" s="3">
        <v>-1.6345681075795593E-3</v>
      </c>
    </row>
    <row r="743" spans="1:3" x14ac:dyDescent="0.3">
      <c r="A743" s="3">
        <v>719</v>
      </c>
      <c r="B743" s="3">
        <v>1.081213366965561</v>
      </c>
      <c r="C743" s="3">
        <v>-7.8133669655611193E-3</v>
      </c>
    </row>
    <row r="744" spans="1:3" x14ac:dyDescent="0.3">
      <c r="A744" s="3">
        <v>720</v>
      </c>
      <c r="B744" s="3">
        <v>1.0816975668839883</v>
      </c>
      <c r="C744" s="3">
        <v>-6.1975668839884257E-3</v>
      </c>
    </row>
    <row r="745" spans="1:3" x14ac:dyDescent="0.3">
      <c r="A745" s="3">
        <v>721</v>
      </c>
      <c r="B745" s="3">
        <v>1.0833922665984836</v>
      </c>
      <c r="C745" s="3">
        <v>1.2077334015163643E-3</v>
      </c>
    </row>
    <row r="746" spans="1:3" x14ac:dyDescent="0.3">
      <c r="A746" s="3">
        <v>722</v>
      </c>
      <c r="B746" s="3">
        <v>1.0907359653612971</v>
      </c>
      <c r="C746" s="3">
        <v>-7.9359653612971481E-3</v>
      </c>
    </row>
    <row r="747" spans="1:3" x14ac:dyDescent="0.3">
      <c r="A747" s="3">
        <v>723</v>
      </c>
      <c r="B747" s="3">
        <v>1.0892833656060155</v>
      </c>
      <c r="C747" s="3">
        <v>-7.6833656060155686E-3</v>
      </c>
    </row>
    <row r="748" spans="1:3" x14ac:dyDescent="0.3">
      <c r="A748" s="3">
        <v>724</v>
      </c>
      <c r="B748" s="3">
        <v>1.0883149657691609</v>
      </c>
      <c r="C748" s="3">
        <v>-9.514965769160888E-3</v>
      </c>
    </row>
    <row r="749" spans="1:3" x14ac:dyDescent="0.3">
      <c r="A749" s="3">
        <v>725</v>
      </c>
      <c r="B749" s="3">
        <v>1.0860553661498338</v>
      </c>
      <c r="C749" s="3">
        <v>-6.8553661498338414E-3</v>
      </c>
    </row>
    <row r="750" spans="1:3" x14ac:dyDescent="0.3">
      <c r="A750" s="3">
        <v>726</v>
      </c>
      <c r="B750" s="3">
        <v>1.0863781660954519</v>
      </c>
      <c r="C750" s="3">
        <v>-3.6781660954519069E-3</v>
      </c>
    </row>
    <row r="751" spans="1:3" x14ac:dyDescent="0.3">
      <c r="A751" s="3">
        <v>727</v>
      </c>
      <c r="B751" s="3">
        <v>1.089202665619611</v>
      </c>
      <c r="C751" s="3">
        <v>-3.7026656196110785E-3</v>
      </c>
    </row>
    <row r="752" spans="1:3" x14ac:dyDescent="0.3">
      <c r="A752" s="3">
        <v>728</v>
      </c>
      <c r="B752" s="3">
        <v>1.0914622652389381</v>
      </c>
      <c r="C752" s="3">
        <v>-4.6622652389380903E-3</v>
      </c>
    </row>
    <row r="753" spans="1:3" x14ac:dyDescent="0.3">
      <c r="A753" s="3">
        <v>729</v>
      </c>
      <c r="B753" s="3">
        <v>1.0925113650621974</v>
      </c>
      <c r="C753" s="3">
        <v>-4.0113650621973473E-3</v>
      </c>
    </row>
    <row r="754" spans="1:3" x14ac:dyDescent="0.3">
      <c r="A754" s="3">
        <v>730</v>
      </c>
      <c r="B754" s="3">
        <v>1.0938832648310743</v>
      </c>
      <c r="C754" s="3">
        <v>-2.3832648310744275E-3</v>
      </c>
    </row>
    <row r="755" spans="1:3" x14ac:dyDescent="0.3">
      <c r="A755" s="3">
        <v>731</v>
      </c>
      <c r="B755" s="3">
        <v>1.0963042644232108</v>
      </c>
      <c r="C755" s="3">
        <v>-7.404264423210849E-3</v>
      </c>
    </row>
    <row r="756" spans="1:3" x14ac:dyDescent="0.3">
      <c r="A756" s="3">
        <v>732</v>
      </c>
      <c r="B756" s="3">
        <v>1.0942060647766927</v>
      </c>
      <c r="C756" s="3">
        <v>-7.5060647766926891E-3</v>
      </c>
    </row>
    <row r="757" spans="1:3" x14ac:dyDescent="0.3">
      <c r="A757" s="3">
        <v>733</v>
      </c>
      <c r="B757" s="3">
        <v>1.0924306650757927</v>
      </c>
      <c r="C757" s="3">
        <v>-8.0306650757926423E-3</v>
      </c>
    </row>
    <row r="758" spans="1:3" x14ac:dyDescent="0.3">
      <c r="A758" s="3">
        <v>734</v>
      </c>
      <c r="B758" s="3">
        <v>1.0905745653884882</v>
      </c>
      <c r="C758" s="3">
        <v>-4.3745653884881275E-3</v>
      </c>
    </row>
    <row r="759" spans="1:3" x14ac:dyDescent="0.3">
      <c r="A759" s="3">
        <v>735</v>
      </c>
      <c r="B759" s="3">
        <v>1.0920271651437701</v>
      </c>
      <c r="C759" s="3">
        <v>6.8728348562299146E-3</v>
      </c>
    </row>
    <row r="760" spans="1:3" x14ac:dyDescent="0.3">
      <c r="A760" s="3">
        <v>736</v>
      </c>
      <c r="B760" s="3">
        <v>1.1022760634171469</v>
      </c>
      <c r="C760" s="3">
        <v>-1.1276063417146931E-2</v>
      </c>
    </row>
    <row r="761" spans="1:3" x14ac:dyDescent="0.3">
      <c r="A761" s="3">
        <v>737</v>
      </c>
      <c r="B761" s="3">
        <v>1.095900764491188</v>
      </c>
      <c r="C761" s="3">
        <v>-1.660076449118808E-2</v>
      </c>
    </row>
    <row r="762" spans="1:3" x14ac:dyDescent="0.3">
      <c r="A762" s="3">
        <v>738</v>
      </c>
      <c r="B762" s="3">
        <v>1.0864588660818564</v>
      </c>
      <c r="C762" s="3">
        <v>-1.3458866081856424E-2</v>
      </c>
    </row>
    <row r="763" spans="1:3" x14ac:dyDescent="0.3">
      <c r="A763" s="3">
        <v>739</v>
      </c>
      <c r="B763" s="3">
        <v>1.0813747669383702</v>
      </c>
      <c r="C763" s="3">
        <v>-9.0747669383701712E-3</v>
      </c>
    </row>
    <row r="764" spans="1:3" x14ac:dyDescent="0.3">
      <c r="A764" s="3">
        <v>740</v>
      </c>
      <c r="B764" s="3">
        <v>1.0808098670335387</v>
      </c>
      <c r="C764" s="3">
        <v>-9.9098670335386885E-3</v>
      </c>
    </row>
    <row r="765" spans="1:3" x14ac:dyDescent="0.3">
      <c r="A765" s="3">
        <v>741</v>
      </c>
      <c r="B765" s="3">
        <v>1.0796800672238749</v>
      </c>
      <c r="C765" s="3">
        <v>-6.0800672238747744E-3</v>
      </c>
    </row>
    <row r="766" spans="1:3" x14ac:dyDescent="0.3">
      <c r="A766" s="3">
        <v>742</v>
      </c>
      <c r="B766" s="3">
        <v>1.0818589668567977</v>
      </c>
      <c r="C766" s="3">
        <v>-1.4358966856797828E-2</v>
      </c>
    </row>
    <row r="767" spans="1:3" x14ac:dyDescent="0.3">
      <c r="A767" s="3">
        <v>743</v>
      </c>
      <c r="B767" s="3">
        <v>1.0769362676861203</v>
      </c>
      <c r="C767" s="3">
        <v>-4.9362676861202104E-3</v>
      </c>
    </row>
    <row r="768" spans="1:3" x14ac:dyDescent="0.3">
      <c r="A768" s="3">
        <v>744</v>
      </c>
      <c r="B768" s="3">
        <v>1.0805677670743248</v>
      </c>
      <c r="C768" s="3">
        <v>-7.0677670743248822E-3</v>
      </c>
    </row>
    <row r="769" spans="1:3" x14ac:dyDescent="0.3">
      <c r="A769" s="3">
        <v>745</v>
      </c>
      <c r="B769" s="3">
        <v>1.0817782668703928</v>
      </c>
      <c r="C769" s="3">
        <v>-1.287826687039284E-2</v>
      </c>
    </row>
    <row r="770" spans="1:3" x14ac:dyDescent="0.3">
      <c r="A770" s="3">
        <v>746</v>
      </c>
      <c r="B770" s="3">
        <v>1.0780660674957838</v>
      </c>
      <c r="C770" s="3">
        <v>-1.1266067495783849E-2</v>
      </c>
    </row>
    <row r="771" spans="1:3" x14ac:dyDescent="0.3">
      <c r="A771" s="3">
        <v>747</v>
      </c>
      <c r="B771" s="3">
        <v>1.0763713677812885</v>
      </c>
      <c r="C771" s="3">
        <v>-6.9713677812885955E-3</v>
      </c>
    </row>
    <row r="772" spans="1:3" x14ac:dyDescent="0.3">
      <c r="A772" s="3">
        <v>748</v>
      </c>
      <c r="B772" s="3">
        <v>1.0784695674278066</v>
      </c>
      <c r="C772" s="3">
        <v>-1.0269567427806603E-2</v>
      </c>
    </row>
    <row r="773" spans="1:3" x14ac:dyDescent="0.3">
      <c r="A773" s="3">
        <v>749</v>
      </c>
      <c r="B773" s="3">
        <v>1.0775011675909523</v>
      </c>
      <c r="C773" s="3">
        <v>-1.2901167590952278E-2</v>
      </c>
    </row>
    <row r="774" spans="1:3" x14ac:dyDescent="0.3">
      <c r="A774" s="3">
        <v>750</v>
      </c>
      <c r="B774" s="3">
        <v>1.0745959680803887</v>
      </c>
      <c r="C774" s="3">
        <v>-1.4495968080388666E-2</v>
      </c>
    </row>
    <row r="775" spans="1:3" x14ac:dyDescent="0.3">
      <c r="A775" s="3">
        <v>751</v>
      </c>
      <c r="B775" s="3">
        <v>1.0709644686921842</v>
      </c>
      <c r="C775" s="3">
        <v>-1.1464468692184093E-2</v>
      </c>
    </row>
    <row r="776" spans="1:3" x14ac:dyDescent="0.3">
      <c r="A776" s="3">
        <v>752</v>
      </c>
      <c r="B776" s="3">
        <v>1.0704802687737569</v>
      </c>
      <c r="C776" s="3">
        <v>-1.5880268773756923E-2</v>
      </c>
    </row>
    <row r="777" spans="1:3" x14ac:dyDescent="0.3">
      <c r="A777" s="3">
        <v>753</v>
      </c>
      <c r="B777" s="3">
        <v>1.0665259694399343</v>
      </c>
      <c r="C777" s="3">
        <v>-5.8259694399342976E-3</v>
      </c>
    </row>
    <row r="778" spans="1:3" x14ac:dyDescent="0.3">
      <c r="A778" s="3">
        <v>754</v>
      </c>
      <c r="B778" s="3">
        <v>1.0714486686106115</v>
      </c>
      <c r="C778" s="3">
        <v>-1.3848668610611403E-2</v>
      </c>
    </row>
    <row r="779" spans="1:3" x14ac:dyDescent="0.3">
      <c r="A779" s="3">
        <v>755</v>
      </c>
      <c r="B779" s="3">
        <v>1.0689469690320708</v>
      </c>
      <c r="C779" s="3">
        <v>-2.446969032070756E-3</v>
      </c>
    </row>
    <row r="780" spans="1:3" x14ac:dyDescent="0.3">
      <c r="A780" s="3">
        <v>756</v>
      </c>
      <c r="B780" s="3">
        <v>1.0761292678220751</v>
      </c>
      <c r="C780" s="3">
        <v>-1.6529267822074978E-2</v>
      </c>
    </row>
    <row r="781" spans="1:3" x14ac:dyDescent="0.3">
      <c r="A781" s="3">
        <v>757</v>
      </c>
      <c r="B781" s="3">
        <v>1.0705609687601616</v>
      </c>
      <c r="C781" s="3">
        <v>-7.3609687601616791E-3</v>
      </c>
    </row>
    <row r="782" spans="1:3" x14ac:dyDescent="0.3">
      <c r="A782" s="3">
        <v>758</v>
      </c>
      <c r="B782" s="3">
        <v>1.0734661682707249</v>
      </c>
      <c r="C782" s="3">
        <v>-5.6661682707248584E-3</v>
      </c>
    </row>
    <row r="783" spans="1:3" x14ac:dyDescent="0.3">
      <c r="A783" s="3">
        <v>759</v>
      </c>
      <c r="B783" s="3">
        <v>1.0771783676453341</v>
      </c>
      <c r="C783" s="3">
        <v>-2.2478367645334174E-2</v>
      </c>
    </row>
    <row r="784" spans="1:3" x14ac:dyDescent="0.3">
      <c r="A784" s="3">
        <v>760</v>
      </c>
      <c r="B784" s="3">
        <v>1.066606669426339</v>
      </c>
      <c r="C784" s="3">
        <v>-1.2206669426338967E-2</v>
      </c>
    </row>
    <row r="785" spans="1:3" x14ac:dyDescent="0.3">
      <c r="A785" s="3">
        <v>761</v>
      </c>
      <c r="B785" s="3">
        <v>1.0663645694671251</v>
      </c>
      <c r="C785" s="3">
        <v>-8.3645694671250492E-3</v>
      </c>
    </row>
    <row r="786" spans="1:3" x14ac:dyDescent="0.3">
      <c r="A786" s="3">
        <v>762</v>
      </c>
      <c r="B786" s="3">
        <v>1.0692697689776889</v>
      </c>
      <c r="C786" s="3">
        <v>-4.9697689776888598E-3</v>
      </c>
    </row>
    <row r="787" spans="1:3" x14ac:dyDescent="0.3">
      <c r="A787" s="3">
        <v>763</v>
      </c>
      <c r="B787" s="3">
        <v>1.0743538681211751</v>
      </c>
      <c r="C787" s="3">
        <v>-1.4538681211750948E-3</v>
      </c>
    </row>
    <row r="788" spans="1:3" x14ac:dyDescent="0.3">
      <c r="A788" s="3">
        <v>764</v>
      </c>
      <c r="B788" s="3">
        <v>1.0812940669519657</v>
      </c>
      <c r="C788" s="3">
        <v>-8.0940669519657948E-3</v>
      </c>
    </row>
    <row r="789" spans="1:3" x14ac:dyDescent="0.3">
      <c r="A789" s="3">
        <v>765</v>
      </c>
      <c r="B789" s="3">
        <v>1.0815361669111794</v>
      </c>
      <c r="C789" s="3">
        <v>-2.4036166911179269E-2</v>
      </c>
    </row>
    <row r="790" spans="1:3" x14ac:dyDescent="0.3">
      <c r="A790" s="3">
        <v>766</v>
      </c>
      <c r="B790" s="3">
        <v>1.0688662690456661</v>
      </c>
      <c r="C790" s="3">
        <v>-8.3662690456660638E-3</v>
      </c>
    </row>
    <row r="791" spans="1:3" x14ac:dyDescent="0.3">
      <c r="A791" s="3">
        <v>767</v>
      </c>
      <c r="B791" s="3">
        <v>1.0712872686378023</v>
      </c>
      <c r="C791" s="3">
        <v>-4.6872686378023332E-3</v>
      </c>
    </row>
    <row r="792" spans="1:3" x14ac:dyDescent="0.3">
      <c r="A792" s="3">
        <v>768</v>
      </c>
      <c r="B792" s="3">
        <v>1.0762099678084796</v>
      </c>
      <c r="C792" s="3">
        <v>-4.3099678084794757E-3</v>
      </c>
    </row>
    <row r="793" spans="1:3" x14ac:dyDescent="0.3">
      <c r="A793" s="3">
        <v>769</v>
      </c>
      <c r="B793" s="3">
        <v>1.0804870670879203</v>
      </c>
      <c r="C793" s="3">
        <v>-3.787067087920315E-3</v>
      </c>
    </row>
    <row r="794" spans="1:3" x14ac:dyDescent="0.3">
      <c r="A794" s="3">
        <v>770</v>
      </c>
      <c r="B794" s="3">
        <v>1.0843606664353382</v>
      </c>
      <c r="C794" s="3">
        <v>1.1393335646616709E-3</v>
      </c>
    </row>
    <row r="795" spans="1:3" x14ac:dyDescent="0.3">
      <c r="A795" s="3">
        <v>771</v>
      </c>
      <c r="B795" s="3">
        <v>1.0914622652389381</v>
      </c>
      <c r="C795" s="3">
        <v>-8.4622652389381159E-3</v>
      </c>
    </row>
    <row r="796" spans="1:3" x14ac:dyDescent="0.3">
      <c r="A796" s="3">
        <v>772</v>
      </c>
      <c r="B796" s="3">
        <v>1.0894447655788246</v>
      </c>
      <c r="C796" s="3">
        <v>-1.3544765578824558E-2</v>
      </c>
    </row>
    <row r="797" spans="1:3" x14ac:dyDescent="0.3">
      <c r="A797" s="3">
        <v>773</v>
      </c>
      <c r="B797" s="3">
        <v>1.083715066544102</v>
      </c>
      <c r="C797" s="3">
        <v>-4.1150665441020973E-3</v>
      </c>
    </row>
    <row r="798" spans="1:3" x14ac:dyDescent="0.3">
      <c r="A798" s="3">
        <v>774</v>
      </c>
      <c r="B798" s="3">
        <v>1.08670096604107</v>
      </c>
      <c r="C798" s="3">
        <v>-2.4009660410699851E-3</v>
      </c>
    </row>
    <row r="799" spans="1:3" x14ac:dyDescent="0.3">
      <c r="A799" s="3">
        <v>775</v>
      </c>
      <c r="B799" s="3">
        <v>1.0904938654020837</v>
      </c>
      <c r="C799" s="3">
        <v>-6.1938654020836648E-3</v>
      </c>
    </row>
    <row r="800" spans="1:3" x14ac:dyDescent="0.3">
      <c r="A800" s="3">
        <v>776</v>
      </c>
      <c r="B800" s="3">
        <v>1.0904938654020837</v>
      </c>
      <c r="C800" s="3">
        <v>-3.9386540208363741E-4</v>
      </c>
    </row>
    <row r="801" spans="1:3" x14ac:dyDescent="0.3">
      <c r="A801" s="3">
        <v>777</v>
      </c>
      <c r="B801" s="3">
        <v>1.0951744646135473</v>
      </c>
      <c r="C801" s="3">
        <v>-1.1274464613547197E-2</v>
      </c>
    </row>
    <row r="802" spans="1:3" x14ac:dyDescent="0.3">
      <c r="A802" s="3">
        <v>778</v>
      </c>
      <c r="B802" s="3">
        <v>1.0901710654564656</v>
      </c>
      <c r="C802" s="3">
        <v>-6.7106545646566929E-4</v>
      </c>
    </row>
    <row r="803" spans="1:3" x14ac:dyDescent="0.3">
      <c r="A803" s="3">
        <v>779</v>
      </c>
      <c r="B803" s="3">
        <v>1.09469026469512</v>
      </c>
      <c r="C803" s="3">
        <v>5.0973530487996577E-4</v>
      </c>
    </row>
    <row r="804" spans="1:3" x14ac:dyDescent="0.3">
      <c r="A804" s="3">
        <v>780</v>
      </c>
      <c r="B804" s="3">
        <v>1.0992901639201789</v>
      </c>
      <c r="C804" s="3">
        <v>-8.9901639201788175E-3</v>
      </c>
    </row>
    <row r="805" spans="1:3" x14ac:dyDescent="0.3">
      <c r="A805" s="3">
        <v>781</v>
      </c>
      <c r="B805" s="3">
        <v>1.0953358645863562</v>
      </c>
      <c r="C805" s="3">
        <v>-3.335864586356152E-3</v>
      </c>
    </row>
    <row r="806" spans="1:3" x14ac:dyDescent="0.3">
      <c r="A806" s="3">
        <v>782</v>
      </c>
      <c r="B806" s="3">
        <v>1.0967077643552336</v>
      </c>
      <c r="C806" s="3">
        <v>-7.0077643552337587E-3</v>
      </c>
    </row>
    <row r="807" spans="1:3" x14ac:dyDescent="0.3">
      <c r="A807" s="3">
        <v>783</v>
      </c>
      <c r="B807" s="3">
        <v>1.0948516646679289</v>
      </c>
      <c r="C807" s="3">
        <v>-8.9516646679288492E-3</v>
      </c>
    </row>
    <row r="808" spans="1:3" x14ac:dyDescent="0.3">
      <c r="A808" s="3">
        <v>784</v>
      </c>
      <c r="B808" s="3">
        <v>1.0917850651845564</v>
      </c>
      <c r="C808" s="3">
        <v>-7.8506518455645491E-4</v>
      </c>
    </row>
    <row r="809" spans="1:3" x14ac:dyDescent="0.3">
      <c r="A809" s="3">
        <v>785</v>
      </c>
      <c r="B809" s="3">
        <v>1.095900764491188</v>
      </c>
      <c r="C809" s="3">
        <v>2.9992355088119815E-3</v>
      </c>
    </row>
    <row r="810" spans="1:3" x14ac:dyDescent="0.3">
      <c r="A810" s="3">
        <v>786</v>
      </c>
      <c r="B810" s="3">
        <v>1.1022760634171469</v>
      </c>
      <c r="C810" s="3">
        <v>2.1239365828531476E-3</v>
      </c>
    </row>
    <row r="811" spans="1:3" x14ac:dyDescent="0.3">
      <c r="A811" s="3">
        <v>787</v>
      </c>
      <c r="B811" s="3">
        <v>1.1067145626693968</v>
      </c>
      <c r="C811" s="3">
        <v>-6.7145626693967397E-3</v>
      </c>
    </row>
    <row r="812" spans="1:3" x14ac:dyDescent="0.3">
      <c r="A812" s="3">
        <v>788</v>
      </c>
      <c r="B812" s="3">
        <v>1.103163763267597</v>
      </c>
      <c r="C812" s="3">
        <v>-1.0563763267597004E-2</v>
      </c>
    </row>
    <row r="813" spans="1:3" x14ac:dyDescent="0.3">
      <c r="A813" s="3">
        <v>789</v>
      </c>
      <c r="B813" s="3">
        <v>1.0971919642736607</v>
      </c>
      <c r="C813" s="3">
        <v>-9.1964273660760654E-5</v>
      </c>
    </row>
    <row r="814" spans="1:3" x14ac:dyDescent="0.3">
      <c r="A814" s="3">
        <v>790</v>
      </c>
      <c r="B814" s="3">
        <v>1.100823463661865</v>
      </c>
      <c r="C814" s="3">
        <v>-5.42346366186508E-3</v>
      </c>
    </row>
    <row r="815" spans="1:3" x14ac:dyDescent="0.3">
      <c r="A815" s="3">
        <v>791</v>
      </c>
      <c r="B815" s="3">
        <v>1.099451563892988</v>
      </c>
      <c r="C815" s="3">
        <v>-2.7515638929880293E-3</v>
      </c>
    </row>
    <row r="816" spans="1:3" x14ac:dyDescent="0.3">
      <c r="A816" s="3">
        <v>792</v>
      </c>
      <c r="B816" s="3">
        <v>1.1005006637162471</v>
      </c>
      <c r="C816" s="3">
        <v>-1.8006637162470973E-3</v>
      </c>
    </row>
    <row r="817" spans="1:3" x14ac:dyDescent="0.3">
      <c r="A817" s="3">
        <v>793</v>
      </c>
      <c r="B817" s="3">
        <v>1.1021146634443379</v>
      </c>
      <c r="C817" s="3">
        <v>1.9853365556621316E-3</v>
      </c>
    </row>
    <row r="818" spans="1:3" x14ac:dyDescent="0.3">
      <c r="A818" s="3">
        <v>794</v>
      </c>
      <c r="B818" s="3">
        <v>1.1064724627101832</v>
      </c>
      <c r="C818" s="3">
        <v>-9.2724627101832269E-3</v>
      </c>
    </row>
    <row r="819" spans="1:3" x14ac:dyDescent="0.3">
      <c r="A819" s="3">
        <v>795</v>
      </c>
      <c r="B819" s="3">
        <v>1.1009041636482697</v>
      </c>
      <c r="C819" s="3">
        <v>3.0958363517303855E-3</v>
      </c>
    </row>
    <row r="820" spans="1:3" x14ac:dyDescent="0.3">
      <c r="A820" s="3">
        <v>796</v>
      </c>
      <c r="B820" s="3">
        <v>1.1063917627237787</v>
      </c>
      <c r="C820" s="3">
        <v>-3.691762723778691E-3</v>
      </c>
    </row>
    <row r="821" spans="1:3" x14ac:dyDescent="0.3">
      <c r="A821" s="3">
        <v>797</v>
      </c>
      <c r="B821" s="3">
        <v>1.1053426629005196</v>
      </c>
      <c r="C821" s="3">
        <v>-3.3426629005195441E-3</v>
      </c>
    </row>
    <row r="822" spans="1:3" x14ac:dyDescent="0.3">
      <c r="A822" s="3">
        <v>798</v>
      </c>
      <c r="B822" s="3">
        <v>1.1047777629956879</v>
      </c>
      <c r="C822" s="3">
        <v>-7.2777629956879419E-3</v>
      </c>
    </row>
    <row r="823" spans="1:3" x14ac:dyDescent="0.3">
      <c r="A823" s="3">
        <v>799</v>
      </c>
      <c r="B823" s="3">
        <v>1.1011462636074834</v>
      </c>
      <c r="C823" s="3">
        <v>-1.2462636074832556E-3</v>
      </c>
    </row>
    <row r="824" spans="1:3" x14ac:dyDescent="0.3">
      <c r="A824" s="3">
        <v>800</v>
      </c>
      <c r="B824" s="3">
        <v>1.1030830632811925</v>
      </c>
      <c r="C824" s="3">
        <v>2.8169367188075611E-3</v>
      </c>
    </row>
    <row r="825" spans="1:3" x14ac:dyDescent="0.3">
      <c r="A825" s="3">
        <v>801</v>
      </c>
      <c r="B825" s="3">
        <v>1.1079250624654651</v>
      </c>
      <c r="C825" s="3">
        <v>-6.8250624654651038E-3</v>
      </c>
    </row>
    <row r="826" spans="1:3" x14ac:dyDescent="0.3">
      <c r="A826" s="3">
        <v>802</v>
      </c>
      <c r="B826" s="3">
        <v>1.1040514631180469</v>
      </c>
      <c r="C826" s="3">
        <v>-2.3514631180470147E-3</v>
      </c>
    </row>
    <row r="827" spans="1:3" x14ac:dyDescent="0.3">
      <c r="A827" s="3">
        <v>803</v>
      </c>
      <c r="B827" s="3">
        <v>1.104535663036474</v>
      </c>
      <c r="C827" s="3">
        <v>-4.1356630364739466E-3</v>
      </c>
    </row>
    <row r="828" spans="1:3" x14ac:dyDescent="0.3">
      <c r="A828" s="3">
        <v>804</v>
      </c>
      <c r="B828" s="3">
        <v>1.1034865632132151</v>
      </c>
      <c r="C828" s="3">
        <v>-7.4865632132150584E-3</v>
      </c>
    </row>
    <row r="829" spans="1:3" x14ac:dyDescent="0.3">
      <c r="A829" s="3">
        <v>805</v>
      </c>
      <c r="B829" s="3">
        <v>1.0999357638114153</v>
      </c>
      <c r="C829" s="3">
        <v>-1.9357638114152476E-3</v>
      </c>
    </row>
    <row r="830" spans="1:3" x14ac:dyDescent="0.3">
      <c r="A830" s="3">
        <v>806</v>
      </c>
      <c r="B830" s="3">
        <v>1.1015497635395062</v>
      </c>
      <c r="C830" s="3">
        <v>-1.0149763539506251E-2</v>
      </c>
    </row>
    <row r="831" spans="1:3" x14ac:dyDescent="0.3">
      <c r="A831" s="3">
        <v>807</v>
      </c>
      <c r="B831" s="3">
        <v>1.0962235644368061</v>
      </c>
      <c r="C831" s="3">
        <v>-1.1423564436806144E-2</v>
      </c>
    </row>
    <row r="832" spans="1:3" x14ac:dyDescent="0.3">
      <c r="A832" s="3">
        <v>808</v>
      </c>
      <c r="B832" s="3">
        <v>1.0908973653341063</v>
      </c>
      <c r="C832" s="3">
        <v>-3.6973653341063617E-3</v>
      </c>
    </row>
    <row r="833" spans="1:3" x14ac:dyDescent="0.3">
      <c r="A833" s="3">
        <v>809</v>
      </c>
      <c r="B833" s="3">
        <v>1.0928341650078153</v>
      </c>
      <c r="C833" s="3">
        <v>-6.7341650078152071E-3</v>
      </c>
    </row>
    <row r="834" spans="1:3" x14ac:dyDescent="0.3">
      <c r="A834" s="3">
        <v>810</v>
      </c>
      <c r="B834" s="3">
        <v>1.0919464651573656</v>
      </c>
      <c r="C834" s="3">
        <v>-8.0464651573655122E-3</v>
      </c>
    </row>
    <row r="835" spans="1:3" x14ac:dyDescent="0.3">
      <c r="A835" s="3">
        <v>811</v>
      </c>
      <c r="B835" s="3">
        <v>1.0901710654564656</v>
      </c>
      <c r="C835" s="3">
        <v>-1.3271065456465614E-2</v>
      </c>
    </row>
    <row r="836" spans="1:3" x14ac:dyDescent="0.3">
      <c r="A836" s="3">
        <v>812</v>
      </c>
      <c r="B836" s="3">
        <v>1.0845220664081474</v>
      </c>
      <c r="C836" s="3">
        <v>-4.3220664081473625E-3</v>
      </c>
    </row>
    <row r="837" spans="1:3" x14ac:dyDescent="0.3">
      <c r="A837" s="3">
        <v>813</v>
      </c>
      <c r="B837" s="3">
        <v>1.0871851659594975</v>
      </c>
      <c r="C837" s="3">
        <v>-6.085165959497596E-3</v>
      </c>
    </row>
    <row r="838" spans="1:3" x14ac:dyDescent="0.3">
      <c r="A838" s="3">
        <v>814</v>
      </c>
      <c r="B838" s="3">
        <v>1.0879114658371383</v>
      </c>
      <c r="C838" s="3">
        <v>-1.111146583713829E-2</v>
      </c>
    </row>
    <row r="839" spans="1:3" x14ac:dyDescent="0.3">
      <c r="A839" s="3">
        <v>815</v>
      </c>
      <c r="B839" s="3">
        <v>1.0844413664217429</v>
      </c>
      <c r="C839" s="3">
        <v>-9.6413664217429584E-3</v>
      </c>
    </row>
    <row r="840" spans="1:3" x14ac:dyDescent="0.3">
      <c r="A840" s="3">
        <v>816</v>
      </c>
      <c r="B840" s="3">
        <v>1.0828273666936519</v>
      </c>
      <c r="C840" s="3">
        <v>-1.0927366693651797E-2</v>
      </c>
    </row>
    <row r="841" spans="1:3" x14ac:dyDescent="0.3">
      <c r="A841" s="3">
        <v>817</v>
      </c>
      <c r="B841" s="3">
        <v>1.0804870670879203</v>
      </c>
      <c r="C841" s="3">
        <v>-8.0870670879202855E-3</v>
      </c>
    </row>
    <row r="842" spans="1:3" x14ac:dyDescent="0.3">
      <c r="A842" s="3">
        <v>818</v>
      </c>
      <c r="B842" s="3">
        <v>1.0808905670199431</v>
      </c>
      <c r="C842" s="3">
        <v>-1.039056701994312E-2</v>
      </c>
    </row>
    <row r="843" spans="1:3" x14ac:dyDescent="0.3">
      <c r="A843" s="3">
        <v>819</v>
      </c>
      <c r="B843" s="3">
        <v>1.0793572672782568</v>
      </c>
      <c r="C843" s="3">
        <v>-6.0572672782568393E-3</v>
      </c>
    </row>
    <row r="844" spans="1:3" x14ac:dyDescent="0.3">
      <c r="A844" s="3">
        <v>820</v>
      </c>
      <c r="B844" s="3">
        <v>1.0816168668975839</v>
      </c>
      <c r="C844" s="3">
        <v>-1.2816866897583878E-2</v>
      </c>
    </row>
    <row r="845" spans="1:3" x14ac:dyDescent="0.3">
      <c r="A845" s="3">
        <v>821</v>
      </c>
      <c r="B845" s="3">
        <v>1.0779853675093793</v>
      </c>
      <c r="C845" s="3">
        <v>-1.8853675093792877E-3</v>
      </c>
    </row>
    <row r="846" spans="1:3" x14ac:dyDescent="0.3">
      <c r="A846" s="3">
        <v>822</v>
      </c>
      <c r="B846" s="3">
        <v>1.0838764665169112</v>
      </c>
      <c r="C846" s="3">
        <v>-1.3276466516911167E-2</v>
      </c>
    </row>
    <row r="847" spans="1:3" x14ac:dyDescent="0.3">
      <c r="A847" s="3">
        <v>823</v>
      </c>
      <c r="B847" s="3">
        <v>1.0794379672646612</v>
      </c>
      <c r="C847" s="3">
        <v>-8.2379672646613056E-3</v>
      </c>
    </row>
    <row r="848" spans="1:3" x14ac:dyDescent="0.3">
      <c r="A848" s="3">
        <v>824</v>
      </c>
      <c r="B848" s="3">
        <v>1.0799221671830885</v>
      </c>
      <c r="C848" s="3">
        <v>-1.0822167183088593E-2</v>
      </c>
    </row>
    <row r="849" spans="1:3" x14ac:dyDescent="0.3">
      <c r="A849" s="3">
        <v>825</v>
      </c>
      <c r="B849" s="3">
        <v>1.078227467468593</v>
      </c>
      <c r="C849" s="3">
        <v>-8.5274674685928975E-3</v>
      </c>
    </row>
    <row r="850" spans="1:3" x14ac:dyDescent="0.3">
      <c r="A850" s="3">
        <v>826</v>
      </c>
      <c r="B850" s="3">
        <v>1.0787116673870205</v>
      </c>
      <c r="C850" s="3">
        <v>-6.1166738702045365E-4</v>
      </c>
    </row>
    <row r="851" spans="1:3" x14ac:dyDescent="0.3">
      <c r="A851" s="3">
        <v>827</v>
      </c>
      <c r="B851" s="3">
        <v>1.085490466245002</v>
      </c>
      <c r="C851" s="3">
        <v>-1.0790466245002017E-2</v>
      </c>
    </row>
    <row r="852" spans="1:3" x14ac:dyDescent="0.3">
      <c r="A852" s="3">
        <v>828</v>
      </c>
      <c r="B852" s="3">
        <v>1.0827466667072474</v>
      </c>
      <c r="C852" s="3">
        <v>-7.0466667072472955E-3</v>
      </c>
    </row>
    <row r="853" spans="1:3" x14ac:dyDescent="0.3">
      <c r="A853" s="3">
        <v>829</v>
      </c>
      <c r="B853" s="3">
        <v>1.083553666571293</v>
      </c>
      <c r="C853" s="3">
        <v>-4.4536665712930912E-3</v>
      </c>
    </row>
    <row r="854" spans="1:3" x14ac:dyDescent="0.3">
      <c r="A854" s="3">
        <v>830</v>
      </c>
      <c r="B854" s="3">
        <v>1.0862974661090474</v>
      </c>
      <c r="C854" s="3">
        <v>-3.1974661090474754E-3</v>
      </c>
    </row>
    <row r="855" spans="1:3" x14ac:dyDescent="0.3">
      <c r="A855" s="3">
        <v>831</v>
      </c>
      <c r="B855" s="3">
        <v>1.0895254655652291</v>
      </c>
      <c r="C855" s="3">
        <v>4.9745344347709164E-3</v>
      </c>
    </row>
    <row r="856" spans="1:3" x14ac:dyDescent="0.3">
      <c r="A856" s="3">
        <v>832</v>
      </c>
      <c r="B856" s="3">
        <v>1.0987252640153471</v>
      </c>
      <c r="C856" s="3">
        <v>-5.4252640153471532E-3</v>
      </c>
    </row>
    <row r="857" spans="1:3" x14ac:dyDescent="0.3">
      <c r="A857" s="3">
        <v>833</v>
      </c>
      <c r="B857" s="3">
        <v>1.0977568641784925</v>
      </c>
      <c r="C857" s="3">
        <v>-5.5568641784924377E-3</v>
      </c>
    </row>
    <row r="858" spans="1:3" x14ac:dyDescent="0.3">
      <c r="A858" s="3">
        <v>834</v>
      </c>
      <c r="B858" s="3">
        <v>1.0968691643280426</v>
      </c>
      <c r="C858" s="3">
        <v>-5.269164328042697E-3</v>
      </c>
    </row>
    <row r="859" spans="1:3" x14ac:dyDescent="0.3">
      <c r="A859" s="3">
        <v>835</v>
      </c>
      <c r="B859" s="3">
        <v>1.0963849644096153</v>
      </c>
      <c r="C859" s="3">
        <v>2.0150355903847395E-3</v>
      </c>
    </row>
    <row r="860" spans="1:3" x14ac:dyDescent="0.3">
      <c r="A860" s="3">
        <v>836</v>
      </c>
      <c r="B860" s="3">
        <v>1.1018725634851243</v>
      </c>
      <c r="C860" s="3">
        <v>-6.2725634851243939E-3</v>
      </c>
    </row>
    <row r="861" spans="1:3" x14ac:dyDescent="0.3">
      <c r="A861" s="3">
        <v>837</v>
      </c>
      <c r="B861" s="3">
        <v>1.099612963865797</v>
      </c>
      <c r="C861" s="3">
        <v>-1.0712963865797009E-2</v>
      </c>
    </row>
    <row r="862" spans="1:3" x14ac:dyDescent="0.3">
      <c r="A862" s="3">
        <v>838</v>
      </c>
      <c r="B862" s="3">
        <v>1.0942060647766927</v>
      </c>
      <c r="C862" s="3">
        <v>-3.8060647766926525E-3</v>
      </c>
    </row>
    <row r="863" spans="1:3" x14ac:dyDescent="0.3">
      <c r="A863" s="3">
        <v>839</v>
      </c>
      <c r="B863" s="3">
        <v>1.0954165645727607</v>
      </c>
      <c r="C863" s="3">
        <v>4.8343542723938704E-4</v>
      </c>
    </row>
    <row r="864" spans="1:3" x14ac:dyDescent="0.3">
      <c r="A864" s="3">
        <v>840</v>
      </c>
      <c r="B864" s="3">
        <v>1.0998550638250109</v>
      </c>
      <c r="C864" s="3">
        <v>-8.7550638250109003E-3</v>
      </c>
    </row>
    <row r="865" spans="1:3" x14ac:dyDescent="0.3">
      <c r="A865" s="3">
        <v>841</v>
      </c>
      <c r="B865" s="3">
        <v>1.0959814644775925</v>
      </c>
      <c r="C865" s="3">
        <v>-9.5814644775924496E-3</v>
      </c>
    </row>
    <row r="866" spans="1:3" x14ac:dyDescent="0.3">
      <c r="A866" s="3">
        <v>842</v>
      </c>
      <c r="B866" s="3">
        <v>1.092188565116579</v>
      </c>
      <c r="C866" s="3">
        <v>-1.1885651165790545E-3</v>
      </c>
    </row>
    <row r="867" spans="1:3" x14ac:dyDescent="0.3">
      <c r="A867" s="3">
        <v>843</v>
      </c>
      <c r="B867" s="3">
        <v>1.095900764491188</v>
      </c>
      <c r="C867" s="3">
        <v>-4.8007644911880476E-3</v>
      </c>
    </row>
    <row r="868" spans="1:3" x14ac:dyDescent="0.3">
      <c r="A868" s="3">
        <v>844</v>
      </c>
      <c r="B868" s="3">
        <v>1.0959814644775925</v>
      </c>
      <c r="C868" s="3">
        <v>-8.2814644775925927E-3</v>
      </c>
    </row>
    <row r="869" spans="1:3" x14ac:dyDescent="0.3">
      <c r="A869" s="3">
        <v>845</v>
      </c>
      <c r="B869" s="3">
        <v>1.0932376649398381</v>
      </c>
      <c r="C869" s="3">
        <v>-8.1376649398381407E-3</v>
      </c>
    </row>
    <row r="870" spans="1:3" x14ac:dyDescent="0.3">
      <c r="A870" s="3">
        <v>846</v>
      </c>
      <c r="B870" s="3">
        <v>1.09113946529332</v>
      </c>
      <c r="C870" s="3">
        <v>-2.4394652933199534E-3</v>
      </c>
    </row>
    <row r="871" spans="1:3" x14ac:dyDescent="0.3">
      <c r="A871" s="3">
        <v>847</v>
      </c>
      <c r="B871" s="3">
        <v>1.0940446648038835</v>
      </c>
      <c r="C871" s="3">
        <v>2.6553351961164928E-3</v>
      </c>
    </row>
    <row r="872" spans="1:3" x14ac:dyDescent="0.3">
      <c r="A872" s="3">
        <v>848</v>
      </c>
      <c r="B872" s="3">
        <v>1.1005006637162471</v>
      </c>
      <c r="C872" s="3">
        <v>-6.0066371624700743E-4</v>
      </c>
    </row>
    <row r="873" spans="1:3" x14ac:dyDescent="0.3">
      <c r="A873" s="3">
        <v>849</v>
      </c>
      <c r="B873" s="3">
        <v>1.1030830632811925</v>
      </c>
      <c r="C873" s="3">
        <v>-2.4830632811925213E-3</v>
      </c>
    </row>
    <row r="874" spans="1:3" x14ac:dyDescent="0.3">
      <c r="A874" s="3">
        <v>850</v>
      </c>
      <c r="B874" s="3">
        <v>1.1036479631860243</v>
      </c>
      <c r="C874" s="3">
        <v>9.1520368139756947E-3</v>
      </c>
    </row>
    <row r="875" spans="1:3" x14ac:dyDescent="0.3">
      <c r="A875" s="3">
        <v>851</v>
      </c>
      <c r="B875" s="3">
        <v>1.1134933615273783</v>
      </c>
      <c r="C875" s="3">
        <v>8.9066384726217418E-3</v>
      </c>
    </row>
    <row r="876" spans="1:3" x14ac:dyDescent="0.3">
      <c r="A876" s="3">
        <v>852</v>
      </c>
      <c r="B876" s="3">
        <v>1.1212405602222146</v>
      </c>
      <c r="C876" s="3">
        <v>1.4594397777853985E-3</v>
      </c>
    </row>
    <row r="877" spans="1:3" x14ac:dyDescent="0.3">
      <c r="A877" s="3">
        <v>853</v>
      </c>
      <c r="B877" s="3">
        <v>1.1214826601814283</v>
      </c>
      <c r="C877" s="3">
        <v>1.9173398185716728E-3</v>
      </c>
    </row>
    <row r="878" spans="1:3" x14ac:dyDescent="0.3">
      <c r="A878" s="3">
        <v>854</v>
      </c>
      <c r="B878" s="3">
        <v>1.1220475600862598</v>
      </c>
      <c r="C878" s="3">
        <v>5.5243991374021029E-4</v>
      </c>
    </row>
    <row r="879" spans="1:3" x14ac:dyDescent="0.3">
      <c r="A879" s="3">
        <v>855</v>
      </c>
      <c r="B879" s="3">
        <v>1.1214019601950236</v>
      </c>
      <c r="C879" s="3">
        <v>-1.6019601950236773E-3</v>
      </c>
    </row>
    <row r="880" spans="1:3" x14ac:dyDescent="0.3">
      <c r="A880" s="3">
        <v>856</v>
      </c>
      <c r="B880" s="3">
        <v>1.1191423605756965</v>
      </c>
      <c r="C880" s="3">
        <v>-6.3423605756964818E-3</v>
      </c>
    </row>
    <row r="881" spans="1:3" x14ac:dyDescent="0.3">
      <c r="A881" s="3">
        <v>857</v>
      </c>
      <c r="B881" s="3">
        <v>1.1134933615273783</v>
      </c>
      <c r="C881" s="3">
        <v>-1.1933615273782561E-3</v>
      </c>
    </row>
    <row r="882" spans="1:3" x14ac:dyDescent="0.3">
      <c r="A882" s="3">
        <v>858</v>
      </c>
      <c r="B882" s="3">
        <v>1.1130898615953559</v>
      </c>
      <c r="C882" s="3">
        <v>-6.8898615953558728E-3</v>
      </c>
    </row>
    <row r="883" spans="1:3" x14ac:dyDescent="0.3">
      <c r="A883" s="3">
        <v>859</v>
      </c>
      <c r="B883" s="3">
        <v>1.1081671624246785</v>
      </c>
      <c r="C883" s="3">
        <v>-2.8671624246785488E-3</v>
      </c>
    </row>
    <row r="884" spans="1:3" x14ac:dyDescent="0.3">
      <c r="A884" s="3">
        <v>860</v>
      </c>
      <c r="B884" s="3">
        <v>1.1074408625470378</v>
      </c>
      <c r="C884" s="3">
        <v>8.5913745296228861E-4</v>
      </c>
    </row>
    <row r="885" spans="1:3" x14ac:dyDescent="0.3">
      <c r="A885" s="3">
        <v>861</v>
      </c>
      <c r="B885" s="3">
        <v>1.109861862139174</v>
      </c>
      <c r="C885" s="3">
        <v>-1.2561862139174096E-2</v>
      </c>
    </row>
    <row r="886" spans="1:3" x14ac:dyDescent="0.3">
      <c r="A886" s="3">
        <v>862</v>
      </c>
      <c r="B886" s="3">
        <v>1.1009848636346742</v>
      </c>
      <c r="C886" s="3">
        <v>5.1513636532574125E-4</v>
      </c>
    </row>
    <row r="887" spans="1:3" x14ac:dyDescent="0.3">
      <c r="A887" s="3">
        <v>863</v>
      </c>
      <c r="B887" s="3">
        <v>1.104374263063665</v>
      </c>
      <c r="C887" s="3">
        <v>-5.0742630636650965E-3</v>
      </c>
    </row>
    <row r="888" spans="1:3" x14ac:dyDescent="0.3">
      <c r="A888" s="3">
        <v>864</v>
      </c>
      <c r="B888" s="3">
        <v>1.102598863362765</v>
      </c>
      <c r="C888" s="3">
        <v>-4.3988633627649598E-3</v>
      </c>
    </row>
    <row r="889" spans="1:3" x14ac:dyDescent="0.3">
      <c r="A889" s="3">
        <v>865</v>
      </c>
      <c r="B889" s="3">
        <v>1.1017111635123151</v>
      </c>
      <c r="C889" s="3">
        <v>-8.1111635123152226E-3</v>
      </c>
    </row>
    <row r="890" spans="1:3" x14ac:dyDescent="0.3">
      <c r="A890" s="3">
        <v>866</v>
      </c>
      <c r="B890" s="3">
        <v>1.0979989641377061</v>
      </c>
      <c r="C890" s="3">
        <v>-3.5989641377061066E-3</v>
      </c>
    </row>
    <row r="891" spans="1:3" x14ac:dyDescent="0.3">
      <c r="A891" s="3">
        <v>867</v>
      </c>
      <c r="B891" s="3">
        <v>1.0986445640289424</v>
      </c>
      <c r="C891" s="3">
        <v>2.3554359710575845E-3</v>
      </c>
    </row>
    <row r="892" spans="1:3" x14ac:dyDescent="0.3">
      <c r="A892" s="3">
        <v>868</v>
      </c>
      <c r="B892" s="3">
        <v>1.1039707631316422</v>
      </c>
      <c r="C892" s="3">
        <v>-3.7707631316421519E-3</v>
      </c>
    </row>
    <row r="893" spans="1:3" x14ac:dyDescent="0.3">
      <c r="A893" s="3">
        <v>869</v>
      </c>
      <c r="B893" s="3">
        <v>1.103325163240406</v>
      </c>
      <c r="C893" s="3">
        <v>-7.9251632404060413E-3</v>
      </c>
    </row>
    <row r="894" spans="1:3" x14ac:dyDescent="0.3">
      <c r="A894" s="3">
        <v>870</v>
      </c>
      <c r="B894" s="3">
        <v>1.099451563892988</v>
      </c>
      <c r="C894" s="3">
        <v>-2.1515638929880954E-3</v>
      </c>
    </row>
    <row r="895" spans="1:3" x14ac:dyDescent="0.3">
      <c r="A895" s="3">
        <v>871</v>
      </c>
      <c r="B895" s="3">
        <v>1.1009848636346742</v>
      </c>
      <c r="C895" s="3">
        <v>-3.0848636346740843E-3</v>
      </c>
    </row>
    <row r="896" spans="1:3" x14ac:dyDescent="0.3">
      <c r="A896" s="3">
        <v>872</v>
      </c>
      <c r="B896" s="3">
        <v>1.1014690635531017</v>
      </c>
      <c r="C896" s="3">
        <v>-7.0690635531016621E-3</v>
      </c>
    </row>
    <row r="897" spans="1:3" x14ac:dyDescent="0.3">
      <c r="A897" s="3">
        <v>873</v>
      </c>
      <c r="B897" s="3">
        <v>1.0986445640289424</v>
      </c>
      <c r="C897" s="3">
        <v>-8.2445640289423583E-3</v>
      </c>
    </row>
    <row r="898" spans="1:3" x14ac:dyDescent="0.3">
      <c r="A898" s="3">
        <v>874</v>
      </c>
      <c r="B898" s="3">
        <v>1.0954165645727607</v>
      </c>
      <c r="C898" s="3">
        <v>-5.0165645727606734E-3</v>
      </c>
    </row>
    <row r="899" spans="1:3" x14ac:dyDescent="0.3">
      <c r="A899" s="3">
        <v>875</v>
      </c>
      <c r="B899" s="3">
        <v>1.0954165645727607</v>
      </c>
      <c r="C899" s="3">
        <v>-8.016564572760787E-3</v>
      </c>
    </row>
    <row r="900" spans="1:3" x14ac:dyDescent="0.3">
      <c r="A900" s="3">
        <v>876</v>
      </c>
      <c r="B900" s="3">
        <v>1.0929955649806244</v>
      </c>
      <c r="C900" s="3">
        <v>-5.8955649806244903E-3</v>
      </c>
    </row>
    <row r="901" spans="1:3" x14ac:dyDescent="0.3">
      <c r="A901" s="3">
        <v>877</v>
      </c>
      <c r="B901" s="3">
        <v>1.0927534650214108</v>
      </c>
      <c r="C901" s="3">
        <v>-6.2534650214107756E-3</v>
      </c>
    </row>
    <row r="902" spans="1:3" x14ac:dyDescent="0.3">
      <c r="A902" s="3">
        <v>878</v>
      </c>
      <c r="B902" s="3">
        <v>1.0922692651029835</v>
      </c>
      <c r="C902" s="3">
        <v>-3.1692651029835428E-3</v>
      </c>
    </row>
    <row r="903" spans="1:3" x14ac:dyDescent="0.3">
      <c r="A903" s="3">
        <v>879</v>
      </c>
      <c r="B903" s="3">
        <v>1.0943674647495016</v>
      </c>
      <c r="C903" s="3">
        <v>-9.9674647495016089E-3</v>
      </c>
    </row>
    <row r="904" spans="1:3" x14ac:dyDescent="0.3">
      <c r="A904" s="3">
        <v>880</v>
      </c>
      <c r="B904" s="3">
        <v>1.0905745653884882</v>
      </c>
      <c r="C904" s="3">
        <v>-4.6745653884880944E-3</v>
      </c>
    </row>
    <row r="905" spans="1:3" x14ac:dyDescent="0.3">
      <c r="A905" s="3">
        <v>881</v>
      </c>
      <c r="B905" s="3">
        <v>1.0917850651845564</v>
      </c>
      <c r="C905" s="3">
        <v>-1.0885065184556453E-2</v>
      </c>
    </row>
    <row r="906" spans="1:3" x14ac:dyDescent="0.3">
      <c r="A906" s="3">
        <v>882</v>
      </c>
      <c r="B906" s="3">
        <v>1.0877500658643293</v>
      </c>
      <c r="C906" s="3">
        <v>-7.7500658643292475E-3</v>
      </c>
    </row>
    <row r="907" spans="1:3" x14ac:dyDescent="0.3">
      <c r="A907" s="3">
        <v>883</v>
      </c>
      <c r="B907" s="3">
        <v>1.0870237659866884</v>
      </c>
      <c r="C907" s="3">
        <v>-5.3237659866882669E-3</v>
      </c>
    </row>
    <row r="908" spans="1:3" x14ac:dyDescent="0.3">
      <c r="A908" s="3">
        <v>884</v>
      </c>
      <c r="B908" s="3">
        <v>1.0883956657555656</v>
      </c>
      <c r="C908" s="3">
        <v>-6.9566575556567756E-4</v>
      </c>
    </row>
    <row r="909" spans="1:3" x14ac:dyDescent="0.3">
      <c r="A909" s="3">
        <v>885</v>
      </c>
      <c r="B909" s="3">
        <v>1.0932376649398381</v>
      </c>
      <c r="C909" s="3">
        <v>-8.3766493983805645E-4</v>
      </c>
    </row>
    <row r="910" spans="1:3" x14ac:dyDescent="0.3">
      <c r="A910" s="3">
        <v>886</v>
      </c>
      <c r="B910" s="3">
        <v>1.0970305643008516</v>
      </c>
      <c r="C910" s="3">
        <v>-1.2930564300851488E-2</v>
      </c>
    </row>
    <row r="911" spans="1:3" x14ac:dyDescent="0.3">
      <c r="A911" s="3">
        <v>887</v>
      </c>
      <c r="B911" s="3">
        <v>1.0903324654292748</v>
      </c>
      <c r="C911" s="3">
        <v>-1.3032465429274831E-2</v>
      </c>
    </row>
    <row r="912" spans="1:3" x14ac:dyDescent="0.3">
      <c r="A912" s="3">
        <v>888</v>
      </c>
      <c r="B912" s="3">
        <v>1.0848448663537655</v>
      </c>
      <c r="C912" s="3">
        <v>-5.4448663537656206E-3</v>
      </c>
    </row>
    <row r="913" spans="1:3" x14ac:dyDescent="0.3">
      <c r="A913" s="3">
        <v>889</v>
      </c>
      <c r="B913" s="3">
        <v>1.0865395660682609</v>
      </c>
      <c r="C913" s="3">
        <v>-1.453956606826079E-2</v>
      </c>
    </row>
    <row r="914" spans="1:3" x14ac:dyDescent="0.3">
      <c r="A914" s="3">
        <v>890</v>
      </c>
      <c r="B914" s="3">
        <v>1.0805677670743248</v>
      </c>
      <c r="C914" s="3">
        <v>-7.8677670743247941E-3</v>
      </c>
    </row>
    <row r="915" spans="1:3" x14ac:dyDescent="0.3">
      <c r="A915" s="3">
        <v>891</v>
      </c>
      <c r="B915" s="3">
        <v>1.0811326669791566</v>
      </c>
      <c r="C915" s="3">
        <v>-1.123266697915648E-2</v>
      </c>
    </row>
    <row r="916" spans="1:3" x14ac:dyDescent="0.3">
      <c r="A916" s="3">
        <v>892</v>
      </c>
      <c r="B916" s="3">
        <v>1.0788730673598295</v>
      </c>
      <c r="C916" s="3">
        <v>-8.9730673598293897E-3</v>
      </c>
    </row>
    <row r="917" spans="1:3" x14ac:dyDescent="0.3">
      <c r="A917" s="3">
        <v>893</v>
      </c>
      <c r="B917" s="3">
        <v>1.0788730673598295</v>
      </c>
      <c r="C917" s="3">
        <v>-4.0730673598294853E-3</v>
      </c>
    </row>
    <row r="918" spans="1:3" x14ac:dyDescent="0.3">
      <c r="A918" s="3">
        <v>894</v>
      </c>
      <c r="B918" s="3">
        <v>1.0828273666936519</v>
      </c>
      <c r="C918" s="3">
        <v>-7.627366693651938E-3</v>
      </c>
    </row>
    <row r="919" spans="1:3" x14ac:dyDescent="0.3">
      <c r="A919" s="3">
        <v>895</v>
      </c>
      <c r="B919" s="3">
        <v>1.0831501666392702</v>
      </c>
      <c r="C919" s="3">
        <v>-1.0350166639270242E-2</v>
      </c>
    </row>
    <row r="920" spans="1:3" x14ac:dyDescent="0.3">
      <c r="A920" s="3">
        <v>896</v>
      </c>
      <c r="B920" s="3">
        <v>1.081213366965561</v>
      </c>
      <c r="C920" s="3">
        <v>-1.7113366965560983E-2</v>
      </c>
    </row>
    <row r="921" spans="1:3" x14ac:dyDescent="0.3">
      <c r="A921" s="3">
        <v>897</v>
      </c>
      <c r="B921" s="3">
        <v>1.0741924681483659</v>
      </c>
      <c r="C921" s="3">
        <v>-8.6924681483659949E-3</v>
      </c>
    </row>
    <row r="922" spans="1:3" x14ac:dyDescent="0.3">
      <c r="A922" s="3">
        <v>898</v>
      </c>
      <c r="B922" s="3">
        <v>1.0753222679580294</v>
      </c>
      <c r="C922" s="3">
        <v>-6.3222679580294816E-3</v>
      </c>
    </row>
    <row r="923" spans="1:3" x14ac:dyDescent="0.3">
      <c r="A923" s="3">
        <v>899</v>
      </c>
      <c r="B923" s="3">
        <v>1.0781467674821885</v>
      </c>
      <c r="C923" s="3">
        <v>-1.0446767482188424E-2</v>
      </c>
    </row>
    <row r="924" spans="1:3" x14ac:dyDescent="0.3">
      <c r="A924" s="3">
        <v>900</v>
      </c>
      <c r="B924" s="3">
        <v>1.0770976676589297</v>
      </c>
      <c r="C924" s="3">
        <v>-1.11976676589296E-2</v>
      </c>
    </row>
    <row r="925" spans="1:3" x14ac:dyDescent="0.3">
      <c r="A925" s="3">
        <v>901</v>
      </c>
      <c r="B925" s="3">
        <v>1.0756450679036478</v>
      </c>
      <c r="C925" s="3">
        <v>-9.8450679036476973E-3</v>
      </c>
    </row>
    <row r="926" spans="1:3" x14ac:dyDescent="0.3">
      <c r="A926" s="3">
        <v>902</v>
      </c>
      <c r="B926" s="3">
        <v>1.0755643679172433</v>
      </c>
      <c r="C926" s="3">
        <v>-1.0364367917243378E-2</v>
      </c>
    </row>
    <row r="927" spans="1:3" x14ac:dyDescent="0.3">
      <c r="A927" s="3">
        <v>903</v>
      </c>
      <c r="B927" s="3">
        <v>1.075080167998816</v>
      </c>
      <c r="C927" s="3">
        <v>-1.6080167998816064E-2</v>
      </c>
    </row>
    <row r="928" spans="1:3" x14ac:dyDescent="0.3">
      <c r="A928" s="3">
        <v>904</v>
      </c>
      <c r="B928" s="3">
        <v>1.0700767688417341</v>
      </c>
      <c r="C928" s="3">
        <v>-1.3076768841734143E-2</v>
      </c>
    </row>
    <row r="929" spans="1:3" x14ac:dyDescent="0.3">
      <c r="A929" s="3">
        <v>905</v>
      </c>
      <c r="B929" s="3">
        <v>1.0684627691136432</v>
      </c>
      <c r="C929" s="3">
        <v>-1.8462769113643196E-2</v>
      </c>
    </row>
    <row r="930" spans="1:3" x14ac:dyDescent="0.3">
      <c r="A930" s="3">
        <v>906</v>
      </c>
      <c r="B930" s="3">
        <v>1.0628137700653255</v>
      </c>
      <c r="C930" s="3">
        <v>-6.913770065325453E-3</v>
      </c>
    </row>
    <row r="931" spans="1:3" x14ac:dyDescent="0.3">
      <c r="A931" s="3">
        <v>907</v>
      </c>
      <c r="B931" s="3">
        <v>1.0675750692631936</v>
      </c>
      <c r="C931" s="3">
        <v>-1.0575069263193626E-2</v>
      </c>
    </row>
    <row r="932" spans="1:3" x14ac:dyDescent="0.3">
      <c r="A932" s="3">
        <v>908</v>
      </c>
      <c r="B932" s="3">
        <v>1.0684627691136432</v>
      </c>
      <c r="C932" s="3">
        <v>-2.0862769113643154E-2</v>
      </c>
    </row>
    <row r="933" spans="1:3" x14ac:dyDescent="0.3">
      <c r="A933" s="3">
        <v>909</v>
      </c>
      <c r="B933" s="3">
        <v>1.0608769703916163</v>
      </c>
      <c r="C933" s="3">
        <v>-1.4376970391616339E-2</v>
      </c>
    </row>
    <row r="934" spans="1:3" x14ac:dyDescent="0.3">
      <c r="A934" s="3">
        <v>910</v>
      </c>
      <c r="B934" s="3">
        <v>1.0599892705411662</v>
      </c>
      <c r="C934" s="3">
        <v>-9.689270541166195E-3</v>
      </c>
    </row>
    <row r="935" spans="1:3" x14ac:dyDescent="0.3">
      <c r="A935" s="3">
        <v>911</v>
      </c>
      <c r="B935" s="3">
        <v>1.0630558700245389</v>
      </c>
      <c r="C935" s="3">
        <v>-8.2558700245389804E-3</v>
      </c>
    </row>
    <row r="936" spans="1:3" x14ac:dyDescent="0.3">
      <c r="A936" s="3">
        <v>912</v>
      </c>
      <c r="B936" s="3">
        <v>1.0666873694127434</v>
      </c>
      <c r="C936" s="3">
        <v>-8.0873694127434614E-3</v>
      </c>
    </row>
    <row r="937" spans="1:3" x14ac:dyDescent="0.3">
      <c r="A937" s="3">
        <v>913</v>
      </c>
      <c r="B937" s="3">
        <v>1.0697539688961162</v>
      </c>
      <c r="C937" s="3">
        <v>-1.3253968896116186E-2</v>
      </c>
    </row>
    <row r="938" spans="1:3" x14ac:dyDescent="0.3">
      <c r="A938" s="3">
        <v>914</v>
      </c>
      <c r="B938" s="3">
        <v>1.0680592691816206</v>
      </c>
      <c r="C938" s="3">
        <v>-7.7592691816206205E-3</v>
      </c>
    </row>
    <row r="939" spans="1:3" x14ac:dyDescent="0.3">
      <c r="A939" s="3">
        <v>915</v>
      </c>
      <c r="B939" s="3">
        <v>1.0711258686649932</v>
      </c>
      <c r="C939" s="3">
        <v>-9.4258686649930645E-3</v>
      </c>
    </row>
    <row r="940" spans="1:3" x14ac:dyDescent="0.3">
      <c r="A940" s="3">
        <v>916</v>
      </c>
      <c r="B940" s="3">
        <v>1.0722556684746569</v>
      </c>
      <c r="C940" s="3">
        <v>-1.965566847465694E-2</v>
      </c>
    </row>
    <row r="941" spans="1:3" x14ac:dyDescent="0.3">
      <c r="A941" s="3">
        <v>917</v>
      </c>
      <c r="B941" s="3">
        <v>1.0649119697118434</v>
      </c>
      <c r="C941" s="3">
        <v>-1.4011969711843486E-2</v>
      </c>
    </row>
    <row r="942" spans="1:3" x14ac:dyDescent="0.3">
      <c r="A942" s="3">
        <v>918</v>
      </c>
      <c r="B942" s="3">
        <v>1.0635400699429662</v>
      </c>
      <c r="C942" s="3">
        <v>-7.7400699429661657E-3</v>
      </c>
    </row>
    <row r="943" spans="1:3" x14ac:dyDescent="0.3">
      <c r="A943" s="3">
        <v>919</v>
      </c>
      <c r="B943" s="3">
        <v>1.0674943692767889</v>
      </c>
      <c r="C943" s="3">
        <v>-9.9943692767887615E-3</v>
      </c>
    </row>
    <row r="944" spans="1:3" x14ac:dyDescent="0.3">
      <c r="A944" s="3">
        <v>920</v>
      </c>
      <c r="B944" s="3">
        <v>1.0688662690456661</v>
      </c>
      <c r="C944" s="3">
        <v>-1.5366269045665959E-2</v>
      </c>
    </row>
    <row r="945" spans="1:3" x14ac:dyDescent="0.3">
      <c r="A945" s="3">
        <v>921</v>
      </c>
      <c r="B945" s="3">
        <v>1.0656382695894844</v>
      </c>
      <c r="C945" s="3">
        <v>-7.7382695894843145E-3</v>
      </c>
    </row>
    <row r="946" spans="1:3" x14ac:dyDescent="0.3">
      <c r="A946" s="3">
        <v>922</v>
      </c>
      <c r="B946" s="3">
        <v>1.0691890689912844</v>
      </c>
      <c r="C946" s="3">
        <v>-9.8890689912844998E-3</v>
      </c>
    </row>
    <row r="947" spans="1:3" x14ac:dyDescent="0.3">
      <c r="A947" s="3">
        <v>923</v>
      </c>
      <c r="B947" s="3">
        <v>1.070318868800948</v>
      </c>
      <c r="C947" s="3">
        <v>-3.5188688009479829E-3</v>
      </c>
    </row>
    <row r="948" spans="1:3" x14ac:dyDescent="0.3">
      <c r="A948" s="3">
        <v>924</v>
      </c>
      <c r="B948" s="3">
        <v>1.0763713677812885</v>
      </c>
      <c r="C948" s="3">
        <v>-1.7571367781288538E-2</v>
      </c>
    </row>
    <row r="949" spans="1:3" x14ac:dyDescent="0.3">
      <c r="A949" s="3">
        <v>925</v>
      </c>
      <c r="B949" s="3">
        <v>1.0699153688689251</v>
      </c>
      <c r="C949" s="3">
        <v>-1.3615368868925115E-2</v>
      </c>
    </row>
    <row r="950" spans="1:3" x14ac:dyDescent="0.3">
      <c r="A950" s="3">
        <v>926</v>
      </c>
      <c r="B950" s="3">
        <v>1.0678978692088115</v>
      </c>
      <c r="C950" s="3">
        <v>-1.1897869208811418E-2</v>
      </c>
    </row>
    <row r="951" spans="1:3" x14ac:dyDescent="0.3">
      <c r="A951" s="3">
        <v>927</v>
      </c>
      <c r="B951" s="3">
        <v>1.067655769249598</v>
      </c>
      <c r="C951" s="3">
        <v>-1.1255769249598035E-2</v>
      </c>
    </row>
    <row r="952" spans="1:3" x14ac:dyDescent="0.3">
      <c r="A952" s="3">
        <v>928</v>
      </c>
      <c r="B952" s="3">
        <v>1.0679785691952162</v>
      </c>
      <c r="C952" s="3">
        <v>-6.6785691952162551E-3</v>
      </c>
    </row>
    <row r="953" spans="1:3" x14ac:dyDescent="0.3">
      <c r="A953" s="3">
        <v>929</v>
      </c>
      <c r="B953" s="3">
        <v>1.0719328685290388</v>
      </c>
      <c r="C953" s="3">
        <v>-1.43328685290387E-2</v>
      </c>
    </row>
    <row r="954" spans="1:3" x14ac:dyDescent="0.3">
      <c r="A954" s="3">
        <v>930</v>
      </c>
      <c r="B954" s="3">
        <v>1.0689469690320708</v>
      </c>
      <c r="C954" s="3">
        <v>-1.2146969032070798E-2</v>
      </c>
    </row>
    <row r="955" spans="1:3" x14ac:dyDescent="0.3">
      <c r="A955" s="3">
        <v>931</v>
      </c>
      <c r="B955" s="3">
        <v>1.0683013691408343</v>
      </c>
      <c r="C955" s="3">
        <v>-6.3013691408342343E-3</v>
      </c>
    </row>
    <row r="956" spans="1:3" x14ac:dyDescent="0.3">
      <c r="A956" s="3">
        <v>932</v>
      </c>
      <c r="B956" s="3">
        <v>1.0724977684338706</v>
      </c>
      <c r="C956" s="3">
        <v>4.0223156612939626E-4</v>
      </c>
    </row>
    <row r="957" spans="1:3" x14ac:dyDescent="0.3">
      <c r="A957" s="3">
        <v>933</v>
      </c>
      <c r="B957" s="3">
        <v>1.0812940669519657</v>
      </c>
      <c r="C957" s="3">
        <v>-9.7940669519658297E-3</v>
      </c>
    </row>
    <row r="958" spans="1:3" x14ac:dyDescent="0.3">
      <c r="A958" s="3">
        <v>934</v>
      </c>
      <c r="B958" s="3">
        <v>1.080164267142302</v>
      </c>
      <c r="C958" s="3">
        <v>-1.0264267142301886E-2</v>
      </c>
    </row>
    <row r="959" spans="1:3" x14ac:dyDescent="0.3">
      <c r="A959" s="3">
        <v>935</v>
      </c>
      <c r="B959" s="3">
        <v>1.0788730673598295</v>
      </c>
      <c r="C959" s="3">
        <v>-8.1730673598294779E-3</v>
      </c>
    </row>
    <row r="960" spans="1:3" x14ac:dyDescent="0.3">
      <c r="A960" s="3">
        <v>936</v>
      </c>
      <c r="B960" s="3">
        <v>1.0795186672510657</v>
      </c>
      <c r="C960" s="3">
        <v>-1.2918667251065719E-2</v>
      </c>
    </row>
    <row r="961" spans="1:3" x14ac:dyDescent="0.3">
      <c r="A961" s="3">
        <v>937</v>
      </c>
      <c r="B961" s="3">
        <v>1.0762099678084796</v>
      </c>
      <c r="C961" s="3">
        <v>-8.1099678084795013E-3</v>
      </c>
    </row>
    <row r="962" spans="1:3" x14ac:dyDescent="0.3">
      <c r="A962" s="3">
        <v>938</v>
      </c>
      <c r="B962" s="3">
        <v>1.0774204676045476</v>
      </c>
      <c r="C962" s="3">
        <v>-7.7204676045474763E-3</v>
      </c>
    </row>
    <row r="963" spans="1:3" x14ac:dyDescent="0.3">
      <c r="A963" s="3">
        <v>939</v>
      </c>
      <c r="B963" s="3">
        <v>1.0787116673870205</v>
      </c>
      <c r="C963" s="3">
        <v>9.1883326129795773E-3</v>
      </c>
    </row>
    <row r="964" spans="1:3" x14ac:dyDescent="0.3">
      <c r="A964" s="3">
        <v>940</v>
      </c>
      <c r="B964" s="3">
        <v>1.0933990649126473</v>
      </c>
      <c r="C964" s="3">
        <v>-8.7990649126472587E-3</v>
      </c>
    </row>
    <row r="965" spans="1:3" x14ac:dyDescent="0.3">
      <c r="A965" s="3">
        <v>941</v>
      </c>
      <c r="B965" s="3">
        <v>1.0907359653612971</v>
      </c>
      <c r="C965" s="3">
        <v>-5.7359653612971684E-3</v>
      </c>
    </row>
    <row r="966" spans="1:3" x14ac:dyDescent="0.3">
      <c r="A966" s="3">
        <v>942</v>
      </c>
      <c r="B966" s="3">
        <v>1.0910587653069155</v>
      </c>
      <c r="C966" s="3">
        <v>-3.5876530691547615E-4</v>
      </c>
    </row>
    <row r="967" spans="1:3" x14ac:dyDescent="0.3">
      <c r="A967" s="3">
        <v>943</v>
      </c>
      <c r="B967" s="3">
        <v>1.0956586645319744</v>
      </c>
      <c r="C967" s="3">
        <v>-1.8586645319742523E-3</v>
      </c>
    </row>
    <row r="968" spans="1:3" x14ac:dyDescent="0.3">
      <c r="A968" s="3">
        <v>944</v>
      </c>
      <c r="B968" s="3">
        <v>1.0981603641105153</v>
      </c>
      <c r="C968" s="3">
        <v>-7.2603641105153383E-3</v>
      </c>
    </row>
    <row r="969" spans="1:3" x14ac:dyDescent="0.3">
      <c r="A969" s="3">
        <v>945</v>
      </c>
      <c r="B969" s="3">
        <v>1.0958200645047835</v>
      </c>
      <c r="C969" s="3">
        <v>-7.1200645047835298E-3</v>
      </c>
    </row>
    <row r="970" spans="1:3" x14ac:dyDescent="0.3">
      <c r="A970" s="3">
        <v>946</v>
      </c>
      <c r="B970" s="3">
        <v>1.0940446648038835</v>
      </c>
      <c r="C970" s="3">
        <v>-3.6446648038834795E-3</v>
      </c>
    </row>
    <row r="971" spans="1:3" x14ac:dyDescent="0.3">
      <c r="A971" s="3">
        <v>947</v>
      </c>
      <c r="B971" s="3">
        <v>1.0954165645727607</v>
      </c>
      <c r="C971" s="3">
        <v>-1.5165645727606147E-3</v>
      </c>
    </row>
    <row r="972" spans="1:3" x14ac:dyDescent="0.3">
      <c r="A972" s="3">
        <v>948</v>
      </c>
      <c r="B972" s="3">
        <v>1.09824106409692</v>
      </c>
      <c r="C972" s="3">
        <v>-2.9410640969200763E-3</v>
      </c>
    </row>
    <row r="973" spans="1:3" x14ac:dyDescent="0.3">
      <c r="A973" s="3">
        <v>949</v>
      </c>
      <c r="B973" s="3">
        <v>1.0993708639065833</v>
      </c>
      <c r="C973" s="3">
        <v>-3.7086390658336299E-4</v>
      </c>
    </row>
    <row r="974" spans="1:3" x14ac:dyDescent="0.3">
      <c r="A974" s="3">
        <v>950</v>
      </c>
      <c r="B974" s="3">
        <v>1.1023567634035514</v>
      </c>
      <c r="C974" s="3">
        <v>-5.5567634035513791E-3</v>
      </c>
    </row>
    <row r="975" spans="1:3" x14ac:dyDescent="0.3">
      <c r="A975" s="3">
        <v>951</v>
      </c>
      <c r="B975" s="3">
        <v>1.1005813637026516</v>
      </c>
      <c r="C975" s="3">
        <v>-1.1981363702651571E-2</v>
      </c>
    </row>
    <row r="976" spans="1:3" x14ac:dyDescent="0.3">
      <c r="A976" s="3">
        <v>952</v>
      </c>
      <c r="B976" s="3">
        <v>1.093963964817479</v>
      </c>
      <c r="C976" s="3">
        <v>-5.8639648174789727E-3</v>
      </c>
    </row>
    <row r="977" spans="1:3" x14ac:dyDescent="0.3">
      <c r="A977" s="3">
        <v>953</v>
      </c>
      <c r="B977" s="3">
        <v>1.0935604648854564</v>
      </c>
      <c r="C977" s="3">
        <v>-9.9604648854565436E-3</v>
      </c>
    </row>
    <row r="978" spans="1:3" x14ac:dyDescent="0.3">
      <c r="A978" s="3">
        <v>954</v>
      </c>
      <c r="B978" s="3">
        <v>1.0899289654972517</v>
      </c>
      <c r="C978" s="3">
        <v>-1.0428965497251808E-2</v>
      </c>
    </row>
    <row r="979" spans="1:3" x14ac:dyDescent="0.3">
      <c r="A979" s="3">
        <v>955</v>
      </c>
      <c r="B979" s="3">
        <v>1.0866202660546656</v>
      </c>
      <c r="C979" s="3">
        <v>-1.0420266054665506E-2</v>
      </c>
    </row>
    <row r="980" spans="1:3" x14ac:dyDescent="0.3">
      <c r="A980" s="3">
        <v>956</v>
      </c>
      <c r="B980" s="3">
        <v>1.0839571665033156</v>
      </c>
      <c r="C980" s="3">
        <v>-4.7571665033157018E-3</v>
      </c>
    </row>
    <row r="981" spans="1:3" x14ac:dyDescent="0.3">
      <c r="A981" s="3">
        <v>957</v>
      </c>
      <c r="B981" s="3">
        <v>1.0863781660954519</v>
      </c>
      <c r="C981" s="3">
        <v>-1.0278166095451846E-2</v>
      </c>
    </row>
    <row r="982" spans="1:3" x14ac:dyDescent="0.3">
      <c r="A982" s="3">
        <v>958</v>
      </c>
      <c r="B982" s="3">
        <v>1.0838764665169112</v>
      </c>
      <c r="C982" s="3">
        <v>-7.7764665169111069E-3</v>
      </c>
    </row>
    <row r="983" spans="1:3" x14ac:dyDescent="0.3">
      <c r="A983" s="3">
        <v>959</v>
      </c>
      <c r="B983" s="3">
        <v>1.0838764665169112</v>
      </c>
      <c r="C983" s="3">
        <v>-4.6764665169112263E-3</v>
      </c>
    </row>
    <row r="984" spans="1:3" x14ac:dyDescent="0.3">
      <c r="A984" s="3">
        <v>960</v>
      </c>
      <c r="B984" s="3">
        <v>1.0863781660954519</v>
      </c>
      <c r="C984" s="3">
        <v>9.218339045480306E-4</v>
      </c>
    </row>
    <row r="985" spans="1:3" x14ac:dyDescent="0.3">
      <c r="A985" s="3">
        <v>961</v>
      </c>
      <c r="B985" s="3">
        <v>1.0929148649942197</v>
      </c>
      <c r="C985" s="3">
        <v>6.1851350057802179E-3</v>
      </c>
    </row>
    <row r="986" spans="1:3" x14ac:dyDescent="0.3">
      <c r="A986" s="3">
        <v>962</v>
      </c>
      <c r="B986" s="3">
        <v>1.1024374633899559</v>
      </c>
      <c r="C986" s="3">
        <v>-1.3037463389955928E-2</v>
      </c>
    </row>
    <row r="987" spans="1:3" x14ac:dyDescent="0.3">
      <c r="A987" s="3">
        <v>963</v>
      </c>
      <c r="B987" s="3">
        <v>1.0946095647087153</v>
      </c>
      <c r="C987" s="3">
        <v>-2.4095647087152283E-3</v>
      </c>
    </row>
    <row r="988" spans="1:3" x14ac:dyDescent="0.3">
      <c r="A988" s="3">
        <v>964</v>
      </c>
      <c r="B988" s="3">
        <v>1.0968691643280426</v>
      </c>
      <c r="C988" s="3">
        <v>1.1308356719574864E-3</v>
      </c>
    </row>
    <row r="989" spans="1:3" x14ac:dyDescent="0.3">
      <c r="A989" s="3">
        <v>965</v>
      </c>
      <c r="B989" s="3">
        <v>1.1015497635395062</v>
      </c>
      <c r="C989" s="3">
        <v>-7.7497635395060716E-3</v>
      </c>
    </row>
    <row r="990" spans="1:3" x14ac:dyDescent="0.3">
      <c r="A990" s="3">
        <v>966</v>
      </c>
      <c r="B990" s="3">
        <v>1.0981603641105153</v>
      </c>
      <c r="C990" s="3">
        <v>2.6396358894846816E-3</v>
      </c>
    </row>
    <row r="991" spans="1:3" x14ac:dyDescent="0.3">
      <c r="A991" s="3">
        <v>967</v>
      </c>
      <c r="B991" s="3">
        <v>1.1038093631588333</v>
      </c>
      <c r="C991" s="3">
        <v>-2.809363158833289E-3</v>
      </c>
    </row>
    <row r="992" spans="1:3" x14ac:dyDescent="0.3">
      <c r="A992" s="3">
        <v>968</v>
      </c>
      <c r="B992" s="3">
        <v>1.1039707631316422</v>
      </c>
      <c r="C992" s="3">
        <v>-3.270763131642207E-3</v>
      </c>
    </row>
    <row r="993" spans="1:3" x14ac:dyDescent="0.3">
      <c r="A993" s="3">
        <v>969</v>
      </c>
      <c r="B993" s="3">
        <v>1.1037286631724288</v>
      </c>
      <c r="C993" s="3">
        <v>4.7133682757127815E-4</v>
      </c>
    </row>
    <row r="994" spans="1:3" x14ac:dyDescent="0.3">
      <c r="A994" s="3">
        <v>970</v>
      </c>
      <c r="B994" s="3">
        <v>1.1065531626965877</v>
      </c>
      <c r="C994" s="3">
        <v>3.7468373034124092E-3</v>
      </c>
    </row>
    <row r="995" spans="1:3" x14ac:dyDescent="0.3">
      <c r="A995" s="3">
        <v>971</v>
      </c>
      <c r="B995" s="3">
        <v>1.1114758618672649</v>
      </c>
      <c r="C995" s="3">
        <v>-5.5758618672647753E-3</v>
      </c>
    </row>
    <row r="996" spans="1:3" x14ac:dyDescent="0.3">
      <c r="A996" s="3">
        <v>972</v>
      </c>
      <c r="B996" s="3">
        <v>1.1079250624654651</v>
      </c>
      <c r="C996" s="3">
        <v>-4.325062465465157E-3</v>
      </c>
    </row>
    <row r="997" spans="1:3" x14ac:dyDescent="0.3">
      <c r="A997" s="3">
        <v>973</v>
      </c>
      <c r="B997" s="3">
        <v>1.1060689627781604</v>
      </c>
      <c r="C997" s="3">
        <v>-7.0568962778160271E-2</v>
      </c>
    </row>
    <row r="998" spans="1:3" x14ac:dyDescent="0.3">
      <c r="A998" s="3">
        <v>974</v>
      </c>
      <c r="B998" s="3">
        <v>1.0511122720366668</v>
      </c>
      <c r="C998" s="3">
        <v>4.3587727963333212E-2</v>
      </c>
    </row>
    <row r="999" spans="1:3" x14ac:dyDescent="0.3">
      <c r="A999" s="3">
        <v>975</v>
      </c>
      <c r="B999" s="3">
        <v>1.0988866639881563</v>
      </c>
      <c r="C999" s="3">
        <v>-6.7866639881561941E-3</v>
      </c>
    </row>
    <row r="1000" spans="1:3" x14ac:dyDescent="0.3">
      <c r="A1000" s="3">
        <v>976</v>
      </c>
      <c r="B1000" s="3">
        <v>1.0967884643416381</v>
      </c>
      <c r="C1000" s="3">
        <v>-2.4884643416380747E-3</v>
      </c>
    </row>
    <row r="1001" spans="1:3" x14ac:dyDescent="0.3">
      <c r="A1001" s="3">
        <v>977</v>
      </c>
      <c r="B1001" s="3">
        <v>1.0985638640425379</v>
      </c>
      <c r="C1001" s="3">
        <v>-4.4638640425378462E-3</v>
      </c>
    </row>
    <row r="1002" spans="1:3" x14ac:dyDescent="0.3">
      <c r="A1002" s="3">
        <v>978</v>
      </c>
      <c r="B1002" s="3">
        <v>1.098402464069729</v>
      </c>
      <c r="C1002" s="3">
        <v>-3.5024640697289833E-3</v>
      </c>
    </row>
    <row r="1003" spans="1:3" x14ac:dyDescent="0.3">
      <c r="A1003" s="3">
        <v>979</v>
      </c>
      <c r="B1003" s="3">
        <v>1.0990480639609652</v>
      </c>
      <c r="C1003" s="3">
        <v>-5.9480639609652552E-3</v>
      </c>
    </row>
    <row r="1004" spans="1:3" x14ac:dyDescent="0.3">
      <c r="A1004" s="3">
        <v>980</v>
      </c>
      <c r="B1004" s="3">
        <v>1.0975954642056833</v>
      </c>
      <c r="C1004" s="3">
        <v>-4.9546420568336025E-4</v>
      </c>
    </row>
    <row r="1005" spans="1:3" x14ac:dyDescent="0.3">
      <c r="A1005" s="3">
        <v>981</v>
      </c>
      <c r="B1005" s="3">
        <v>1.100823463661865</v>
      </c>
      <c r="C1005" s="3">
        <v>-3.8234636618650342E-3</v>
      </c>
    </row>
    <row r="1006" spans="1:3" x14ac:dyDescent="0.3">
      <c r="A1006" s="3">
        <v>982</v>
      </c>
      <c r="B1006" s="3">
        <v>1.1007427636754605</v>
      </c>
      <c r="C1006" s="3">
        <v>-5.8427636754605494E-3</v>
      </c>
    </row>
    <row r="1007" spans="1:3" x14ac:dyDescent="0.3">
      <c r="A1007" s="3">
        <v>983</v>
      </c>
      <c r="B1007" s="3">
        <v>1.0990480639609652</v>
      </c>
      <c r="C1007" s="3">
        <v>-4.2480639609652204E-3</v>
      </c>
    </row>
    <row r="1008" spans="1:3" x14ac:dyDescent="0.3">
      <c r="A1008" s="3">
        <v>984</v>
      </c>
      <c r="B1008" s="3">
        <v>1.0989673639745607</v>
      </c>
      <c r="C1008" s="3">
        <v>-1.1567363974560818E-2</v>
      </c>
    </row>
    <row r="1009" spans="1:3" x14ac:dyDescent="0.3">
      <c r="A1009" s="3">
        <v>985</v>
      </c>
      <c r="B1009" s="3">
        <v>1.0929955649806244</v>
      </c>
      <c r="C1009" s="3">
        <v>-4.8955649806243784E-3</v>
      </c>
    </row>
    <row r="1010" spans="1:3" x14ac:dyDescent="0.3">
      <c r="A1010" s="3">
        <v>986</v>
      </c>
      <c r="B1010" s="3">
        <v>1.0935604648854564</v>
      </c>
      <c r="C1010" s="3">
        <v>-6.160464885456518E-3</v>
      </c>
    </row>
    <row r="1011" spans="1:3" x14ac:dyDescent="0.3">
      <c r="A1011" s="3">
        <v>987</v>
      </c>
      <c r="B1011" s="3">
        <v>1.0929955649806244</v>
      </c>
      <c r="C1011" s="3">
        <v>-3.2955649806245546E-3</v>
      </c>
    </row>
    <row r="1012" spans="1:3" x14ac:dyDescent="0.3">
      <c r="A1012" s="3">
        <v>988</v>
      </c>
      <c r="B1012" s="3">
        <v>1.0948516646679289</v>
      </c>
      <c r="C1012" s="3">
        <v>-6.7516646679288694E-3</v>
      </c>
    </row>
    <row r="1013" spans="1:3" x14ac:dyDescent="0.3">
      <c r="A1013" s="3">
        <v>989</v>
      </c>
      <c r="B1013" s="3">
        <v>1.0935604648854564</v>
      </c>
      <c r="C1013" s="3">
        <v>-8.4604648854564868E-3</v>
      </c>
    </row>
    <row r="1014" spans="1:3" x14ac:dyDescent="0.3">
      <c r="A1014" s="3">
        <v>990</v>
      </c>
      <c r="B1014" s="3">
        <v>1.09113946529332</v>
      </c>
      <c r="C1014" s="3">
        <v>-2.8394652933199094E-3</v>
      </c>
    </row>
    <row r="1015" spans="1:3" x14ac:dyDescent="0.3">
      <c r="A1015" s="3">
        <v>991</v>
      </c>
      <c r="B1015" s="3">
        <v>1.0937218648582654</v>
      </c>
      <c r="C1015" s="3">
        <v>-9.1218648582653827E-3</v>
      </c>
    </row>
    <row r="1016" spans="1:3" x14ac:dyDescent="0.3">
      <c r="A1016" s="3">
        <v>992</v>
      </c>
      <c r="B1016" s="3">
        <v>1.0907359653612971</v>
      </c>
      <c r="C1016" s="3">
        <v>-5.5359653612971904E-3</v>
      </c>
    </row>
    <row r="1017" spans="1:3" x14ac:dyDescent="0.3">
      <c r="A1017" s="3">
        <v>993</v>
      </c>
      <c r="B1017" s="3">
        <v>1.0912201652797244</v>
      </c>
      <c r="C1017" s="3">
        <v>-7.9201652797245004E-3</v>
      </c>
    </row>
    <row r="1018" spans="1:3" x14ac:dyDescent="0.3">
      <c r="A1018" s="3">
        <v>994</v>
      </c>
      <c r="B1018" s="3">
        <v>1.0896868655380381</v>
      </c>
      <c r="C1018" s="3">
        <v>-5.6868655380379884E-3</v>
      </c>
    </row>
    <row r="1019" spans="1:3" x14ac:dyDescent="0.3">
      <c r="A1019" s="3">
        <v>995</v>
      </c>
      <c r="B1019" s="3">
        <v>1.0902517654428701</v>
      </c>
      <c r="C1019" s="3">
        <v>-8.6517654428701629E-3</v>
      </c>
    </row>
    <row r="1020" spans="1:3" x14ac:dyDescent="0.3">
      <c r="A1020" s="3">
        <v>996</v>
      </c>
      <c r="B1020" s="3">
        <v>1.0883149657691609</v>
      </c>
      <c r="C1020" s="3">
        <v>-1.1149657691609249E-3</v>
      </c>
    </row>
    <row r="1021" spans="1:3" x14ac:dyDescent="0.3">
      <c r="A1021" s="3">
        <v>997</v>
      </c>
      <c r="B1021" s="3">
        <v>1.0928341650078153</v>
      </c>
      <c r="C1021" s="3">
        <v>-1.4434165007815247E-2</v>
      </c>
    </row>
    <row r="1022" spans="1:3" x14ac:dyDescent="0.3">
      <c r="A1022" s="3">
        <v>998</v>
      </c>
      <c r="B1022" s="3">
        <v>1.0857325662042157</v>
      </c>
      <c r="C1022" s="3">
        <v>-1.16325662042156E-2</v>
      </c>
    </row>
    <row r="1023" spans="1:3" x14ac:dyDescent="0.3">
      <c r="A1023" s="3">
        <v>999</v>
      </c>
      <c r="B1023" s="3">
        <v>1.0822624667888203</v>
      </c>
      <c r="C1023" s="3">
        <v>-6.8624667888204094E-3</v>
      </c>
    </row>
    <row r="1024" spans="1:3" x14ac:dyDescent="0.3">
      <c r="A1024" s="3">
        <v>1000</v>
      </c>
      <c r="B1024" s="3">
        <v>1.0833115666120792</v>
      </c>
      <c r="C1024" s="3">
        <v>-6.2115666120792223E-3</v>
      </c>
    </row>
    <row r="1025" spans="1:3" x14ac:dyDescent="0.3">
      <c r="A1025" s="3">
        <v>1001</v>
      </c>
      <c r="B1025" s="3">
        <v>1.0846834663809566</v>
      </c>
      <c r="C1025" s="3">
        <v>-7.0834663809566933E-3</v>
      </c>
    </row>
    <row r="1026" spans="1:3" x14ac:dyDescent="0.3">
      <c r="A1026" s="3">
        <v>1002</v>
      </c>
      <c r="B1026" s="3">
        <v>1.0850869663129792</v>
      </c>
      <c r="C1026" s="3">
        <v>-6.886966312979137E-3</v>
      </c>
    </row>
    <row r="1027" spans="1:3" x14ac:dyDescent="0.3">
      <c r="A1027" s="3">
        <v>1003</v>
      </c>
      <c r="B1027" s="3">
        <v>1.0855711662314067</v>
      </c>
      <c r="C1027" s="3">
        <v>-8.4711662314067571E-3</v>
      </c>
    </row>
    <row r="1028" spans="1:3" x14ac:dyDescent="0.3">
      <c r="A1028" s="3">
        <v>1004</v>
      </c>
      <c r="B1028" s="3">
        <v>1.0846834663809566</v>
      </c>
      <c r="C1028" s="3">
        <v>-1.3783466380956622E-2</v>
      </c>
    </row>
    <row r="1029" spans="1:3" x14ac:dyDescent="0.3">
      <c r="A1029" s="3">
        <v>1005</v>
      </c>
      <c r="B1029" s="3">
        <v>1.0796800672238749</v>
      </c>
      <c r="C1029" s="3">
        <v>-7.1800672238748753E-3</v>
      </c>
    </row>
    <row r="1030" spans="1:3" x14ac:dyDescent="0.3">
      <c r="A1030" s="3">
        <v>1006</v>
      </c>
      <c r="B1030" s="3">
        <v>1.0809712670063476</v>
      </c>
      <c r="C1030" s="3">
        <v>-3.8712670063476562E-3</v>
      </c>
    </row>
    <row r="1031" spans="1:3" x14ac:dyDescent="0.3">
      <c r="A1031" s="3">
        <v>1007</v>
      </c>
      <c r="B1031" s="3">
        <v>1.0846834663809566</v>
      </c>
      <c r="C1031" s="3">
        <v>-7.2834663809566713E-3</v>
      </c>
    </row>
    <row r="1032" spans="1:3" x14ac:dyDescent="0.3">
      <c r="A1032" s="3">
        <v>1008</v>
      </c>
      <c r="B1032" s="3">
        <v>1.08492556634017</v>
      </c>
      <c r="C1032" s="3">
        <v>-7.2255663401699088E-3</v>
      </c>
    </row>
    <row r="1033" spans="1:3" x14ac:dyDescent="0.3">
      <c r="A1033" s="3">
        <v>1009</v>
      </c>
      <c r="B1033" s="3">
        <v>1.0851676662993839</v>
      </c>
      <c r="C1033" s="3">
        <v>-4.8676662993838438E-3</v>
      </c>
    </row>
    <row r="1034" spans="1:3" x14ac:dyDescent="0.3">
      <c r="A1034" s="3">
        <v>1010</v>
      </c>
      <c r="B1034" s="3">
        <v>1.087265865945902</v>
      </c>
      <c r="C1034" s="3">
        <v>-5.5658659459019155E-3</v>
      </c>
    </row>
    <row r="1035" spans="1:3" x14ac:dyDescent="0.3">
      <c r="A1035" s="3">
        <v>1011</v>
      </c>
      <c r="B1035" s="3">
        <v>1.0883956657555656</v>
      </c>
      <c r="C1035" s="3">
        <v>-6.0956657555655269E-3</v>
      </c>
    </row>
    <row r="1036" spans="1:3" x14ac:dyDescent="0.3">
      <c r="A1036" s="3">
        <v>1012</v>
      </c>
      <c r="B1036" s="3">
        <v>1.0888798656739929</v>
      </c>
      <c r="C1036" s="3">
        <v>-7.079865673992769E-3</v>
      </c>
    </row>
    <row r="1037" spans="1:3" x14ac:dyDescent="0.3">
      <c r="A1037" s="3">
        <v>1013</v>
      </c>
      <c r="B1037" s="3">
        <v>1.08847636574197</v>
      </c>
      <c r="C1037" s="3">
        <v>-3.7763657419700447E-3</v>
      </c>
    </row>
    <row r="1038" spans="1:3" x14ac:dyDescent="0.3">
      <c r="A1038" s="3">
        <v>1014</v>
      </c>
      <c r="B1038" s="3">
        <v>1.0908166653477018</v>
      </c>
      <c r="C1038" s="3">
        <v>-6.4166653477017999E-3</v>
      </c>
    </row>
    <row r="1039" spans="1:3" x14ac:dyDescent="0.3">
      <c r="A1039" s="3">
        <v>1015</v>
      </c>
      <c r="B1039" s="3">
        <v>1.0905745653884882</v>
      </c>
      <c r="C1039" s="3">
        <v>-6.9745653884882852E-3</v>
      </c>
    </row>
    <row r="1040" spans="1:3" x14ac:dyDescent="0.3">
      <c r="A1040" s="3">
        <v>1016</v>
      </c>
      <c r="B1040" s="3">
        <v>1.0899289654972517</v>
      </c>
      <c r="C1040" s="3">
        <v>-9.6289654972516736E-3</v>
      </c>
    </row>
    <row r="1041" spans="1:3" x14ac:dyDescent="0.3">
      <c r="A1041" s="3">
        <v>1017</v>
      </c>
      <c r="B1041" s="3">
        <v>1.087265865945902</v>
      </c>
      <c r="C1041" s="3">
        <v>-3.5658659459019137E-3</v>
      </c>
    </row>
    <row r="1042" spans="1:3" x14ac:dyDescent="0.3">
      <c r="A1042" s="3">
        <v>1018</v>
      </c>
      <c r="B1042" s="3">
        <v>1.0900096654836564</v>
      </c>
      <c r="C1042" s="3">
        <v>-4.6096654836564888E-3</v>
      </c>
    </row>
    <row r="1043" spans="1:3" x14ac:dyDescent="0.3">
      <c r="A1043" s="3">
        <v>1019</v>
      </c>
      <c r="B1043" s="3">
        <v>1.0913815652525336</v>
      </c>
      <c r="C1043" s="3">
        <v>-5.8815652525336937E-3</v>
      </c>
    </row>
    <row r="1044" spans="1:3" x14ac:dyDescent="0.3">
      <c r="A1044" s="3">
        <v>1020</v>
      </c>
      <c r="B1044" s="3">
        <v>1.0914622652389381</v>
      </c>
      <c r="C1044" s="3">
        <v>-1.7622652389381877E-3</v>
      </c>
    </row>
    <row r="1045" spans="1:3" x14ac:dyDescent="0.3">
      <c r="A1045" s="3">
        <v>1021</v>
      </c>
      <c r="B1045" s="3">
        <v>1.0948516646679289</v>
      </c>
      <c r="C1045" s="3">
        <v>-2.5166466792891917E-4</v>
      </c>
    </row>
    <row r="1046" spans="1:3" x14ac:dyDescent="0.3">
      <c r="A1046" s="3">
        <v>1022</v>
      </c>
      <c r="B1046" s="3">
        <v>1.0988059640017516</v>
      </c>
      <c r="C1046" s="3">
        <v>-5.1059640017516728E-3</v>
      </c>
    </row>
    <row r="1047" spans="1:3" x14ac:dyDescent="0.3">
      <c r="A1047" s="3">
        <v>1023</v>
      </c>
      <c r="B1047" s="3">
        <v>1.0980796641241106</v>
      </c>
      <c r="C1047" s="3">
        <v>-5.4796641241106059E-3</v>
      </c>
    </row>
    <row r="1048" spans="1:3" x14ac:dyDescent="0.3">
      <c r="A1048" s="3">
        <v>1024</v>
      </c>
      <c r="B1048" s="3">
        <v>1.0971919642736607</v>
      </c>
      <c r="C1048" s="3">
        <v>-4.7919642736606871E-3</v>
      </c>
    </row>
    <row r="1049" spans="1:3" x14ac:dyDescent="0.3">
      <c r="A1049" s="3">
        <v>1025</v>
      </c>
      <c r="B1049" s="3">
        <v>1.0970305643008516</v>
      </c>
      <c r="C1049" s="3">
        <v>-2.4305643008515343E-3</v>
      </c>
    </row>
    <row r="1050" spans="1:3" x14ac:dyDescent="0.3">
      <c r="A1050" s="3">
        <v>1026</v>
      </c>
      <c r="B1050" s="3">
        <v>1.0988059640017516</v>
      </c>
      <c r="C1050" s="3">
        <v>-1.07059640017515E-2</v>
      </c>
    </row>
    <row r="1051" spans="1:3" x14ac:dyDescent="0.3">
      <c r="A1051" s="3">
        <v>1027</v>
      </c>
      <c r="B1051" s="3">
        <v>1.0935604648854564</v>
      </c>
      <c r="C1051" s="3">
        <v>-4.8604648854564392E-3</v>
      </c>
    </row>
    <row r="1052" spans="1:3" x14ac:dyDescent="0.3">
      <c r="A1052" s="3">
        <v>1028</v>
      </c>
      <c r="B1052" s="3">
        <v>1.0940446648038835</v>
      </c>
      <c r="C1052" s="3">
        <v>-6.9446648038835601E-3</v>
      </c>
    </row>
    <row r="1053" spans="1:3" x14ac:dyDescent="0.3">
      <c r="A1053" s="3">
        <v>1029</v>
      </c>
      <c r="B1053" s="3">
        <v>1.0927534650214108</v>
      </c>
      <c r="C1053" s="3">
        <v>-6.2534650214107756E-3</v>
      </c>
    </row>
    <row r="1054" spans="1:3" x14ac:dyDescent="0.3">
      <c r="A1054" s="3">
        <v>1030</v>
      </c>
      <c r="B1054" s="3">
        <v>1.0922692651029835</v>
      </c>
      <c r="C1054" s="3">
        <v>-4.6926510298339608E-4</v>
      </c>
    </row>
    <row r="1055" spans="1:3" x14ac:dyDescent="0.3">
      <c r="A1055" s="3">
        <v>1031</v>
      </c>
      <c r="B1055" s="3">
        <v>1.0965463643824245</v>
      </c>
      <c r="C1055" s="3">
        <v>-1.05463643824244E-2</v>
      </c>
    </row>
    <row r="1056" spans="1:3" x14ac:dyDescent="0.3">
      <c r="A1056" s="3">
        <v>1032</v>
      </c>
      <c r="B1056" s="3">
        <v>1.0918657651709609</v>
      </c>
      <c r="C1056" s="3">
        <v>-1.1365765170960884E-2</v>
      </c>
    </row>
    <row r="1057" spans="1:3" x14ac:dyDescent="0.3">
      <c r="A1057" s="3">
        <v>1033</v>
      </c>
      <c r="B1057" s="3">
        <v>1.087427265918711</v>
      </c>
      <c r="C1057" s="3">
        <v>-3.8272659187110758E-3</v>
      </c>
    </row>
    <row r="1058" spans="1:3" x14ac:dyDescent="0.3">
      <c r="A1058" s="3">
        <v>1034</v>
      </c>
      <c r="B1058" s="3">
        <v>1.0899289654972517</v>
      </c>
      <c r="C1058" s="3">
        <v>-6.9289654972517489E-3</v>
      </c>
    </row>
    <row r="1059" spans="1:3" x14ac:dyDescent="0.3">
      <c r="A1059" s="3">
        <v>1035</v>
      </c>
      <c r="B1059" s="3">
        <v>1.0894447655788246</v>
      </c>
      <c r="C1059" s="3">
        <v>-6.8447655788246298E-3</v>
      </c>
    </row>
    <row r="1060" spans="1:3" x14ac:dyDescent="0.3">
      <c r="A1060" s="3">
        <v>1036</v>
      </c>
      <c r="B1060" s="3">
        <v>1.0891219656332063</v>
      </c>
      <c r="C1060" s="3">
        <v>-1.0421965633206298E-2</v>
      </c>
    </row>
    <row r="1061" spans="1:3" x14ac:dyDescent="0.3">
      <c r="A1061" s="3">
        <v>1037</v>
      </c>
      <c r="B1061" s="3">
        <v>1.0859746661634291</v>
      </c>
      <c r="C1061" s="3">
        <v>-6.6746661634291549E-3</v>
      </c>
    </row>
    <row r="1062" spans="1:3" x14ac:dyDescent="0.3">
      <c r="A1062" s="3">
        <v>1038</v>
      </c>
      <c r="B1062" s="3">
        <v>1.0864588660818564</v>
      </c>
      <c r="C1062" s="3">
        <v>-1.2158866081856345E-2</v>
      </c>
    </row>
    <row r="1063" spans="1:3" x14ac:dyDescent="0.3">
      <c r="A1063" s="3">
        <v>1039</v>
      </c>
      <c r="B1063" s="3">
        <v>1.0824238667616295</v>
      </c>
      <c r="C1063" s="3">
        <v>-5.6238667616295146E-3</v>
      </c>
    </row>
    <row r="1064" spans="1:3" x14ac:dyDescent="0.3">
      <c r="A1064" s="3">
        <v>1040</v>
      </c>
      <c r="B1064" s="3">
        <v>1.0844413664217429</v>
      </c>
      <c r="C1064" s="3">
        <v>-9.4136642174302843E-4</v>
      </c>
    </row>
    <row r="1065" spans="1:3" x14ac:dyDescent="0.3">
      <c r="A1065" s="3">
        <v>1041</v>
      </c>
      <c r="B1065" s="3">
        <v>1.0898482655108472</v>
      </c>
      <c r="C1065" s="3">
        <v>-6.3482655108473285E-3</v>
      </c>
    </row>
    <row r="1066" spans="1:3" x14ac:dyDescent="0.3">
      <c r="A1066" s="3">
        <v>1042</v>
      </c>
      <c r="B1066" s="3">
        <v>1.0898482655108472</v>
      </c>
      <c r="C1066" s="3">
        <v>-6.3482655108473285E-3</v>
      </c>
    </row>
    <row r="1067" spans="1:3" x14ac:dyDescent="0.3">
      <c r="A1067" s="3">
        <v>1043</v>
      </c>
      <c r="B1067" s="3">
        <v>1.0898482655108472</v>
      </c>
      <c r="C1067" s="3">
        <v>-4.0482655108471377E-3</v>
      </c>
    </row>
    <row r="1068" spans="1:3" x14ac:dyDescent="0.3">
      <c r="A1068" s="3">
        <v>1044</v>
      </c>
      <c r="B1068" s="3">
        <v>1.0917043651981517</v>
      </c>
      <c r="C1068" s="3">
        <v>-6.2043651981518178E-3</v>
      </c>
    </row>
    <row r="1069" spans="1:3" x14ac:dyDescent="0.3">
      <c r="A1069" s="3">
        <v>1045</v>
      </c>
      <c r="B1069" s="3">
        <v>1.0914622652389381</v>
      </c>
      <c r="C1069" s="3">
        <v>-1.7262265238938035E-2</v>
      </c>
    </row>
    <row r="1070" spans="1:3" x14ac:dyDescent="0.3">
      <c r="A1070" s="3">
        <v>1046</v>
      </c>
      <c r="B1070" s="3">
        <v>1.0823431667752248</v>
      </c>
      <c r="C1070" s="3">
        <v>-9.9431667752247765E-3</v>
      </c>
    </row>
    <row r="1071" spans="1:3" x14ac:dyDescent="0.3">
      <c r="A1071" s="3">
        <v>1047</v>
      </c>
      <c r="B1071" s="3">
        <v>1.0808905670199431</v>
      </c>
      <c r="C1071" s="3">
        <v>-1.6690567019943092E-2</v>
      </c>
    </row>
    <row r="1072" spans="1:3" x14ac:dyDescent="0.3">
      <c r="A1072" s="3">
        <v>1048</v>
      </c>
      <c r="B1072" s="3">
        <v>1.0742731681347704</v>
      </c>
      <c r="C1072" s="3">
        <v>-1.2073168134770329E-2</v>
      </c>
    </row>
    <row r="1073" spans="1:3" x14ac:dyDescent="0.3">
      <c r="A1073" s="3">
        <v>1049</v>
      </c>
      <c r="B1073" s="3">
        <v>1.0726591684066795</v>
      </c>
      <c r="C1073" s="3">
        <v>-1.0959168406679431E-2</v>
      </c>
    </row>
    <row r="1074" spans="1:3" x14ac:dyDescent="0.3">
      <c r="A1074" s="3">
        <v>1050</v>
      </c>
      <c r="B1074" s="3">
        <v>1.0722556684746569</v>
      </c>
      <c r="C1074" s="3">
        <v>-5.1556684746569825E-3</v>
      </c>
    </row>
    <row r="1075" spans="1:3" x14ac:dyDescent="0.3">
      <c r="A1075" s="3">
        <v>1051</v>
      </c>
      <c r="B1075" s="3">
        <v>1.0766134677405022</v>
      </c>
      <c r="C1075" s="3">
        <v>-1.2313467740502126E-2</v>
      </c>
    </row>
    <row r="1076" spans="1:3" x14ac:dyDescent="0.3">
      <c r="A1076" s="3">
        <v>1052</v>
      </c>
      <c r="B1076" s="3">
        <v>1.0743538681211751</v>
      </c>
      <c r="C1076" s="3">
        <v>-8.953868121175157E-3</v>
      </c>
    </row>
    <row r="1077" spans="1:3" x14ac:dyDescent="0.3">
      <c r="A1077" s="3">
        <v>1053</v>
      </c>
      <c r="B1077" s="3">
        <v>1.075241567971625</v>
      </c>
      <c r="C1077" s="3">
        <v>-9.8415679716250537E-3</v>
      </c>
    </row>
    <row r="1078" spans="1:3" x14ac:dyDescent="0.3">
      <c r="A1078" s="3">
        <v>1054</v>
      </c>
      <c r="B1078" s="3">
        <v>1.075241567971625</v>
      </c>
      <c r="C1078" s="3">
        <v>-5.3415679716248832E-3</v>
      </c>
    </row>
    <row r="1079" spans="1:3" x14ac:dyDescent="0.3">
      <c r="A1079" s="3">
        <v>1055</v>
      </c>
      <c r="B1079" s="3">
        <v>1.0788730673598295</v>
      </c>
      <c r="C1079" s="3">
        <v>-9.1730673598293677E-3</v>
      </c>
    </row>
    <row r="1080" spans="1:3" x14ac:dyDescent="0.3">
      <c r="A1080" s="3">
        <v>1056</v>
      </c>
      <c r="B1080" s="3">
        <v>1.0787116673870205</v>
      </c>
      <c r="C1080" s="3">
        <v>-5.8116673870205471E-3</v>
      </c>
    </row>
    <row r="1081" spans="1:3" x14ac:dyDescent="0.3">
      <c r="A1081" s="3">
        <v>1057</v>
      </c>
      <c r="B1081" s="3">
        <v>1.0812940669519657</v>
      </c>
      <c r="C1081" s="3">
        <v>-1.2094066951965798E-2</v>
      </c>
    </row>
    <row r="1082" spans="1:3" x14ac:dyDescent="0.3">
      <c r="A1082" s="3">
        <v>1058</v>
      </c>
      <c r="B1082" s="3">
        <v>1.0783081674549977</v>
      </c>
      <c r="C1082" s="3">
        <v>-6.4081674549976153E-3</v>
      </c>
    </row>
    <row r="1083" spans="1:3" x14ac:dyDescent="0.3">
      <c r="A1083" s="3">
        <v>1059</v>
      </c>
      <c r="B1083" s="3">
        <v>1.0804870670879203</v>
      </c>
      <c r="C1083" s="3">
        <v>-1.3987067087920302E-2</v>
      </c>
    </row>
    <row r="1084" spans="1:3" x14ac:dyDescent="0.3">
      <c r="A1084" s="3">
        <v>1060</v>
      </c>
      <c r="B1084" s="3">
        <v>1.0761292678220751</v>
      </c>
      <c r="C1084" s="3">
        <v>-5.2292678220751121E-3</v>
      </c>
    </row>
    <row r="1085" spans="1:3" x14ac:dyDescent="0.3">
      <c r="A1085" s="3">
        <v>1061</v>
      </c>
      <c r="B1085" s="3">
        <v>1.0796800672238749</v>
      </c>
      <c r="C1085" s="3">
        <v>-7.1800672238748753E-3</v>
      </c>
    </row>
    <row r="1086" spans="1:3" x14ac:dyDescent="0.3">
      <c r="A1086" s="3">
        <v>1062</v>
      </c>
      <c r="B1086" s="3">
        <v>1.0809712670063476</v>
      </c>
      <c r="C1086" s="3">
        <v>-5.171267006347513E-3</v>
      </c>
    </row>
    <row r="1087" spans="1:3" x14ac:dyDescent="0.3">
      <c r="A1087" s="3">
        <v>1063</v>
      </c>
      <c r="B1087" s="3">
        <v>1.0836343665576975</v>
      </c>
      <c r="C1087" s="3">
        <v>-6.8343665576975354E-3</v>
      </c>
    </row>
    <row r="1088" spans="1:3" x14ac:dyDescent="0.3">
      <c r="A1088" s="3">
        <v>1064</v>
      </c>
      <c r="B1088" s="3">
        <v>1.0844413664217429</v>
      </c>
      <c r="C1088" s="3">
        <v>-9.2413664217430025E-3</v>
      </c>
    </row>
    <row r="1089" spans="1:3" x14ac:dyDescent="0.3">
      <c r="A1089" s="3">
        <v>1065</v>
      </c>
      <c r="B1089" s="3">
        <v>1.0831501666392702</v>
      </c>
      <c r="C1089" s="3">
        <v>-8.650166639270207E-3</v>
      </c>
    </row>
    <row r="1090" spans="1:3" x14ac:dyDescent="0.3">
      <c r="A1090" s="3">
        <v>1066</v>
      </c>
      <c r="B1090" s="3">
        <v>1.0825852667344384</v>
      </c>
      <c r="C1090" s="3">
        <v>-4.4852667344383867E-3</v>
      </c>
    </row>
    <row r="1091" spans="1:3" x14ac:dyDescent="0.3">
      <c r="A1091" s="3">
        <v>1067</v>
      </c>
      <c r="B1091" s="3">
        <v>1.085490466245002</v>
      </c>
      <c r="C1091" s="3">
        <v>-8.5904662450020375E-3</v>
      </c>
    </row>
    <row r="1092" spans="1:3" x14ac:dyDescent="0.3">
      <c r="A1092" s="3">
        <v>1068</v>
      </c>
      <c r="B1092" s="3">
        <v>1.0845220664081474</v>
      </c>
      <c r="C1092" s="3">
        <v>-5.7220664081474304E-3</v>
      </c>
    </row>
    <row r="1093" spans="1:3" x14ac:dyDescent="0.3">
      <c r="A1093" s="3">
        <v>1069</v>
      </c>
      <c r="B1093" s="3">
        <v>1.0860553661498338</v>
      </c>
      <c r="C1093" s="3">
        <v>-4.2553661498336837E-3</v>
      </c>
    </row>
    <row r="1094" spans="1:3" x14ac:dyDescent="0.3">
      <c r="A1094" s="3">
        <v>1070</v>
      </c>
      <c r="B1094" s="3">
        <v>1.08847636574197</v>
      </c>
      <c r="C1094" s="3">
        <v>-2.7636574196998609E-4</v>
      </c>
    </row>
    <row r="1095" spans="1:3" x14ac:dyDescent="0.3">
      <c r="A1095" s="3">
        <v>1071</v>
      </c>
      <c r="B1095" s="3">
        <v>1.0936411648718609</v>
      </c>
      <c r="C1095" s="3">
        <v>-7.1411648718608944E-3</v>
      </c>
    </row>
    <row r="1096" spans="1:3" x14ac:dyDescent="0.3">
      <c r="A1096" s="3">
        <v>1072</v>
      </c>
      <c r="B1096" s="3">
        <v>1.0922692651029835</v>
      </c>
      <c r="C1096" s="3">
        <v>-5.2692651029835336E-3</v>
      </c>
    </row>
    <row r="1097" spans="1:3" x14ac:dyDescent="0.3">
      <c r="A1097" s="3">
        <v>1073</v>
      </c>
      <c r="B1097" s="3">
        <v>1.0926727650350063</v>
      </c>
      <c r="C1097" s="3">
        <v>-7.172765035006412E-3</v>
      </c>
    </row>
    <row r="1098" spans="1:3" x14ac:dyDescent="0.3">
      <c r="A1098" s="3">
        <v>1074</v>
      </c>
      <c r="B1098" s="3">
        <v>1.0914622652389381</v>
      </c>
      <c r="C1098" s="3">
        <v>-6.0622652389381582E-3</v>
      </c>
    </row>
    <row r="1099" spans="1:3" x14ac:dyDescent="0.3">
      <c r="A1099" s="3">
        <v>1075</v>
      </c>
      <c r="B1099" s="3">
        <v>1.0913815652525336</v>
      </c>
      <c r="C1099" s="3">
        <v>-9.2815652525335413E-3</v>
      </c>
    </row>
    <row r="1100" spans="1:3" x14ac:dyDescent="0.3">
      <c r="A1100" s="3">
        <v>1076</v>
      </c>
      <c r="B1100" s="3">
        <v>1.0887184657011839</v>
      </c>
      <c r="C1100" s="3">
        <v>-7.418465701183985E-3</v>
      </c>
    </row>
    <row r="1101" spans="1:3" x14ac:dyDescent="0.3">
      <c r="A1101" s="3">
        <v>1077</v>
      </c>
      <c r="B1101" s="3">
        <v>1.0880728658099472</v>
      </c>
      <c r="C1101" s="3">
        <v>-3.572865809947201E-3</v>
      </c>
    </row>
    <row r="1102" spans="1:3" x14ac:dyDescent="0.3">
      <c r="A1102" s="3">
        <v>1078</v>
      </c>
      <c r="B1102" s="3">
        <v>1.0906552653748927</v>
      </c>
      <c r="C1102" s="3">
        <v>-4.8552653748925589E-3</v>
      </c>
    </row>
    <row r="1103" spans="1:3" x14ac:dyDescent="0.3">
      <c r="A1103" s="3">
        <v>1079</v>
      </c>
      <c r="B1103" s="3">
        <v>1.0917043651981517</v>
      </c>
      <c r="C1103" s="3">
        <v>-6.2043651981518178E-3</v>
      </c>
    </row>
    <row r="1104" spans="1:3" x14ac:dyDescent="0.3">
      <c r="A1104" s="3">
        <v>1080</v>
      </c>
      <c r="B1104" s="3">
        <v>1.0914622652389381</v>
      </c>
      <c r="C1104" s="3">
        <v>-1.1462265238938008E-2</v>
      </c>
    </row>
    <row r="1105" spans="1:3" x14ac:dyDescent="0.3">
      <c r="A1105" s="3">
        <v>1081</v>
      </c>
      <c r="B1105" s="3">
        <v>1.0870237659866884</v>
      </c>
      <c r="C1105" s="3">
        <v>-3.8237659866884322E-3</v>
      </c>
    </row>
    <row r="1106" spans="1:3" x14ac:dyDescent="0.3">
      <c r="A1106" s="3">
        <v>1082</v>
      </c>
      <c r="B1106" s="3">
        <v>1.0896061655516336</v>
      </c>
      <c r="C1106" s="3">
        <v>-5.5061655516335239E-3</v>
      </c>
    </row>
    <row r="1107" spans="1:3" x14ac:dyDescent="0.3">
      <c r="A1107" s="3">
        <v>1083</v>
      </c>
      <c r="B1107" s="3">
        <v>1.0903324654292748</v>
      </c>
      <c r="C1107" s="3">
        <v>-1.324654292746974E-4</v>
      </c>
    </row>
    <row r="1108" spans="1:3" x14ac:dyDescent="0.3">
      <c r="A1108" s="3">
        <v>1084</v>
      </c>
      <c r="B1108" s="3">
        <v>1.0952551645999518</v>
      </c>
      <c r="C1108" s="3">
        <v>-7.455164599951658E-3</v>
      </c>
    </row>
    <row r="1109" spans="1:3" x14ac:dyDescent="0.3">
      <c r="A1109" s="3">
        <v>1085</v>
      </c>
      <c r="B1109" s="3">
        <v>1.0933183649262428</v>
      </c>
      <c r="C1109" s="3">
        <v>-6.5183649262428034E-3</v>
      </c>
    </row>
    <row r="1110" spans="1:3" x14ac:dyDescent="0.3">
      <c r="A1110" s="3">
        <v>1086</v>
      </c>
      <c r="B1110" s="3">
        <v>1.0925113650621974</v>
      </c>
      <c r="C1110" s="3">
        <v>-3.7113650621973804E-3</v>
      </c>
    </row>
    <row r="1111" spans="1:3" x14ac:dyDescent="0.3">
      <c r="A1111" s="3">
        <v>1087</v>
      </c>
      <c r="B1111" s="3">
        <v>1.0941253647902882</v>
      </c>
      <c r="C1111" s="3">
        <v>-1.4125364790288142E-2</v>
      </c>
    </row>
    <row r="1112" spans="1:3" x14ac:dyDescent="0.3">
      <c r="A1112" s="3">
        <v>1088</v>
      </c>
      <c r="B1112" s="3">
        <v>1.0870237659866884</v>
      </c>
      <c r="C1112" s="3">
        <v>-1.0723765986688338E-2</v>
      </c>
    </row>
    <row r="1113" spans="1:3" x14ac:dyDescent="0.3">
      <c r="A1113" s="3">
        <v>1089</v>
      </c>
      <c r="B1113" s="3">
        <v>1.0840378664897203</v>
      </c>
      <c r="C1113" s="3">
        <v>-1.013786648972026E-2</v>
      </c>
    </row>
    <row r="1114" spans="1:3" x14ac:dyDescent="0.3">
      <c r="A1114" s="3">
        <v>1090</v>
      </c>
      <c r="B1114" s="3">
        <v>1.0821010668160111</v>
      </c>
      <c r="C1114" s="3">
        <v>-1.4010668160111539E-3</v>
      </c>
    </row>
    <row r="1115" spans="1:3" x14ac:dyDescent="0.3">
      <c r="A1115" s="3">
        <v>1091</v>
      </c>
      <c r="B1115" s="3">
        <v>1.0875886658915199</v>
      </c>
      <c r="C1115" s="3">
        <v>-1.4088665891520025E-2</v>
      </c>
    </row>
    <row r="1116" spans="1:3" x14ac:dyDescent="0.3">
      <c r="A1116" s="3">
        <v>1092</v>
      </c>
      <c r="B1116" s="3">
        <v>1.0817782668703928</v>
      </c>
      <c r="C1116" s="3">
        <v>-1.177826687039274E-2</v>
      </c>
    </row>
    <row r="1117" spans="1:3" x14ac:dyDescent="0.3">
      <c r="A1117" s="3">
        <v>1093</v>
      </c>
      <c r="B1117" s="3">
        <v>1.0789537673462339</v>
      </c>
      <c r="C1117" s="3">
        <v>-5.5537673462340287E-3</v>
      </c>
    </row>
    <row r="1118" spans="1:3" x14ac:dyDescent="0.3">
      <c r="A1118" s="3">
        <v>1094</v>
      </c>
      <c r="B1118" s="3">
        <v>1.0816975668839883</v>
      </c>
      <c r="C1118" s="3">
        <v>-7.8975668839882385E-3</v>
      </c>
    </row>
    <row r="1119" spans="1:3" x14ac:dyDescent="0.3">
      <c r="A1119" s="3">
        <v>1095</v>
      </c>
      <c r="B1119" s="3">
        <v>1.0820203668296067</v>
      </c>
      <c r="C1119" s="3">
        <v>-7.8203668296066287E-3</v>
      </c>
    </row>
    <row r="1120" spans="1:3" x14ac:dyDescent="0.3">
      <c r="A1120" s="3">
        <v>1096</v>
      </c>
      <c r="B1120" s="3">
        <v>1.0823431667752248</v>
      </c>
      <c r="C1120" s="3">
        <v>-1.2343166775224734E-2</v>
      </c>
    </row>
    <row r="1121" spans="1:3" x14ac:dyDescent="0.3">
      <c r="A1121" s="3">
        <v>1097</v>
      </c>
      <c r="B1121" s="3">
        <v>1.0789537673462339</v>
      </c>
      <c r="C1121" s="3">
        <v>-9.8537673462339992E-3</v>
      </c>
    </row>
    <row r="1122" spans="1:3" x14ac:dyDescent="0.3">
      <c r="A1122" s="3">
        <v>1098</v>
      </c>
      <c r="B1122" s="3">
        <v>1.078227467468593</v>
      </c>
      <c r="C1122" s="3">
        <v>-5.0274674685930609E-3</v>
      </c>
    </row>
    <row r="1123" spans="1:3" x14ac:dyDescent="0.3">
      <c r="A1123" s="3">
        <v>1099</v>
      </c>
      <c r="B1123" s="3">
        <v>1.0815361669111794</v>
      </c>
      <c r="C1123" s="3">
        <v>-1.0236166911179456E-2</v>
      </c>
    </row>
    <row r="1124" spans="1:3" x14ac:dyDescent="0.3">
      <c r="A1124" s="3">
        <v>1100</v>
      </c>
      <c r="B1124" s="3">
        <v>1.080002867169493</v>
      </c>
      <c r="C1124" s="3">
        <v>-1.2102867169492937E-2</v>
      </c>
    </row>
    <row r="1125" spans="1:3" x14ac:dyDescent="0.3">
      <c r="A1125" s="3">
        <v>1101</v>
      </c>
      <c r="B1125" s="3">
        <v>1.0772590676317386</v>
      </c>
      <c r="C1125" s="3">
        <v>-7.0590676317385803E-3</v>
      </c>
    </row>
    <row r="1126" spans="1:3" x14ac:dyDescent="0.3">
      <c r="A1126" s="3">
        <v>1102</v>
      </c>
      <c r="B1126" s="3">
        <v>1.0791151673190431</v>
      </c>
      <c r="C1126" s="3">
        <v>-7.8151673190431925E-3</v>
      </c>
    </row>
    <row r="1127" spans="1:3" x14ac:dyDescent="0.3">
      <c r="A1127" s="3">
        <v>1103</v>
      </c>
      <c r="B1127" s="3">
        <v>1.080002867169493</v>
      </c>
      <c r="C1127" s="3">
        <v>-6.2028671694929205E-3</v>
      </c>
    </row>
    <row r="1128" spans="1:3" x14ac:dyDescent="0.3">
      <c r="A1128" s="3">
        <v>1104</v>
      </c>
      <c r="B1128" s="3">
        <v>1.0820203668296067</v>
      </c>
      <c r="C1128" s="3">
        <v>-7.6203668296066507E-3</v>
      </c>
    </row>
    <row r="1129" spans="1:3" x14ac:dyDescent="0.3">
      <c r="A1129" s="3">
        <v>1105</v>
      </c>
      <c r="B1129" s="3">
        <v>1.082504566748034</v>
      </c>
      <c r="C1129" s="3">
        <v>-3.9045667480339663E-3</v>
      </c>
    </row>
    <row r="1130" spans="1:3" x14ac:dyDescent="0.3">
      <c r="A1130" s="3">
        <v>1106</v>
      </c>
      <c r="B1130" s="3">
        <v>1.0858939661770246</v>
      </c>
      <c r="C1130" s="3">
        <v>-4.8939661770246445E-3</v>
      </c>
    </row>
    <row r="1131" spans="1:3" x14ac:dyDescent="0.3">
      <c r="A1131" s="3">
        <v>1107</v>
      </c>
      <c r="B1131" s="3">
        <v>1.0878307658507338</v>
      </c>
      <c r="C1131" s="3">
        <v>-4.2307658507338974E-3</v>
      </c>
    </row>
    <row r="1132" spans="1:3" x14ac:dyDescent="0.3">
      <c r="A1132" s="3">
        <v>1108</v>
      </c>
      <c r="B1132" s="3">
        <v>1.0899289654972517</v>
      </c>
      <c r="C1132" s="3">
        <v>-7.7289654972516608E-3</v>
      </c>
    </row>
    <row r="1133" spans="1:3" x14ac:dyDescent="0.3">
      <c r="A1133" s="3">
        <v>1109</v>
      </c>
      <c r="B1133" s="3">
        <v>1.0887991656875884</v>
      </c>
      <c r="C1133" s="3">
        <v>-7.5991656875884495E-3</v>
      </c>
    </row>
    <row r="1134" spans="1:3" x14ac:dyDescent="0.3">
      <c r="A1134" s="3">
        <v>1110</v>
      </c>
      <c r="B1134" s="3">
        <v>1.0879921658235427</v>
      </c>
      <c r="C1134" s="3">
        <v>-4.9921658235427824E-3</v>
      </c>
    </row>
    <row r="1135" spans="1:3" x14ac:dyDescent="0.3">
      <c r="A1135" s="3">
        <v>1111</v>
      </c>
      <c r="B1135" s="3">
        <v>1.0894447655788246</v>
      </c>
      <c r="C1135" s="3">
        <v>-2.9447655788246152E-3</v>
      </c>
    </row>
    <row r="1136" spans="1:3" x14ac:dyDescent="0.3">
      <c r="A1136" s="3">
        <v>1112</v>
      </c>
      <c r="B1136" s="3">
        <v>1.0922692651029835</v>
      </c>
      <c r="C1136" s="3">
        <v>-1.669265102983486E-3</v>
      </c>
    </row>
    <row r="1137" spans="1:3" x14ac:dyDescent="0.3">
      <c r="A1137" s="3">
        <v>1113</v>
      </c>
      <c r="B1137" s="3">
        <v>1.0955779645455699</v>
      </c>
      <c r="C1137" s="3">
        <v>-6.1779645455699583E-3</v>
      </c>
    </row>
    <row r="1138" spans="1:3" x14ac:dyDescent="0.3">
      <c r="A1138" s="3">
        <v>1114</v>
      </c>
      <c r="B1138" s="3">
        <v>1.0946095647087153</v>
      </c>
      <c r="C1138" s="3">
        <v>-4.9095647087153971E-3</v>
      </c>
    </row>
    <row r="1139" spans="1:3" x14ac:dyDescent="0.3">
      <c r="A1139" s="3">
        <v>1115</v>
      </c>
      <c r="B1139" s="3">
        <v>1.0948516646679289</v>
      </c>
      <c r="C1139" s="3">
        <v>-1.1516646679290421E-3</v>
      </c>
    </row>
    <row r="1140" spans="1:3" x14ac:dyDescent="0.3">
      <c r="A1140" s="3">
        <v>1116</v>
      </c>
      <c r="B1140" s="3">
        <v>1.0980796641241106</v>
      </c>
      <c r="C1140" s="3">
        <v>-8.4796641241107196E-3</v>
      </c>
    </row>
    <row r="1141" spans="1:3" x14ac:dyDescent="0.3">
      <c r="A1141" s="3">
        <v>1117</v>
      </c>
      <c r="B1141" s="3">
        <v>1.0947709646815245</v>
      </c>
      <c r="C1141" s="3">
        <v>-7.0709646815245719E-3</v>
      </c>
    </row>
    <row r="1142" spans="1:3" x14ac:dyDescent="0.3">
      <c r="A1142" s="3">
        <v>1118</v>
      </c>
      <c r="B1142" s="3">
        <v>1.0932376649398381</v>
      </c>
      <c r="C1142" s="3">
        <v>-4.3376649398381151E-3</v>
      </c>
    </row>
    <row r="1143" spans="1:3" x14ac:dyDescent="0.3">
      <c r="A1143" s="3">
        <v>1119</v>
      </c>
      <c r="B1143" s="3">
        <v>1.0942060647766927</v>
      </c>
      <c r="C1143" s="3">
        <v>-9.106064776692735E-3</v>
      </c>
    </row>
    <row r="1144" spans="1:3" x14ac:dyDescent="0.3">
      <c r="A1144" s="3">
        <v>1120</v>
      </c>
      <c r="B1144" s="3">
        <v>1.09113946529332</v>
      </c>
      <c r="C1144" s="3">
        <v>-7.2394652933198689E-3</v>
      </c>
    </row>
    <row r="1145" spans="1:3" x14ac:dyDescent="0.3">
      <c r="A1145" s="3">
        <v>1121</v>
      </c>
      <c r="B1145" s="3">
        <v>1.0901710654564656</v>
      </c>
      <c r="C1145" s="3">
        <v>-5.7710654564655517E-3</v>
      </c>
    </row>
    <row r="1146" spans="1:3" x14ac:dyDescent="0.3">
      <c r="A1146" s="3">
        <v>1122</v>
      </c>
      <c r="B1146" s="3">
        <v>1.0905745653884882</v>
      </c>
      <c r="C1146" s="3">
        <v>-4.8745653884880724E-3</v>
      </c>
    </row>
    <row r="1147" spans="1:3" x14ac:dyDescent="0.3">
      <c r="A1147" s="3">
        <v>1123</v>
      </c>
      <c r="B1147" s="3">
        <v>1.0916236652117473</v>
      </c>
      <c r="C1147" s="3">
        <v>-9.7236652117471678E-3</v>
      </c>
    </row>
    <row r="1148" spans="1:3" x14ac:dyDescent="0.3">
      <c r="A1148" s="3">
        <v>1124</v>
      </c>
      <c r="B1148" s="3">
        <v>1.0885570657283745</v>
      </c>
      <c r="C1148" s="3">
        <v>-7.0570657283746119E-3</v>
      </c>
    </row>
    <row r="1149" spans="1:3" x14ac:dyDescent="0.3">
      <c r="A1149" s="3">
        <v>1125</v>
      </c>
      <c r="B1149" s="3">
        <v>1.0882342657827564</v>
      </c>
      <c r="C1149" s="3">
        <v>-5.7342657827563759E-3</v>
      </c>
    </row>
    <row r="1150" spans="1:3" x14ac:dyDescent="0.3">
      <c r="A1150" s="3">
        <v>1126</v>
      </c>
      <c r="B1150" s="3">
        <v>1.0890412656468018</v>
      </c>
      <c r="C1150" s="3">
        <v>-9.9412656468018668E-3</v>
      </c>
    </row>
    <row r="1151" spans="1:3" x14ac:dyDescent="0.3">
      <c r="A1151" s="3">
        <v>1127</v>
      </c>
      <c r="B1151" s="3">
        <v>1.0862974661090474</v>
      </c>
      <c r="C1151" s="3">
        <v>4.5025338909525647E-3</v>
      </c>
    </row>
    <row r="1152" spans="1:3" x14ac:dyDescent="0.3">
      <c r="A1152" s="3">
        <v>1128</v>
      </c>
      <c r="B1152" s="3">
        <v>1.0957393645183791</v>
      </c>
      <c r="C1152" s="3">
        <v>-5.3936451837910404E-4</v>
      </c>
    </row>
    <row r="1153" spans="1:3" x14ac:dyDescent="0.3">
      <c r="A1153" s="3">
        <v>1129</v>
      </c>
      <c r="B1153" s="3">
        <v>1.0992901639201789</v>
      </c>
      <c r="C1153" s="3">
        <v>-6.2901639201788928E-3</v>
      </c>
    </row>
    <row r="1154" spans="1:3" x14ac:dyDescent="0.3">
      <c r="A1154" s="3">
        <v>1130</v>
      </c>
      <c r="B1154" s="3">
        <v>1.0975147642192788</v>
      </c>
      <c r="C1154" s="3">
        <v>-5.4147642192787782E-3</v>
      </c>
    </row>
    <row r="1155" spans="1:3" x14ac:dyDescent="0.3">
      <c r="A1155" s="3">
        <v>1131</v>
      </c>
      <c r="B1155" s="3">
        <v>1.0967884643416381</v>
      </c>
      <c r="C1155" s="3">
        <v>-4.9884643416380214E-3</v>
      </c>
    </row>
    <row r="1156" spans="1:3" x14ac:dyDescent="0.3">
      <c r="A1156" s="3">
        <v>1132</v>
      </c>
      <c r="B1156" s="3">
        <v>1.0965463643824245</v>
      </c>
      <c r="C1156" s="3">
        <v>-4.9463643824245729E-3</v>
      </c>
    </row>
    <row r="1157" spans="1:3" x14ac:dyDescent="0.3">
      <c r="A1157" s="3">
        <v>1133</v>
      </c>
      <c r="B1157" s="3">
        <v>1.0963849644096153</v>
      </c>
      <c r="C1157" s="3">
        <v>-3.284964409615343E-3</v>
      </c>
    </row>
    <row r="1158" spans="1:3" x14ac:dyDescent="0.3">
      <c r="A1158" s="3">
        <v>1134</v>
      </c>
      <c r="B1158" s="3">
        <v>1.0975954642056833</v>
      </c>
      <c r="C1158" s="3">
        <v>1.6045357943166305E-3</v>
      </c>
    </row>
    <row r="1159" spans="1:3" x14ac:dyDescent="0.3">
      <c r="A1159" s="3">
        <v>1135</v>
      </c>
      <c r="B1159" s="3">
        <v>1.1025181633763605</v>
      </c>
      <c r="C1159" s="3">
        <v>-1.3181633763605927E-3</v>
      </c>
    </row>
    <row r="1160" spans="1:3" x14ac:dyDescent="0.3">
      <c r="A1160" s="3">
        <v>1136</v>
      </c>
      <c r="B1160" s="3">
        <v>1.1041321631044514</v>
      </c>
      <c r="C1160" s="3">
        <v>-7.0321631044514277E-3</v>
      </c>
    </row>
    <row r="1161" spans="1:3" x14ac:dyDescent="0.3">
      <c r="A1161" s="3">
        <v>1137</v>
      </c>
      <c r="B1161" s="3">
        <v>1.100823463661865</v>
      </c>
      <c r="C1161" s="3">
        <v>1.9765363381349932E-3</v>
      </c>
    </row>
    <row r="1162" spans="1:3" x14ac:dyDescent="0.3">
      <c r="A1162" s="3">
        <v>1138</v>
      </c>
      <c r="B1162" s="3">
        <v>1.1054233628869241</v>
      </c>
      <c r="C1162" s="3">
        <v>3.0766371130759307E-3</v>
      </c>
    </row>
    <row r="1163" spans="1:3" x14ac:dyDescent="0.3">
      <c r="A1163" s="3">
        <v>1139</v>
      </c>
      <c r="B1163" s="3">
        <v>1.1100232621119832</v>
      </c>
      <c r="C1163" s="3">
        <v>2.9767378880167783E-3</v>
      </c>
    </row>
    <row r="1164" spans="1:3" x14ac:dyDescent="0.3">
      <c r="A1164" s="3">
        <v>1140</v>
      </c>
      <c r="B1164" s="3">
        <v>1.1136547615001875</v>
      </c>
      <c r="C1164" s="3">
        <v>1.3452384998124955E-3</v>
      </c>
    </row>
    <row r="1165" spans="1:3" x14ac:dyDescent="0.3">
      <c r="A1165" s="3">
        <v>1141</v>
      </c>
      <c r="B1165" s="3">
        <v>1.1152687612282783</v>
      </c>
      <c r="C1165" s="3">
        <v>-4.0687612282783725E-3</v>
      </c>
    </row>
    <row r="1166" spans="1:3" x14ac:dyDescent="0.3">
      <c r="A1166" s="3">
        <v>1142</v>
      </c>
      <c r="B1166" s="3">
        <v>1.1122021617449058</v>
      </c>
      <c r="C1166" s="3">
        <v>6.7978382550941685E-3</v>
      </c>
    </row>
    <row r="1167" spans="1:3" x14ac:dyDescent="0.3">
      <c r="A1167" s="3">
        <v>1143</v>
      </c>
      <c r="B1167" s="3">
        <v>1.1184967606844602</v>
      </c>
      <c r="C1167" s="3">
        <v>-2.396760684460153E-3</v>
      </c>
    </row>
    <row r="1168" spans="1:3" x14ac:dyDescent="0.3">
      <c r="A1168" s="3">
        <v>1144</v>
      </c>
      <c r="B1168" s="3">
        <v>1.1161564610787285</v>
      </c>
      <c r="C1168" s="3">
        <v>2.2435389212716039E-3</v>
      </c>
    </row>
    <row r="1169" spans="1:3" x14ac:dyDescent="0.3">
      <c r="A1169" s="3">
        <v>1145</v>
      </c>
      <c r="B1169" s="3">
        <v>1.1180125607660329</v>
      </c>
      <c r="C1169" s="3">
        <v>-6.0125607660328484E-3</v>
      </c>
    </row>
    <row r="1170" spans="1:3" x14ac:dyDescent="0.3">
      <c r="A1170" s="3">
        <v>1146</v>
      </c>
      <c r="B1170" s="3">
        <v>1.1128477616361421</v>
      </c>
      <c r="C1170" s="3">
        <v>-5.1477616361421674E-3</v>
      </c>
    </row>
    <row r="1171" spans="1:3" x14ac:dyDescent="0.3">
      <c r="A1171" s="3">
        <v>1147</v>
      </c>
      <c r="B1171" s="3">
        <v>1.1093776622207465</v>
      </c>
      <c r="C1171" s="3">
        <v>-4.6776622207465035E-3</v>
      </c>
    </row>
    <row r="1172" spans="1:3" x14ac:dyDescent="0.3">
      <c r="A1172" s="3">
        <v>1148</v>
      </c>
      <c r="B1172" s="3">
        <v>1.1069566626286105</v>
      </c>
      <c r="C1172" s="3">
        <v>1.4333737138949587E-4</v>
      </c>
    </row>
    <row r="1173" spans="1:3" x14ac:dyDescent="0.3">
      <c r="A1173" s="3">
        <v>1149</v>
      </c>
      <c r="B1173" s="3">
        <v>1.1088934623023194</v>
      </c>
      <c r="C1173" s="3">
        <v>-4.5934623023193843E-3</v>
      </c>
    </row>
    <row r="1174" spans="1:3" x14ac:dyDescent="0.3">
      <c r="A1174" s="3">
        <v>1150</v>
      </c>
      <c r="B1174" s="3">
        <v>1.1066338626829924</v>
      </c>
      <c r="C1174" s="3">
        <v>1.5661373170077209E-3</v>
      </c>
    </row>
    <row r="1175" spans="1:3" x14ac:dyDescent="0.3">
      <c r="A1175" s="3">
        <v>1151</v>
      </c>
      <c r="B1175" s="3">
        <v>1.1097811621527696</v>
      </c>
      <c r="C1175" s="3">
        <v>1.2188378472304251E-3</v>
      </c>
    </row>
    <row r="1176" spans="1:3" x14ac:dyDescent="0.3">
      <c r="A1176" s="3">
        <v>1152</v>
      </c>
      <c r="B1176" s="3">
        <v>1.1120407617720967</v>
      </c>
      <c r="C1176" s="3">
        <v>-3.7407617720965902E-3</v>
      </c>
    </row>
    <row r="1177" spans="1:3" x14ac:dyDescent="0.3">
      <c r="A1177" s="3">
        <v>1153</v>
      </c>
      <c r="B1177" s="3">
        <v>1.109861862139174</v>
      </c>
      <c r="C1177" s="3">
        <v>-6.4618621391741016E-3</v>
      </c>
    </row>
    <row r="1178" spans="1:3" x14ac:dyDescent="0.3">
      <c r="A1178" s="3">
        <v>1154</v>
      </c>
      <c r="B1178" s="3">
        <v>1.1059075628053514</v>
      </c>
      <c r="C1178" s="3">
        <v>-4.0075628053513057E-3</v>
      </c>
    </row>
    <row r="1179" spans="1:3" x14ac:dyDescent="0.3">
      <c r="A1179" s="3">
        <v>1155</v>
      </c>
      <c r="B1179" s="3">
        <v>1.1046970630092834</v>
      </c>
      <c r="C1179" s="3">
        <v>-3.5970630092834188E-3</v>
      </c>
    </row>
    <row r="1180" spans="1:3" x14ac:dyDescent="0.3">
      <c r="A1180" s="3">
        <v>1156</v>
      </c>
      <c r="B1180" s="3">
        <v>1.1040514631180469</v>
      </c>
      <c r="C1180" s="3">
        <v>3.3485368819530237E-3</v>
      </c>
    </row>
    <row r="1181" spans="1:3" x14ac:dyDescent="0.3">
      <c r="A1181" s="3">
        <v>1157</v>
      </c>
      <c r="B1181" s="3">
        <v>1.1091355622615331</v>
      </c>
      <c r="C1181" s="3">
        <v>-1.5355622615331743E-3</v>
      </c>
    </row>
    <row r="1182" spans="1:3" x14ac:dyDescent="0.3">
      <c r="A1182" s="3">
        <v>1158</v>
      </c>
      <c r="B1182" s="3">
        <v>1.109296962234342</v>
      </c>
      <c r="C1182" s="3">
        <v>3.903037765657924E-3</v>
      </c>
    </row>
    <row r="1183" spans="1:3" x14ac:dyDescent="0.3">
      <c r="A1183" s="3">
        <v>1159</v>
      </c>
      <c r="B1183" s="3">
        <v>1.1138161614729967</v>
      </c>
      <c r="C1183" s="3">
        <v>-2.5161614729967141E-3</v>
      </c>
    </row>
    <row r="1184" spans="1:3" x14ac:dyDescent="0.3">
      <c r="A1184" s="3">
        <v>1160</v>
      </c>
      <c r="B1184" s="3">
        <v>1.1122828617313103</v>
      </c>
      <c r="C1184" s="3">
        <v>-4.8286173131040222E-4</v>
      </c>
    </row>
    <row r="1185" spans="1:3" x14ac:dyDescent="0.3">
      <c r="A1185" s="3">
        <v>1161</v>
      </c>
      <c r="B1185" s="3">
        <v>1.1126863616633329</v>
      </c>
      <c r="C1185" s="3">
        <v>3.4136383366671907E-3</v>
      </c>
    </row>
    <row r="1186" spans="1:3" x14ac:dyDescent="0.3">
      <c r="A1186" s="3">
        <v>1162</v>
      </c>
      <c r="B1186" s="3">
        <v>1.1161564610787285</v>
      </c>
      <c r="C1186" s="3">
        <v>4.3538921271624176E-5</v>
      </c>
    </row>
    <row r="1187" spans="1:3" x14ac:dyDescent="0.3">
      <c r="A1187" s="3">
        <v>1163</v>
      </c>
      <c r="B1187" s="3">
        <v>1.1162371610651329</v>
      </c>
      <c r="C1187" s="3">
        <v>-5.0371610651329668E-3</v>
      </c>
    </row>
    <row r="1188" spans="1:3" x14ac:dyDescent="0.3">
      <c r="A1188" s="3">
        <v>1164</v>
      </c>
      <c r="B1188" s="3">
        <v>1.1122021617449058</v>
      </c>
      <c r="C1188" s="3">
        <v>5.7978382550942786E-3</v>
      </c>
    </row>
    <row r="1189" spans="1:3" x14ac:dyDescent="0.3">
      <c r="A1189" s="3">
        <v>1165</v>
      </c>
      <c r="B1189" s="3">
        <v>1.1176897608204146</v>
      </c>
      <c r="C1189" s="3">
        <v>-4.4897608204146344E-3</v>
      </c>
    </row>
    <row r="1190" spans="1:3" x14ac:dyDescent="0.3">
      <c r="A1190" s="3">
        <v>1166</v>
      </c>
      <c r="B1190" s="3">
        <v>1.1138161614729967</v>
      </c>
      <c r="C1190" s="3">
        <v>3.7838385270032582E-3</v>
      </c>
    </row>
    <row r="1191" spans="1:3" x14ac:dyDescent="0.3">
      <c r="A1191" s="3">
        <v>1167</v>
      </c>
      <c r="B1191" s="3">
        <v>1.1173669608747965</v>
      </c>
      <c r="C1191" s="3">
        <v>-1.0669608747964077E-3</v>
      </c>
    </row>
    <row r="1192" spans="1:3" x14ac:dyDescent="0.3">
      <c r="A1192" s="3">
        <v>1168</v>
      </c>
      <c r="B1192" s="3">
        <v>1.1163178610515376</v>
      </c>
      <c r="C1192" s="3">
        <v>-2.9178610515376846E-3</v>
      </c>
    </row>
    <row r="1193" spans="1:3" x14ac:dyDescent="0.3">
      <c r="A1193" s="3">
        <v>1169</v>
      </c>
      <c r="B1193" s="3">
        <v>1.1139775614458056</v>
      </c>
      <c r="C1193" s="3">
        <v>-7.2775614458056026E-3</v>
      </c>
    </row>
    <row r="1194" spans="1:3" x14ac:dyDescent="0.3">
      <c r="A1194" s="3">
        <v>1170</v>
      </c>
      <c r="B1194" s="3">
        <v>1.1085706623567013</v>
      </c>
      <c r="C1194" s="3">
        <v>-4.0706623567012823E-3</v>
      </c>
    </row>
    <row r="1195" spans="1:3" x14ac:dyDescent="0.3">
      <c r="A1195" s="3">
        <v>1171</v>
      </c>
      <c r="B1195" s="3">
        <v>1.1067952626558015</v>
      </c>
      <c r="C1195" s="3">
        <v>-3.6952626558015567E-3</v>
      </c>
    </row>
    <row r="1196" spans="1:3" x14ac:dyDescent="0.3">
      <c r="A1196" s="3">
        <v>1172</v>
      </c>
      <c r="B1196" s="3">
        <v>1.1056654628461378</v>
      </c>
      <c r="C1196" s="3">
        <v>-8.0654628461378497E-3</v>
      </c>
    </row>
    <row r="1197" spans="1:3" x14ac:dyDescent="0.3">
      <c r="A1197" s="3">
        <v>1173</v>
      </c>
      <c r="B1197" s="3">
        <v>1.1012269635938878</v>
      </c>
      <c r="C1197" s="3">
        <v>-3.8269635938878999E-3</v>
      </c>
    </row>
    <row r="1198" spans="1:3" x14ac:dyDescent="0.3">
      <c r="A1198" s="3">
        <v>1174</v>
      </c>
      <c r="B1198" s="3">
        <v>1.1010655636210789</v>
      </c>
      <c r="C1198" s="3">
        <v>-3.0655636210787929E-3</v>
      </c>
    </row>
    <row r="1199" spans="1:3" x14ac:dyDescent="0.3">
      <c r="A1199" s="3">
        <v>1175</v>
      </c>
      <c r="B1199" s="3">
        <v>1.1015497635395062</v>
      </c>
      <c r="C1199" s="3">
        <v>-7.6497635395060826E-3</v>
      </c>
    </row>
    <row r="1200" spans="1:3" x14ac:dyDescent="0.3">
      <c r="A1200" s="3">
        <v>1176</v>
      </c>
      <c r="B1200" s="3">
        <v>1.09824106409692</v>
      </c>
      <c r="C1200" s="3">
        <v>-4.7410640969201001E-3</v>
      </c>
    </row>
    <row r="1201" spans="1:3" x14ac:dyDescent="0.3">
      <c r="A1201" s="3">
        <v>1177</v>
      </c>
      <c r="B1201" s="3">
        <v>1.0979182641513017</v>
      </c>
      <c r="C1201" s="3">
        <v>-4.218264151301776E-3</v>
      </c>
    </row>
    <row r="1202" spans="1:3" x14ac:dyDescent="0.3">
      <c r="A1202" s="3">
        <v>1178</v>
      </c>
      <c r="B1202" s="3">
        <v>1.0980796641241106</v>
      </c>
      <c r="C1202" s="3">
        <v>-7.1796641241106407E-3</v>
      </c>
    </row>
    <row r="1203" spans="1:3" x14ac:dyDescent="0.3">
      <c r="A1203" s="3">
        <v>1179</v>
      </c>
      <c r="B1203" s="3">
        <v>1.0958200645047835</v>
      </c>
      <c r="C1203" s="3">
        <v>-6.8200645047835629E-3</v>
      </c>
    </row>
    <row r="1204" spans="1:3" x14ac:dyDescent="0.3">
      <c r="A1204" s="3">
        <v>1180</v>
      </c>
      <c r="B1204" s="3">
        <v>1.0942867647630972</v>
      </c>
      <c r="C1204" s="3">
        <v>-8.1867647630970986E-3</v>
      </c>
    </row>
    <row r="1205" spans="1:3" x14ac:dyDescent="0.3">
      <c r="A1205" s="3">
        <v>1181</v>
      </c>
      <c r="B1205" s="3">
        <v>1.0919464651573656</v>
      </c>
      <c r="C1205" s="3">
        <v>-8.8464651573656461E-3</v>
      </c>
    </row>
    <row r="1206" spans="1:3" x14ac:dyDescent="0.3">
      <c r="A1206" s="3">
        <v>1182</v>
      </c>
      <c r="B1206" s="3">
        <v>1.0895254655652291</v>
      </c>
      <c r="C1206" s="3">
        <v>-2.9254655652291017E-3</v>
      </c>
    </row>
    <row r="1207" spans="1:3" x14ac:dyDescent="0.3">
      <c r="A1207" s="3">
        <v>1183</v>
      </c>
      <c r="B1207" s="3">
        <v>1.0923499650893882</v>
      </c>
      <c r="C1207" s="3">
        <v>-1.0849965089388292E-2</v>
      </c>
    </row>
    <row r="1208" spans="1:3" x14ac:dyDescent="0.3">
      <c r="A1208" s="3">
        <v>1184</v>
      </c>
      <c r="B1208" s="3">
        <v>1.0882342657827564</v>
      </c>
      <c r="C1208" s="3">
        <v>-8.5342657827562896E-3</v>
      </c>
    </row>
    <row r="1209" spans="1:3" x14ac:dyDescent="0.3">
      <c r="A1209" s="3">
        <v>1185</v>
      </c>
      <c r="B1209" s="3">
        <v>1.0867816660274747</v>
      </c>
      <c r="C1209" s="3">
        <v>-8.681666027474666E-3</v>
      </c>
    </row>
    <row r="1210" spans="1:3" x14ac:dyDescent="0.3">
      <c r="A1210" s="3">
        <v>1186</v>
      </c>
      <c r="B1210" s="3">
        <v>1.085490466245002</v>
      </c>
      <c r="C1210" s="3">
        <v>-2.7904662450020101E-3</v>
      </c>
    </row>
    <row r="1211" spans="1:3" x14ac:dyDescent="0.3">
      <c r="A1211" s="3">
        <v>1187</v>
      </c>
      <c r="B1211" s="3">
        <v>1.089202665619611</v>
      </c>
      <c r="C1211" s="3">
        <v>-9.9026656196110618E-3</v>
      </c>
    </row>
    <row r="1212" spans="1:3" x14ac:dyDescent="0.3">
      <c r="A1212" s="3">
        <v>1188</v>
      </c>
      <c r="B1212" s="3">
        <v>1.0864588660818564</v>
      </c>
      <c r="C1212" s="3">
        <v>-5.2588660818564392E-3</v>
      </c>
    </row>
    <row r="1213" spans="1:3" x14ac:dyDescent="0.3">
      <c r="A1213" s="3">
        <v>1189</v>
      </c>
      <c r="B1213" s="3">
        <v>1.0879921658235427</v>
      </c>
      <c r="C1213" s="3">
        <v>-6.1921658235426502E-3</v>
      </c>
    </row>
    <row r="1214" spans="1:3" x14ac:dyDescent="0.3">
      <c r="A1214" s="3">
        <v>1190</v>
      </c>
      <c r="B1214" s="3">
        <v>1.08847636574197</v>
      </c>
      <c r="C1214" s="3">
        <v>-2.9763657419701328E-3</v>
      </c>
    </row>
    <row r="1215" spans="1:3" x14ac:dyDescent="0.3">
      <c r="A1215" s="3">
        <v>1191</v>
      </c>
      <c r="B1215" s="3">
        <v>1.0914622652389381</v>
      </c>
      <c r="C1215" s="3">
        <v>-3.1622652389380335E-3</v>
      </c>
    </row>
    <row r="1216" spans="1:3" x14ac:dyDescent="0.3">
      <c r="A1216" s="3">
        <v>1192</v>
      </c>
      <c r="B1216" s="3">
        <v>1.0937218648582654</v>
      </c>
      <c r="C1216" s="3">
        <v>-1.0321864858265473E-2</v>
      </c>
    </row>
    <row r="1217" spans="1:3" x14ac:dyDescent="0.3">
      <c r="A1217" s="3">
        <v>1193</v>
      </c>
      <c r="B1217" s="3">
        <v>1.0897675655244425</v>
      </c>
      <c r="C1217" s="3">
        <v>-2.0675655244426494E-3</v>
      </c>
    </row>
    <row r="1218" spans="1:3" x14ac:dyDescent="0.3">
      <c r="A1218" s="3">
        <v>1194</v>
      </c>
      <c r="B1218" s="3">
        <v>1.0932376649398381</v>
      </c>
      <c r="C1218" s="3">
        <v>-2.3766493983812254E-4</v>
      </c>
    </row>
    <row r="1219" spans="1:3" x14ac:dyDescent="0.3">
      <c r="A1219" s="3">
        <v>1195</v>
      </c>
      <c r="B1219" s="3">
        <v>1.0975147642192788</v>
      </c>
      <c r="C1219" s="3">
        <v>-2.4714764219278873E-2</v>
      </c>
    </row>
    <row r="1220" spans="1:3" x14ac:dyDescent="0.3">
      <c r="A1220" s="3">
        <v>1196</v>
      </c>
      <c r="B1220" s="3">
        <v>1.081213366965561</v>
      </c>
      <c r="C1220" s="3">
        <v>-8.1336696556100208E-4</v>
      </c>
    </row>
    <row r="1221" spans="1:3" x14ac:dyDescent="0.3">
      <c r="A1221" s="3">
        <v>1197</v>
      </c>
      <c r="B1221" s="3">
        <v>1.0873465659323065</v>
      </c>
      <c r="C1221" s="3">
        <v>-1.5546565932306411E-2</v>
      </c>
    </row>
    <row r="1222" spans="1:3" x14ac:dyDescent="0.3">
      <c r="A1222" s="3">
        <v>1198</v>
      </c>
      <c r="B1222" s="3">
        <v>1.0804063671015158</v>
      </c>
      <c r="C1222" s="3">
        <v>-1.5006367101515927E-2</v>
      </c>
    </row>
    <row r="1223" spans="1:3" x14ac:dyDescent="0.3">
      <c r="A1223" s="3">
        <v>1199</v>
      </c>
      <c r="B1223" s="3">
        <v>1.075241567971625</v>
      </c>
      <c r="C1223" s="3">
        <v>-1.2941567971624934E-2</v>
      </c>
    </row>
    <row r="1224" spans="1:3" x14ac:dyDescent="0.3">
      <c r="A1224" s="3">
        <v>1200</v>
      </c>
      <c r="B1224" s="3">
        <v>1.0727398683930842</v>
      </c>
      <c r="C1224" s="3">
        <v>-1.64398683930842E-2</v>
      </c>
    </row>
    <row r="1225" spans="1:3" x14ac:dyDescent="0.3">
      <c r="A1225" s="3">
        <v>1201</v>
      </c>
      <c r="B1225" s="3">
        <v>1.0678978692088115</v>
      </c>
      <c r="C1225" s="3">
        <v>-1.4897869208811532E-2</v>
      </c>
    </row>
    <row r="1226" spans="1:3" x14ac:dyDescent="0.3">
      <c r="A1226" s="3">
        <v>1202</v>
      </c>
      <c r="B1226" s="3">
        <v>1.0652347696574616</v>
      </c>
      <c r="C1226" s="3">
        <v>-1.1134769657461518E-2</v>
      </c>
    </row>
    <row r="1227" spans="1:3" x14ac:dyDescent="0.3">
      <c r="A1227" s="3">
        <v>1203</v>
      </c>
      <c r="B1227" s="3">
        <v>1.0661224695079117</v>
      </c>
      <c r="C1227" s="3">
        <v>-6.2224695079116099E-3</v>
      </c>
    </row>
    <row r="1228" spans="1:3" x14ac:dyDescent="0.3">
      <c r="A1228" s="3">
        <v>1204</v>
      </c>
      <c r="B1228" s="3">
        <v>1.0708030687193753</v>
      </c>
      <c r="C1228" s="3">
        <v>-1.1303068719375142E-2</v>
      </c>
    </row>
    <row r="1229" spans="1:3" x14ac:dyDescent="0.3">
      <c r="A1229" s="3">
        <v>1205</v>
      </c>
      <c r="B1229" s="3">
        <v>1.0704802687737569</v>
      </c>
      <c r="C1229" s="3">
        <v>-1.618026877375689E-2</v>
      </c>
    </row>
    <row r="1230" spans="1:3" x14ac:dyDescent="0.3">
      <c r="A1230" s="3">
        <v>1206</v>
      </c>
      <c r="B1230" s="3">
        <v>1.0662838694807206</v>
      </c>
      <c r="C1230" s="3">
        <v>-1.8983869480720728E-2</v>
      </c>
    </row>
    <row r="1231" spans="1:3" x14ac:dyDescent="0.3">
      <c r="A1231" s="3">
        <v>1207</v>
      </c>
      <c r="B1231" s="3">
        <v>1.0606348704324025</v>
      </c>
      <c r="C1231" s="3">
        <v>-1.8934870432402384E-2</v>
      </c>
    </row>
    <row r="1232" spans="1:3" x14ac:dyDescent="0.3">
      <c r="A1232" s="3">
        <v>1208</v>
      </c>
      <c r="B1232" s="3">
        <v>1.0561156711937483</v>
      </c>
      <c r="C1232" s="3">
        <v>-6.7156711937481628E-3</v>
      </c>
    </row>
    <row r="1233" spans="1:3" x14ac:dyDescent="0.3">
      <c r="A1233" s="3">
        <v>1209</v>
      </c>
      <c r="B1233" s="3">
        <v>1.0623295701468982</v>
      </c>
      <c r="C1233" s="3">
        <v>-1.372957014689824E-2</v>
      </c>
    </row>
    <row r="1234" spans="1:3" x14ac:dyDescent="0.3">
      <c r="A1234" s="3">
        <v>1210</v>
      </c>
      <c r="B1234" s="3">
        <v>1.0616839702556617</v>
      </c>
      <c r="C1234" s="3">
        <v>-5.2839702556617407E-3</v>
      </c>
    </row>
    <row r="1235" spans="1:3" x14ac:dyDescent="0.3">
      <c r="A1235" s="3">
        <v>1211</v>
      </c>
      <c r="B1235" s="3">
        <v>1.0679785691952162</v>
      </c>
      <c r="C1235" s="3">
        <v>-1.267856919521626E-2</v>
      </c>
    </row>
    <row r="1236" spans="1:3" x14ac:dyDescent="0.3">
      <c r="A1236" s="3">
        <v>1212</v>
      </c>
      <c r="B1236" s="3">
        <v>1.067090869344766</v>
      </c>
      <c r="C1236" s="3">
        <v>-9.5908693447659399E-3</v>
      </c>
    </row>
    <row r="1237" spans="1:3" x14ac:dyDescent="0.3">
      <c r="A1237" s="3">
        <v>1213</v>
      </c>
      <c r="B1237" s="3">
        <v>1.0688662690456661</v>
      </c>
      <c r="C1237" s="3">
        <v>-1.9166269045665985E-2</v>
      </c>
    </row>
    <row r="1238" spans="1:3" x14ac:dyDescent="0.3">
      <c r="A1238" s="3">
        <v>1214</v>
      </c>
      <c r="B1238" s="3">
        <v>1.0625716701061116</v>
      </c>
      <c r="C1238" s="3">
        <v>-1.1671670106111698E-2</v>
      </c>
    </row>
    <row r="1239" spans="1:3" x14ac:dyDescent="0.3">
      <c r="A1239" s="3">
        <v>1215</v>
      </c>
      <c r="B1239" s="3">
        <v>1.0635400699429662</v>
      </c>
      <c r="C1239" s="3">
        <v>-1.2540069942966303E-2</v>
      </c>
    </row>
    <row r="1240" spans="1:3" x14ac:dyDescent="0.3">
      <c r="A1240" s="3">
        <v>1216</v>
      </c>
      <c r="B1240" s="3">
        <v>1.0636207699293707</v>
      </c>
      <c r="C1240" s="3">
        <v>-5.0207699293707275E-3</v>
      </c>
    </row>
    <row r="1241" spans="1:3" x14ac:dyDescent="0.3">
      <c r="A1241" s="3">
        <v>1217</v>
      </c>
      <c r="B1241" s="3">
        <v>1.0697539688961162</v>
      </c>
      <c r="C1241" s="3">
        <v>-1.2953968896116219E-2</v>
      </c>
    </row>
    <row r="1242" spans="1:3" x14ac:dyDescent="0.3">
      <c r="A1242" s="3">
        <v>1218</v>
      </c>
      <c r="B1242" s="3">
        <v>1.0683013691408343</v>
      </c>
      <c r="C1242" s="3">
        <v>-1.3101369140834374E-2</v>
      </c>
    </row>
    <row r="1243" spans="1:3" x14ac:dyDescent="0.3">
      <c r="A1243" s="3">
        <v>1219</v>
      </c>
      <c r="B1243" s="3">
        <v>1.0670101693583616</v>
      </c>
      <c r="C1243" s="3">
        <v>-1.4410169358361591E-2</v>
      </c>
    </row>
    <row r="1244" spans="1:3" x14ac:dyDescent="0.3">
      <c r="A1244" s="3">
        <v>1220</v>
      </c>
      <c r="B1244" s="3">
        <v>1.0649119697118434</v>
      </c>
      <c r="C1244" s="3">
        <v>-1.5511969711843321E-2</v>
      </c>
    </row>
    <row r="1245" spans="1:3" x14ac:dyDescent="0.3">
      <c r="A1245" s="3">
        <v>1221</v>
      </c>
      <c r="B1245" s="3">
        <v>1.0623295701468982</v>
      </c>
      <c r="C1245" s="3">
        <v>-1.5629570146898253E-2</v>
      </c>
    </row>
    <row r="1246" spans="1:3" x14ac:dyDescent="0.3">
      <c r="A1246" s="3">
        <v>1222</v>
      </c>
      <c r="B1246" s="3">
        <v>1.0601506705139754</v>
      </c>
      <c r="C1246" s="3">
        <v>-9.9506705139753571E-3</v>
      </c>
    </row>
    <row r="1247" spans="1:3" x14ac:dyDescent="0.3">
      <c r="A1247" s="3">
        <v>1223</v>
      </c>
      <c r="B1247" s="3">
        <v>1.0629751700381345</v>
      </c>
      <c r="C1247" s="3">
        <v>-1.1975170038134531E-2</v>
      </c>
    </row>
    <row r="1248" spans="1:3" x14ac:dyDescent="0.3">
      <c r="A1248" s="3">
        <v>1224</v>
      </c>
      <c r="B1248" s="3">
        <v>1.0636207699293707</v>
      </c>
      <c r="C1248" s="3">
        <v>-1.4720769929370769E-2</v>
      </c>
    </row>
    <row r="1249" spans="1:3" x14ac:dyDescent="0.3">
      <c r="A1249" s="3">
        <v>1225</v>
      </c>
      <c r="B1249" s="3">
        <v>1.0619260702148754</v>
      </c>
      <c r="C1249" s="3">
        <v>-2.6726070214875497E-2</v>
      </c>
    </row>
    <row r="1250" spans="1:3" x14ac:dyDescent="0.3">
      <c r="A1250" s="3">
        <v>1226</v>
      </c>
      <c r="B1250" s="3">
        <v>1.0508701720774529</v>
      </c>
      <c r="C1250" s="3">
        <v>-1.4670172077452914E-2</v>
      </c>
    </row>
    <row r="1251" spans="1:3" x14ac:dyDescent="0.3">
      <c r="A1251" s="3">
        <v>1227</v>
      </c>
      <c r="B1251" s="3">
        <v>1.0516771719414986</v>
      </c>
      <c r="C1251" s="3">
        <v>-8.7771719414986293E-3</v>
      </c>
    </row>
    <row r="1252" spans="1:3" x14ac:dyDescent="0.3">
      <c r="A1252" s="3">
        <v>1228</v>
      </c>
      <c r="B1252" s="3">
        <v>1.0570840710306029</v>
      </c>
      <c r="C1252" s="3">
        <v>-1.6584071030602887E-2</v>
      </c>
    </row>
    <row r="1253" spans="1:3" x14ac:dyDescent="0.3">
      <c r="A1253" s="3">
        <v>1229</v>
      </c>
      <c r="B1253" s="3">
        <v>1.0551472713568937</v>
      </c>
      <c r="C1253" s="3">
        <v>-1.544727135689361E-2</v>
      </c>
    </row>
    <row r="1254" spans="1:3" x14ac:dyDescent="0.3">
      <c r="A1254" s="3">
        <v>1230</v>
      </c>
      <c r="B1254" s="3">
        <v>1.0545016714656574</v>
      </c>
      <c r="C1254" s="3">
        <v>-1.4101671465657439E-2</v>
      </c>
    </row>
    <row r="1255" spans="1:3" x14ac:dyDescent="0.3">
      <c r="A1255" s="3">
        <v>1231</v>
      </c>
      <c r="B1255" s="3">
        <v>1.0550665713704892</v>
      </c>
      <c r="C1255" s="3">
        <v>-1.2866571370489188E-2</v>
      </c>
    </row>
    <row r="1256" spans="1:3" x14ac:dyDescent="0.3">
      <c r="A1256" s="3">
        <v>1232</v>
      </c>
      <c r="B1256" s="3">
        <v>1.0565191711257711</v>
      </c>
      <c r="C1256" s="3">
        <v>-1.3819171125771135E-2</v>
      </c>
    </row>
    <row r="1257" spans="1:3" x14ac:dyDescent="0.3">
      <c r="A1257" s="3">
        <v>1233</v>
      </c>
      <c r="B1257" s="3">
        <v>1.0569226710577937</v>
      </c>
      <c r="C1257" s="3">
        <v>-1.6222671057793736E-2</v>
      </c>
    </row>
    <row r="1258" spans="1:3" x14ac:dyDescent="0.3">
      <c r="A1258" s="3">
        <v>1234</v>
      </c>
      <c r="B1258" s="3">
        <v>1.0553086713297029</v>
      </c>
      <c r="C1258" s="3">
        <v>-2.0008671329702743E-2</v>
      </c>
    </row>
    <row r="1259" spans="1:3" x14ac:dyDescent="0.3">
      <c r="A1259" s="3">
        <v>1235</v>
      </c>
      <c r="B1259" s="3">
        <v>1.0509508720638576</v>
      </c>
      <c r="C1259" s="3">
        <v>-2.4450872063857654E-2</v>
      </c>
    </row>
    <row r="1260" spans="1:3" x14ac:dyDescent="0.3">
      <c r="A1260" s="3">
        <v>1236</v>
      </c>
      <c r="B1260" s="3">
        <v>1.0438492732602578</v>
      </c>
      <c r="C1260" s="3">
        <v>-1.3049273260257843E-2</v>
      </c>
    </row>
    <row r="1261" spans="1:3" x14ac:dyDescent="0.3">
      <c r="A1261" s="3">
        <v>1237</v>
      </c>
      <c r="B1261" s="3">
        <v>1.0473193726756529</v>
      </c>
      <c r="C1261" s="3">
        <v>-8.3193726756529696E-3</v>
      </c>
    </row>
    <row r="1262" spans="1:3" x14ac:dyDescent="0.3">
      <c r="A1262" s="3">
        <v>1238</v>
      </c>
      <c r="B1262" s="3">
        <v>1.0539367715608257</v>
      </c>
      <c r="C1262" s="3">
        <v>-2.0036771560825617E-2</v>
      </c>
    </row>
    <row r="1263" spans="1:3" x14ac:dyDescent="0.3">
      <c r="A1263" s="3">
        <v>1239</v>
      </c>
      <c r="B1263" s="3">
        <v>1.0498210722541939</v>
      </c>
      <c r="C1263" s="3">
        <v>-1.8021072254193804E-2</v>
      </c>
    </row>
    <row r="1264" spans="1:3" x14ac:dyDescent="0.3">
      <c r="A1264" s="3">
        <v>1240</v>
      </c>
      <c r="B1264" s="3">
        <v>1.0481263725396985</v>
      </c>
      <c r="C1264" s="3">
        <v>-1.8326372539698488E-2</v>
      </c>
    </row>
    <row r="1265" spans="1:3" x14ac:dyDescent="0.3">
      <c r="A1265" s="3">
        <v>1241</v>
      </c>
      <c r="B1265" s="3">
        <v>1.0465123728116077</v>
      </c>
      <c r="C1265" s="3">
        <v>-2.2112372811607717E-2</v>
      </c>
    </row>
    <row r="1266" spans="1:3" x14ac:dyDescent="0.3">
      <c r="A1266" s="3">
        <v>1242</v>
      </c>
      <c r="B1266" s="3">
        <v>1.0421545735457622</v>
      </c>
      <c r="C1266" s="3">
        <v>-1.7754573545762264E-2</v>
      </c>
    </row>
    <row r="1267" spans="1:3" x14ac:dyDescent="0.3">
      <c r="A1267" s="3">
        <v>1243</v>
      </c>
      <c r="B1267" s="3">
        <v>1.0421545735457622</v>
      </c>
      <c r="C1267" s="3">
        <v>-1.1454573545762292E-2</v>
      </c>
    </row>
    <row r="1268" spans="1:3" x14ac:dyDescent="0.3">
      <c r="A1268" s="3">
        <v>1244</v>
      </c>
      <c r="B1268" s="3">
        <v>1.0472386726892484</v>
      </c>
      <c r="C1268" s="3">
        <v>-1.8338672689248492E-2</v>
      </c>
    </row>
    <row r="1269" spans="1:3" x14ac:dyDescent="0.3">
      <c r="A1269" s="3">
        <v>1245</v>
      </c>
      <c r="B1269" s="3">
        <v>1.0457860729339665</v>
      </c>
      <c r="C1269" s="3">
        <v>-1.5986072933966478E-2</v>
      </c>
    </row>
    <row r="1270" spans="1:3" x14ac:dyDescent="0.3">
      <c r="A1270" s="3">
        <v>1246</v>
      </c>
      <c r="B1270" s="3">
        <v>1.0465123728116077</v>
      </c>
      <c r="C1270" s="3">
        <v>-1.9412372811607792E-2</v>
      </c>
    </row>
    <row r="1271" spans="1:3" x14ac:dyDescent="0.3">
      <c r="A1271" s="3">
        <v>1247</v>
      </c>
      <c r="B1271" s="3">
        <v>1.0443334731786849</v>
      </c>
      <c r="C1271" s="3">
        <v>-2.9334731786847534E-3</v>
      </c>
    </row>
    <row r="1272" spans="1:3" x14ac:dyDescent="0.3">
      <c r="A1272" s="3">
        <v>1248</v>
      </c>
      <c r="B1272" s="3">
        <v>1.0558735712345348</v>
      </c>
      <c r="C1272" s="3">
        <v>-1.2973571234534909E-2</v>
      </c>
    </row>
    <row r="1273" spans="1:3" x14ac:dyDescent="0.3">
      <c r="A1273" s="3">
        <v>1249</v>
      </c>
      <c r="B1273" s="3">
        <v>1.0570840710306029</v>
      </c>
      <c r="C1273" s="3">
        <v>-1.6384071030602909E-2</v>
      </c>
    </row>
    <row r="1274" spans="1:3" x14ac:dyDescent="0.3">
      <c r="A1274" s="3">
        <v>1250</v>
      </c>
      <c r="B1274" s="3">
        <v>1.0553086713297029</v>
      </c>
      <c r="C1274" s="3">
        <v>-1.380867132970276E-2</v>
      </c>
    </row>
    <row r="1275" spans="1:3" x14ac:dyDescent="0.3">
      <c r="A1275" s="3">
        <v>1251</v>
      </c>
      <c r="B1275" s="3">
        <v>1.0559542712209393</v>
      </c>
      <c r="C1275" s="3">
        <v>-6.6542712209394228E-3</v>
      </c>
    </row>
    <row r="1276" spans="1:3" x14ac:dyDescent="0.3">
      <c r="A1276" s="3">
        <v>1252</v>
      </c>
      <c r="B1276" s="3">
        <v>1.0622488701604935</v>
      </c>
      <c r="C1276" s="3">
        <v>-1.3148870160493598E-2</v>
      </c>
    </row>
    <row r="1277" spans="1:3" x14ac:dyDescent="0.3">
      <c r="A1277" s="3">
        <v>1253</v>
      </c>
      <c r="B1277" s="3">
        <v>1.0620874701876843</v>
      </c>
      <c r="C1277" s="3">
        <v>-1.9287470187684397E-2</v>
      </c>
    </row>
    <row r="1278" spans="1:3" x14ac:dyDescent="0.3">
      <c r="A1278" s="3">
        <v>1254</v>
      </c>
      <c r="B1278" s="3">
        <v>1.0570033710441982</v>
      </c>
      <c r="C1278" s="3">
        <v>-1.5003371044198133E-2</v>
      </c>
    </row>
    <row r="1279" spans="1:3" x14ac:dyDescent="0.3">
      <c r="A1279" s="3">
        <v>1255</v>
      </c>
      <c r="B1279" s="3">
        <v>1.0563577711529619</v>
      </c>
      <c r="C1279" s="3">
        <v>-1.7357771152961998E-2</v>
      </c>
    </row>
    <row r="1280" spans="1:3" x14ac:dyDescent="0.3">
      <c r="A1280" s="3">
        <v>1256</v>
      </c>
      <c r="B1280" s="3">
        <v>1.0539367715608257</v>
      </c>
      <c r="C1280" s="3">
        <v>-1.7736771560825648E-2</v>
      </c>
    </row>
    <row r="1281" spans="1:3" x14ac:dyDescent="0.3">
      <c r="A1281" s="3">
        <v>1257</v>
      </c>
      <c r="B1281" s="3">
        <v>1.0516771719414986</v>
      </c>
      <c r="C1281" s="3">
        <v>-1.7277171941498581E-2</v>
      </c>
    </row>
    <row r="1282" spans="1:3" x14ac:dyDescent="0.3">
      <c r="A1282" s="3">
        <v>1258</v>
      </c>
      <c r="B1282" s="3">
        <v>1.0502245721862167</v>
      </c>
      <c r="C1282" s="3">
        <v>-1.2524572186216609E-2</v>
      </c>
    </row>
    <row r="1283" spans="1:3" x14ac:dyDescent="0.3">
      <c r="A1283" s="3">
        <v>1259</v>
      </c>
      <c r="B1283" s="3">
        <v>1.0528876717375666</v>
      </c>
      <c r="C1283" s="3">
        <v>-1.2687671737566575E-2</v>
      </c>
    </row>
    <row r="1284" spans="1:3" x14ac:dyDescent="0.3">
      <c r="A1284" s="3">
        <v>1260</v>
      </c>
      <c r="B1284" s="3">
        <v>1.0549051713976803</v>
      </c>
      <c r="C1284" s="3">
        <v>-1.680517139768023E-2</v>
      </c>
    </row>
    <row r="1285" spans="1:3" x14ac:dyDescent="0.3">
      <c r="A1285" s="3">
        <v>1261</v>
      </c>
      <c r="B1285" s="3">
        <v>1.0532104716831847</v>
      </c>
      <c r="C1285" s="3">
        <v>-2.0510471683184761E-2</v>
      </c>
    </row>
    <row r="1286" spans="1:3" x14ac:dyDescent="0.3">
      <c r="A1286" s="3">
        <v>1262</v>
      </c>
      <c r="B1286" s="3">
        <v>1.0488526724173393</v>
      </c>
      <c r="C1286" s="3">
        <v>-1.82526724173393E-2</v>
      </c>
    </row>
    <row r="1287" spans="1:3" x14ac:dyDescent="0.3">
      <c r="A1287" s="3">
        <v>1263</v>
      </c>
      <c r="B1287" s="3">
        <v>1.0471579727028439</v>
      </c>
      <c r="C1287" s="3">
        <v>-1.115797270284391E-2</v>
      </c>
    </row>
    <row r="1288" spans="1:3" x14ac:dyDescent="0.3">
      <c r="A1288" s="3">
        <v>1264</v>
      </c>
      <c r="B1288" s="3">
        <v>1.0515157719686894</v>
      </c>
      <c r="C1288" s="3">
        <v>-1.3315771968689383E-2</v>
      </c>
    </row>
    <row r="1289" spans="1:3" x14ac:dyDescent="0.3">
      <c r="A1289" s="3">
        <v>1265</v>
      </c>
      <c r="B1289" s="3">
        <v>1.0532911716695894</v>
      </c>
      <c r="C1289" s="3">
        <v>-6.8911716695894132E-3</v>
      </c>
    </row>
    <row r="1290" spans="1:3" x14ac:dyDescent="0.3">
      <c r="A1290" s="3">
        <v>1266</v>
      </c>
      <c r="B1290" s="3">
        <v>1.0599085705547617</v>
      </c>
      <c r="C1290" s="3">
        <v>-1.0808570554761809E-2</v>
      </c>
    </row>
    <row r="1291" spans="1:3" x14ac:dyDescent="0.3">
      <c r="A1291" s="3">
        <v>1267</v>
      </c>
      <c r="B1291" s="3">
        <v>1.0620874701876843</v>
      </c>
      <c r="C1291" s="3">
        <v>-1.3887470187684325E-2</v>
      </c>
    </row>
    <row r="1292" spans="1:3" x14ac:dyDescent="0.3">
      <c r="A1292" s="3">
        <v>1268</v>
      </c>
      <c r="B1292" s="3">
        <v>1.0613611703100436</v>
      </c>
      <c r="C1292" s="3">
        <v>-1.6861170310043638E-2</v>
      </c>
    </row>
    <row r="1293" spans="1:3" x14ac:dyDescent="0.3">
      <c r="A1293" s="3">
        <v>1269</v>
      </c>
      <c r="B1293" s="3">
        <v>1.0583752708130754</v>
      </c>
      <c r="C1293" s="3">
        <v>-1.6275270813075338E-2</v>
      </c>
    </row>
    <row r="1294" spans="1:3" x14ac:dyDescent="0.3">
      <c r="A1294" s="3">
        <v>1270</v>
      </c>
      <c r="B1294" s="3">
        <v>1.0564384711393666</v>
      </c>
      <c r="C1294" s="3">
        <v>-6.438471139366575E-3</v>
      </c>
    </row>
    <row r="1295" spans="1:3" x14ac:dyDescent="0.3">
      <c r="A1295" s="3">
        <v>1271</v>
      </c>
      <c r="B1295" s="3">
        <v>1.0628137700653255</v>
      </c>
      <c r="C1295" s="3">
        <v>-1.7013770065325451E-2</v>
      </c>
    </row>
    <row r="1296" spans="1:3" x14ac:dyDescent="0.3">
      <c r="A1296" s="3">
        <v>1272</v>
      </c>
      <c r="B1296" s="3">
        <v>1.0594243706363344</v>
      </c>
      <c r="C1296" s="3">
        <v>-1.2824370636334459E-2</v>
      </c>
    </row>
    <row r="1297" spans="1:3" x14ac:dyDescent="0.3">
      <c r="A1297" s="3">
        <v>1273</v>
      </c>
      <c r="B1297" s="3">
        <v>1.0600699705275709</v>
      </c>
      <c r="C1297" s="3">
        <v>-8.7699705275710027E-3</v>
      </c>
    </row>
    <row r="1298" spans="1:3" x14ac:dyDescent="0.3">
      <c r="A1298" s="3">
        <v>1274</v>
      </c>
      <c r="B1298" s="3">
        <v>1.0638628698885844</v>
      </c>
      <c r="C1298" s="3">
        <v>-1.5562869888584352E-2</v>
      </c>
    </row>
    <row r="1299" spans="1:3" x14ac:dyDescent="0.3">
      <c r="A1299" s="3">
        <v>1275</v>
      </c>
      <c r="B1299" s="3">
        <v>1.0614418702964481</v>
      </c>
      <c r="C1299" s="3">
        <v>-2.1741870296448029E-2</v>
      </c>
    </row>
    <row r="1300" spans="1:3" x14ac:dyDescent="0.3">
      <c r="A1300" s="3">
        <v>1276</v>
      </c>
      <c r="B1300" s="3">
        <v>1.0545016714656574</v>
      </c>
      <c r="C1300" s="3">
        <v>-1.7001671465657342E-2</v>
      </c>
    </row>
    <row r="1301" spans="1:3" x14ac:dyDescent="0.3">
      <c r="A1301" s="3">
        <v>1277</v>
      </c>
      <c r="B1301" s="3">
        <v>1.0527262717647576</v>
      </c>
      <c r="C1301" s="3">
        <v>-4.1262717647576608E-3</v>
      </c>
    </row>
    <row r="1302" spans="1:3" x14ac:dyDescent="0.3">
      <c r="A1302" s="3">
        <v>1278</v>
      </c>
      <c r="B1302" s="3">
        <v>1.0616839702556617</v>
      </c>
      <c r="C1302" s="3">
        <v>7.1602974433826461E-4</v>
      </c>
    </row>
    <row r="1303" spans="1:3" x14ac:dyDescent="0.3">
      <c r="A1303" s="3">
        <v>1279</v>
      </c>
      <c r="B1303" s="3">
        <v>1.0728205683794887</v>
      </c>
      <c r="C1303" s="3">
        <v>6.1794316205112665E-3</v>
      </c>
    </row>
    <row r="1304" spans="1:3" x14ac:dyDescent="0.3">
      <c r="A1304" s="3">
        <v>1280</v>
      </c>
      <c r="B1304" s="3">
        <v>1.086216766122643</v>
      </c>
      <c r="C1304" s="3">
        <v>-7.9167661226429153E-3</v>
      </c>
    </row>
    <row r="1305" spans="1:3" x14ac:dyDescent="0.3">
      <c r="A1305" s="3">
        <v>1281</v>
      </c>
      <c r="B1305" s="3">
        <v>1.0856518662178112</v>
      </c>
      <c r="C1305" s="3">
        <v>-2.4518662178112383E-3</v>
      </c>
    </row>
    <row r="1306" spans="1:3" x14ac:dyDescent="0.3">
      <c r="A1306" s="3">
        <v>1282</v>
      </c>
      <c r="B1306" s="3">
        <v>1.0896061655516336</v>
      </c>
      <c r="C1306" s="3">
        <v>-6.4061655516336469E-3</v>
      </c>
    </row>
    <row r="1307" spans="1:3" x14ac:dyDescent="0.3">
      <c r="A1307" s="3">
        <v>1283</v>
      </c>
      <c r="B1307" s="3">
        <v>1.0896061655516336</v>
      </c>
      <c r="C1307" s="3">
        <v>2.1938344483665162E-3</v>
      </c>
    </row>
    <row r="1308" spans="1:3" x14ac:dyDescent="0.3">
      <c r="A1308" s="3">
        <v>1284</v>
      </c>
      <c r="B1308" s="3">
        <v>1.0965463643824245</v>
      </c>
      <c r="C1308" s="3">
        <v>-7.9463643824244645E-3</v>
      </c>
    </row>
    <row r="1309" spans="1:3" x14ac:dyDescent="0.3">
      <c r="A1309" s="3">
        <v>1285</v>
      </c>
      <c r="B1309" s="3">
        <v>1.093963964817479</v>
      </c>
      <c r="C1309" s="3">
        <v>-8.7639648174790974E-3</v>
      </c>
    </row>
    <row r="1310" spans="1:3" x14ac:dyDescent="0.3">
      <c r="A1310" s="3">
        <v>1286</v>
      </c>
      <c r="B1310" s="3">
        <v>1.0912201652797244</v>
      </c>
      <c r="C1310" s="3">
        <v>-3.3201652797243408E-3</v>
      </c>
    </row>
    <row r="1311" spans="1:3" x14ac:dyDescent="0.3">
      <c r="A1311" s="3">
        <v>1287</v>
      </c>
      <c r="B1311" s="3">
        <v>1.0933990649126473</v>
      </c>
      <c r="C1311" s="3">
        <v>-1.2990649126471965E-3</v>
      </c>
    </row>
    <row r="1312" spans="1:3" x14ac:dyDescent="0.3">
      <c r="A1312" s="3">
        <v>1288</v>
      </c>
      <c r="B1312" s="3">
        <v>1.0967884643416381</v>
      </c>
      <c r="C1312" s="3">
        <v>-2.4884643416380747E-3</v>
      </c>
    </row>
    <row r="1313" spans="1:3" x14ac:dyDescent="0.3">
      <c r="A1313" s="3">
        <v>1289</v>
      </c>
      <c r="B1313" s="3">
        <v>1.0985638640425379</v>
      </c>
      <c r="C1313" s="3">
        <v>-8.4638640425378497E-3</v>
      </c>
    </row>
    <row r="1314" spans="1:3" x14ac:dyDescent="0.3">
      <c r="A1314" s="3">
        <v>1290</v>
      </c>
      <c r="B1314" s="3">
        <v>1.0951744646135473</v>
      </c>
      <c r="C1314" s="3">
        <v>-1.0074464613547329E-2</v>
      </c>
    </row>
    <row r="1315" spans="1:3" x14ac:dyDescent="0.3">
      <c r="A1315" s="3">
        <v>1291</v>
      </c>
      <c r="B1315" s="3">
        <v>1.09113946529332</v>
      </c>
      <c r="C1315" s="3">
        <v>-9.7394652933200376E-3</v>
      </c>
    </row>
    <row r="1316" spans="1:3" x14ac:dyDescent="0.3">
      <c r="A1316" s="3">
        <v>1292</v>
      </c>
      <c r="B1316" s="3">
        <v>1.0881535657963517</v>
      </c>
      <c r="C1316" s="3">
        <v>-8.153565796351625E-3</v>
      </c>
    </row>
    <row r="1317" spans="1:3" x14ac:dyDescent="0.3">
      <c r="A1317" s="3">
        <v>1293</v>
      </c>
      <c r="B1317" s="3">
        <v>1.0870237659866884</v>
      </c>
      <c r="C1317" s="3">
        <v>-7.9237659866884247E-3</v>
      </c>
    </row>
    <row r="1318" spans="1:3" x14ac:dyDescent="0.3">
      <c r="A1318" s="3">
        <v>1294</v>
      </c>
      <c r="B1318" s="3">
        <v>1.0862974661090474</v>
      </c>
      <c r="C1318" s="3">
        <v>-1.1097466109047494E-2</v>
      </c>
    </row>
    <row r="1319" spans="1:3" x14ac:dyDescent="0.3">
      <c r="A1319" s="3">
        <v>1295</v>
      </c>
      <c r="B1319" s="3">
        <v>1.0831501666392702</v>
      </c>
      <c r="C1319" s="3">
        <v>-3.0501666392701576E-3</v>
      </c>
    </row>
    <row r="1320" spans="1:3" x14ac:dyDescent="0.3">
      <c r="A1320" s="3">
        <v>1296</v>
      </c>
      <c r="B1320" s="3">
        <v>1.0871044659730928</v>
      </c>
      <c r="C1320" s="3">
        <v>-4.4044659730928526E-3</v>
      </c>
    </row>
    <row r="1321" spans="1:3" x14ac:dyDescent="0.3">
      <c r="A1321" s="3">
        <v>1297</v>
      </c>
      <c r="B1321" s="3">
        <v>1.089202665619611</v>
      </c>
      <c r="C1321" s="3">
        <v>-7.5026656196108821E-3</v>
      </c>
    </row>
    <row r="1322" spans="1:3" x14ac:dyDescent="0.3">
      <c r="A1322" s="3">
        <v>1298</v>
      </c>
      <c r="B1322" s="3">
        <v>1.0883956657555656</v>
      </c>
      <c r="C1322" s="3">
        <v>-9.0956657555656406E-3</v>
      </c>
    </row>
    <row r="1323" spans="1:3" x14ac:dyDescent="0.3">
      <c r="A1323" s="3">
        <v>1299</v>
      </c>
      <c r="B1323" s="3">
        <v>1.0864588660818564</v>
      </c>
      <c r="C1323" s="3">
        <v>-9.5886608185646871E-4</v>
      </c>
    </row>
    <row r="1324" spans="1:3" x14ac:dyDescent="0.3">
      <c r="A1324" s="3">
        <v>1300</v>
      </c>
      <c r="B1324" s="3">
        <v>1.0914622652389381</v>
      </c>
      <c r="C1324" s="3">
        <v>1.3537734761061904E-2</v>
      </c>
    </row>
    <row r="1325" spans="1:3" x14ac:dyDescent="0.3">
      <c r="A1325" s="3">
        <v>1301</v>
      </c>
      <c r="B1325" s="3">
        <v>1.1071987625878239</v>
      </c>
      <c r="C1325" s="3">
        <v>-1.1698762587823985E-2</v>
      </c>
    </row>
    <row r="1326" spans="1:3" x14ac:dyDescent="0.3">
      <c r="A1326" s="3">
        <v>1302</v>
      </c>
      <c r="B1326" s="3">
        <v>1.0995322638793925</v>
      </c>
      <c r="C1326" s="3">
        <v>-9.1322638793924771E-3</v>
      </c>
    </row>
    <row r="1327" spans="1:3" x14ac:dyDescent="0.3">
      <c r="A1327" s="3">
        <v>1303</v>
      </c>
      <c r="B1327" s="3">
        <v>1.0954165645727607</v>
      </c>
      <c r="C1327" s="3">
        <v>1.8343542723919803E-4</v>
      </c>
    </row>
    <row r="1328" spans="1:3" x14ac:dyDescent="0.3">
      <c r="A1328" s="3">
        <v>1304</v>
      </c>
      <c r="B1328" s="3">
        <v>1.099612963865797</v>
      </c>
      <c r="C1328" s="3">
        <v>-4.6129638657970151E-3</v>
      </c>
    </row>
    <row r="1329" spans="1:3" x14ac:dyDescent="0.3">
      <c r="A1329" s="3">
        <v>1305</v>
      </c>
      <c r="B1329" s="3">
        <v>1.0991287639473697</v>
      </c>
      <c r="C1329" s="3">
        <v>2.0971236052630404E-2</v>
      </c>
    </row>
    <row r="1330" spans="1:3" x14ac:dyDescent="0.3">
      <c r="A1330" s="3">
        <v>1306</v>
      </c>
      <c r="B1330" s="3">
        <v>1.1193844605349101</v>
      </c>
      <c r="C1330" s="3">
        <v>1.4215539465089799E-2</v>
      </c>
    </row>
    <row r="1331" spans="1:3" x14ac:dyDescent="0.3">
      <c r="A1331" s="3">
        <v>1307</v>
      </c>
      <c r="B1331" s="3">
        <v>1.1302789586995234</v>
      </c>
      <c r="C1331" s="3">
        <v>4.6210413004765805E-3</v>
      </c>
    </row>
    <row r="1332" spans="1:3" x14ac:dyDescent="0.3">
      <c r="A1332" s="3">
        <v>1308</v>
      </c>
      <c r="B1332" s="3">
        <v>1.1313280585227825</v>
      </c>
      <c r="C1332" s="3">
        <v>-3.1280585227824176E-3</v>
      </c>
    </row>
    <row r="1333" spans="1:3" x14ac:dyDescent="0.3">
      <c r="A1333" s="3">
        <v>1309</v>
      </c>
      <c r="B1333" s="3">
        <v>1.1259211594336782</v>
      </c>
      <c r="C1333" s="3">
        <v>1.3478840566321759E-2</v>
      </c>
    </row>
    <row r="1334" spans="1:3" x14ac:dyDescent="0.3">
      <c r="A1334" s="3">
        <v>1310</v>
      </c>
      <c r="B1334" s="3">
        <v>1.134959557910987</v>
      </c>
      <c r="C1334" s="3">
        <v>1.6404420890130389E-3</v>
      </c>
    </row>
    <row r="1335" spans="1:3" x14ac:dyDescent="0.3">
      <c r="A1335" s="3">
        <v>1311</v>
      </c>
      <c r="B1335" s="3">
        <v>1.1326999582916597</v>
      </c>
      <c r="C1335" s="3">
        <v>4.4000417083402965E-3</v>
      </c>
    </row>
    <row r="1336" spans="1:3" x14ac:dyDescent="0.3">
      <c r="A1336" s="3">
        <v>1312</v>
      </c>
      <c r="B1336" s="3">
        <v>1.1331034582236823</v>
      </c>
      <c r="C1336" s="3">
        <v>1.8296541776317676E-2</v>
      </c>
    </row>
    <row r="1337" spans="1:3" x14ac:dyDescent="0.3">
      <c r="A1337" s="3">
        <v>1313</v>
      </c>
      <c r="B1337" s="3">
        <v>1.1446435562795321</v>
      </c>
      <c r="C1337" s="3">
        <v>-2.6435562795321665E-3</v>
      </c>
    </row>
    <row r="1338" spans="1:3" x14ac:dyDescent="0.3">
      <c r="A1338" s="3">
        <v>1314</v>
      </c>
      <c r="B1338" s="3">
        <v>1.1370577575575049</v>
      </c>
      <c r="C1338" s="3">
        <v>-5.7577575575049611E-3</v>
      </c>
    </row>
    <row r="1339" spans="1:3" x14ac:dyDescent="0.3">
      <c r="A1339" s="3">
        <v>1315</v>
      </c>
      <c r="B1339" s="3">
        <v>1.1284228590122189</v>
      </c>
      <c r="C1339" s="3">
        <v>1.0377140987781086E-2</v>
      </c>
    </row>
    <row r="1340" spans="1:3" x14ac:dyDescent="0.3">
      <c r="A1340" s="3">
        <v>1316</v>
      </c>
      <c r="B1340" s="3">
        <v>1.1344753579925597</v>
      </c>
      <c r="C1340" s="3">
        <v>1.3246420074402021E-3</v>
      </c>
    </row>
    <row r="1341" spans="1:3" x14ac:dyDescent="0.3">
      <c r="A1341" s="3">
        <v>1317</v>
      </c>
      <c r="B1341" s="3">
        <v>1.1320543584004232</v>
      </c>
      <c r="C1341" s="3">
        <v>1.004564159957666E-2</v>
      </c>
    </row>
    <row r="1342" spans="1:3" x14ac:dyDescent="0.3">
      <c r="A1342" s="3">
        <v>1318</v>
      </c>
      <c r="B1342" s="3">
        <v>1.1371384575439096</v>
      </c>
      <c r="C1342" s="3">
        <v>1.3615424560904366E-3</v>
      </c>
    </row>
    <row r="1343" spans="1:3" x14ac:dyDescent="0.3">
      <c r="A1343" s="3">
        <v>1319</v>
      </c>
      <c r="B1343" s="3">
        <v>1.1342332580333461</v>
      </c>
      <c r="C1343" s="3">
        <v>-1.5332580333460299E-3</v>
      </c>
    </row>
    <row r="1344" spans="1:3" x14ac:dyDescent="0.3">
      <c r="A1344" s="3">
        <v>1320</v>
      </c>
      <c r="B1344" s="3">
        <v>1.1295526588218827</v>
      </c>
      <c r="C1344" s="3">
        <v>-9.5265882188266815E-4</v>
      </c>
    </row>
    <row r="1345" spans="1:3" x14ac:dyDescent="0.3">
      <c r="A1345" s="3">
        <v>1321</v>
      </c>
      <c r="B1345" s="3">
        <v>1.1262439593792963</v>
      </c>
      <c r="C1345" s="3">
        <v>2.4560406207037033E-3</v>
      </c>
    </row>
    <row r="1346" spans="1:3" x14ac:dyDescent="0.3">
      <c r="A1346" s="3">
        <v>1322</v>
      </c>
      <c r="B1346" s="3">
        <v>1.1263246593657008</v>
      </c>
      <c r="C1346" s="3">
        <v>5.0753406342991525E-3</v>
      </c>
    </row>
    <row r="1347" spans="1:3" x14ac:dyDescent="0.3">
      <c r="A1347" s="3">
        <v>1323</v>
      </c>
      <c r="B1347" s="3">
        <v>1.1285035589986234</v>
      </c>
      <c r="C1347" s="3">
        <v>8.3964410013765978E-3</v>
      </c>
    </row>
    <row r="1348" spans="1:3" x14ac:dyDescent="0.3">
      <c r="A1348" s="3">
        <v>1324</v>
      </c>
      <c r="B1348" s="3">
        <v>1.1329420582508734</v>
      </c>
      <c r="C1348" s="3">
        <v>-2.9420582508734583E-3</v>
      </c>
    </row>
    <row r="1349" spans="1:3" x14ac:dyDescent="0.3">
      <c r="A1349" s="3">
        <v>1325</v>
      </c>
      <c r="B1349" s="3">
        <v>1.1273737591889597</v>
      </c>
      <c r="C1349" s="3">
        <v>-4.6737591889596253E-3</v>
      </c>
    </row>
    <row r="1350" spans="1:3" x14ac:dyDescent="0.3">
      <c r="A1350" s="3">
        <v>1326</v>
      </c>
      <c r="B1350" s="3">
        <v>1.1214826601814283</v>
      </c>
      <c r="C1350" s="3">
        <v>2.1733981857163798E-4</v>
      </c>
    </row>
    <row r="1351" spans="1:3" x14ac:dyDescent="0.3">
      <c r="A1351" s="3">
        <v>1327</v>
      </c>
      <c r="B1351" s="3">
        <v>1.1206756603173829</v>
      </c>
      <c r="C1351" s="3">
        <v>-1.2175660317382819E-2</v>
      </c>
    </row>
    <row r="1352" spans="1:3" x14ac:dyDescent="0.3">
      <c r="A1352" s="3">
        <v>1328</v>
      </c>
      <c r="B1352" s="3">
        <v>1.1100232621119832</v>
      </c>
      <c r="C1352" s="3">
        <v>8.3767378880168497E-3</v>
      </c>
    </row>
    <row r="1353" spans="1:3" x14ac:dyDescent="0.3">
      <c r="A1353" s="3">
        <v>1329</v>
      </c>
      <c r="B1353" s="3">
        <v>1.1180125607660329</v>
      </c>
      <c r="C1353" s="3">
        <v>-4.1256076603302105E-4</v>
      </c>
    </row>
    <row r="1354" spans="1:3" x14ac:dyDescent="0.3">
      <c r="A1354" s="3">
        <v>1330</v>
      </c>
      <c r="B1354" s="3">
        <v>1.1173669608747965</v>
      </c>
      <c r="C1354" s="3">
        <v>1.3330391252035501E-3</v>
      </c>
    </row>
    <row r="1355" spans="1:3" x14ac:dyDescent="0.3">
      <c r="A1355" s="3">
        <v>1331</v>
      </c>
      <c r="B1355" s="3">
        <v>1.1182546607252464</v>
      </c>
      <c r="C1355" s="3">
        <v>-1.3546607252463705E-3</v>
      </c>
    </row>
    <row r="1356" spans="1:3" x14ac:dyDescent="0.3">
      <c r="A1356" s="3">
        <v>1332</v>
      </c>
      <c r="B1356" s="3">
        <v>1.1168020609699647</v>
      </c>
      <c r="C1356" s="3">
        <v>6.8979390300352161E-3</v>
      </c>
    </row>
    <row r="1357" spans="1:3" x14ac:dyDescent="0.3">
      <c r="A1357" s="3">
        <v>1333</v>
      </c>
      <c r="B1357" s="3">
        <v>1.1222896600454737</v>
      </c>
      <c r="C1357" s="3">
        <v>5.9103399545263891E-3</v>
      </c>
    </row>
    <row r="1358" spans="1:3" x14ac:dyDescent="0.3">
      <c r="A1358" s="3">
        <v>1334</v>
      </c>
      <c r="B1358" s="3">
        <v>1.1259211594336782</v>
      </c>
      <c r="C1358" s="3">
        <v>6.9788405663218089E-3</v>
      </c>
    </row>
    <row r="1359" spans="1:3" x14ac:dyDescent="0.3">
      <c r="A1359" s="3">
        <v>1335</v>
      </c>
      <c r="B1359" s="3">
        <v>1.1297140587946917</v>
      </c>
      <c r="C1359" s="3">
        <v>-1.7140587946917751E-3</v>
      </c>
    </row>
    <row r="1360" spans="1:3" x14ac:dyDescent="0.3">
      <c r="A1360" s="3">
        <v>1336</v>
      </c>
      <c r="B1360" s="3">
        <v>1.1257597594608688</v>
      </c>
      <c r="C1360" s="3">
        <v>1.0340240539131296E-2</v>
      </c>
    </row>
    <row r="1361" spans="1:3" x14ac:dyDescent="0.3">
      <c r="A1361" s="3">
        <v>1337</v>
      </c>
      <c r="B1361" s="3">
        <v>1.1322964583596371</v>
      </c>
      <c r="C1361" s="3">
        <v>6.3035416403629529E-3</v>
      </c>
    </row>
    <row r="1362" spans="1:3" x14ac:dyDescent="0.3">
      <c r="A1362" s="3">
        <v>1338</v>
      </c>
      <c r="B1362" s="3">
        <v>1.1343139580197508</v>
      </c>
      <c r="C1362" s="3">
        <v>-1.5139580197507385E-3</v>
      </c>
    </row>
    <row r="1363" spans="1:3" x14ac:dyDescent="0.3">
      <c r="A1363" s="3">
        <v>1339</v>
      </c>
      <c r="B1363" s="3">
        <v>1.1296333588082872</v>
      </c>
      <c r="C1363" s="3">
        <v>-1.3335880828724278E-4</v>
      </c>
    </row>
    <row r="1364" spans="1:3" x14ac:dyDescent="0.3">
      <c r="A1364" s="3">
        <v>1340</v>
      </c>
      <c r="B1364" s="3">
        <v>1.1269702592569371</v>
      </c>
      <c r="C1364" s="3">
        <v>9.5297407430630088E-3</v>
      </c>
    </row>
    <row r="1365" spans="1:3" x14ac:dyDescent="0.3">
      <c r="A1365" s="3">
        <v>1341</v>
      </c>
      <c r="B1365" s="3">
        <v>1.1326192583052552</v>
      </c>
      <c r="C1365" s="3">
        <v>1.4807416947448804E-3</v>
      </c>
    </row>
    <row r="1366" spans="1:3" x14ac:dyDescent="0.3">
      <c r="A1366" s="3">
        <v>1342</v>
      </c>
      <c r="B1366" s="3">
        <v>1.1306824586315463</v>
      </c>
      <c r="C1366" s="3">
        <v>1.3217541368453656E-2</v>
      </c>
    </row>
    <row r="1367" spans="1:3" x14ac:dyDescent="0.3">
      <c r="A1367" s="3">
        <v>1343</v>
      </c>
      <c r="B1367" s="3">
        <v>1.1385910572991913</v>
      </c>
      <c r="C1367" s="3">
        <v>-1.2910572991913227E-3</v>
      </c>
    </row>
    <row r="1368" spans="1:3" x14ac:dyDescent="0.3">
      <c r="A1368" s="3">
        <v>1344</v>
      </c>
      <c r="B1368" s="3">
        <v>1.1332648581964915</v>
      </c>
      <c r="C1368" s="3">
        <v>8.4351418035084613E-3</v>
      </c>
    </row>
    <row r="1369" spans="1:3" x14ac:dyDescent="0.3">
      <c r="A1369" s="3">
        <v>1345</v>
      </c>
      <c r="B1369" s="3">
        <v>1.1368156575982913</v>
      </c>
      <c r="C1369" s="3">
        <v>7.48434240170881E-3</v>
      </c>
    </row>
    <row r="1370" spans="1:3" x14ac:dyDescent="0.3">
      <c r="A1370" s="3">
        <v>1346</v>
      </c>
      <c r="B1370" s="3">
        <v>1.1389138572448096</v>
      </c>
      <c r="C1370" s="3">
        <v>1.8614275519035495E-4</v>
      </c>
    </row>
    <row r="1371" spans="1:3" x14ac:dyDescent="0.3">
      <c r="A1371" s="3">
        <v>1347</v>
      </c>
      <c r="B1371" s="3">
        <v>1.1347174579517731</v>
      </c>
      <c r="C1371" s="3">
        <v>7.4825420482269589E-3</v>
      </c>
    </row>
    <row r="1372" spans="1:3" x14ac:dyDescent="0.3">
      <c r="A1372" s="3">
        <v>1348</v>
      </c>
      <c r="B1372" s="3">
        <v>1.1372191575303141</v>
      </c>
      <c r="C1372" s="3">
        <v>5.3808424696859536E-3</v>
      </c>
    </row>
    <row r="1373" spans="1:3" x14ac:dyDescent="0.3">
      <c r="A1373" s="3">
        <v>1349</v>
      </c>
      <c r="B1373" s="3">
        <v>1.1375419574759325</v>
      </c>
      <c r="C1373" s="3">
        <v>1.1558042524067558E-2</v>
      </c>
    </row>
    <row r="1374" spans="1:3" x14ac:dyDescent="0.3">
      <c r="A1374" s="3">
        <v>1350</v>
      </c>
      <c r="B1374" s="3">
        <v>1.1427874565922276</v>
      </c>
      <c r="C1374" s="3">
        <v>1.5312543407772328E-2</v>
      </c>
    </row>
    <row r="1375" spans="1:3" x14ac:dyDescent="0.3">
      <c r="A1375" s="3">
        <v>1351</v>
      </c>
      <c r="B1375" s="3">
        <v>1.1500504553686364</v>
      </c>
      <c r="C1375" s="3">
        <v>3.4495446313635991E-3</v>
      </c>
    </row>
    <row r="1376" spans="1:3" x14ac:dyDescent="0.3">
      <c r="A1376" s="3">
        <v>1352</v>
      </c>
      <c r="B1376" s="3">
        <v>1.1463382559940274</v>
      </c>
      <c r="C1376" s="3">
        <v>1.0261744005972684E-2</v>
      </c>
    </row>
    <row r="1377" spans="1:3" x14ac:dyDescent="0.3">
      <c r="A1377" s="3">
        <v>1353</v>
      </c>
      <c r="B1377" s="3">
        <v>1.1488399555725683</v>
      </c>
      <c r="C1377" s="3">
        <v>-9.3995557256842943E-4</v>
      </c>
    </row>
    <row r="1378" spans="1:3" x14ac:dyDescent="0.3">
      <c r="A1378" s="3">
        <v>1354</v>
      </c>
      <c r="B1378" s="3">
        <v>1.141819056755373</v>
      </c>
      <c r="C1378" s="3">
        <v>6.4809432446271131E-3</v>
      </c>
    </row>
    <row r="1379" spans="1:3" x14ac:dyDescent="0.3">
      <c r="A1379" s="3">
        <v>1355</v>
      </c>
      <c r="B1379" s="3">
        <v>1.1421418567009913</v>
      </c>
      <c r="C1379" s="3">
        <v>7.2581432990086459E-3</v>
      </c>
    </row>
    <row r="1380" spans="1:3" x14ac:dyDescent="0.3">
      <c r="A1380" s="3">
        <v>1356</v>
      </c>
      <c r="B1380" s="3">
        <v>1.1430295565514412</v>
      </c>
      <c r="C1380" s="3">
        <v>4.8704434485586923E-3</v>
      </c>
    </row>
    <row r="1381" spans="1:3" x14ac:dyDescent="0.3">
      <c r="A1381" s="3">
        <v>1357</v>
      </c>
      <c r="B1381" s="3">
        <v>1.141819056755373</v>
      </c>
      <c r="C1381" s="3">
        <v>1.5780943244626977E-2</v>
      </c>
    </row>
    <row r="1382" spans="1:3" x14ac:dyDescent="0.3">
      <c r="A1382" s="3">
        <v>1358</v>
      </c>
      <c r="B1382" s="3">
        <v>1.1496469554366138</v>
      </c>
      <c r="C1382" s="3">
        <v>1.1153044563386283E-2</v>
      </c>
    </row>
    <row r="1383" spans="1:3" x14ac:dyDescent="0.3">
      <c r="A1383" s="3">
        <v>1359</v>
      </c>
      <c r="B1383" s="3">
        <v>1.1522293550015592</v>
      </c>
      <c r="C1383" s="3">
        <v>1.357064499844074E-2</v>
      </c>
    </row>
    <row r="1384" spans="1:3" x14ac:dyDescent="0.3">
      <c r="A1384" s="3">
        <v>1360</v>
      </c>
      <c r="B1384" s="3">
        <v>1.1562643543217863</v>
      </c>
      <c r="C1384" s="3">
        <v>1.323564567821367E-2</v>
      </c>
    </row>
    <row r="1385" spans="1:3" x14ac:dyDescent="0.3">
      <c r="A1385" s="3">
        <v>1361</v>
      </c>
      <c r="B1385" s="3">
        <v>1.1592502538187544</v>
      </c>
      <c r="C1385" s="3">
        <v>1.1849746181245679E-2</v>
      </c>
    </row>
    <row r="1386" spans="1:3" x14ac:dyDescent="0.3">
      <c r="A1386" s="3">
        <v>1362</v>
      </c>
      <c r="B1386" s="3">
        <v>1.1605414536012271</v>
      </c>
      <c r="C1386" s="3">
        <v>1.8058546398773023E-2</v>
      </c>
    </row>
    <row r="1387" spans="1:3" x14ac:dyDescent="0.3">
      <c r="A1387" s="3">
        <v>1363</v>
      </c>
      <c r="B1387" s="3">
        <v>1.1665939525815681</v>
      </c>
      <c r="C1387" s="3">
        <v>1.3606047418431855E-2</v>
      </c>
    </row>
    <row r="1388" spans="1:3" x14ac:dyDescent="0.3">
      <c r="A1388" s="3">
        <v>1364</v>
      </c>
      <c r="B1388" s="3">
        <v>1.1678851523640406</v>
      </c>
      <c r="C1388" s="3">
        <v>1.1914847635959402E-2</v>
      </c>
    </row>
    <row r="1389" spans="1:3" x14ac:dyDescent="0.3">
      <c r="A1389" s="3">
        <v>1365</v>
      </c>
      <c r="B1389" s="3">
        <v>1.1675623524184222</v>
      </c>
      <c r="C1389" s="3">
        <v>8.037647581577767E-3</v>
      </c>
    </row>
    <row r="1390" spans="1:3" x14ac:dyDescent="0.3">
      <c r="A1390" s="3">
        <v>1366</v>
      </c>
      <c r="B1390" s="3">
        <v>1.1641729529894316</v>
      </c>
      <c r="C1390" s="3">
        <v>1.2827047010568471E-2</v>
      </c>
    </row>
    <row r="1391" spans="1:3" x14ac:dyDescent="0.3">
      <c r="A1391" s="3">
        <v>1367</v>
      </c>
      <c r="B1391" s="3">
        <v>1.1653027527990951</v>
      </c>
      <c r="C1391" s="3">
        <v>5.5972472009049312E-3</v>
      </c>
    </row>
    <row r="1392" spans="1:3" x14ac:dyDescent="0.3">
      <c r="A1392" s="3">
        <v>1368</v>
      </c>
      <c r="B1392" s="3">
        <v>1.1603800536284181</v>
      </c>
      <c r="C1392" s="3">
        <v>1.2019946371581991E-2</v>
      </c>
    </row>
    <row r="1393" spans="1:3" x14ac:dyDescent="0.3">
      <c r="A1393" s="3">
        <v>1369</v>
      </c>
      <c r="B1393" s="3">
        <v>1.1615905534244861</v>
      </c>
      <c r="C1393" s="3">
        <v>1.0409446575513792E-2</v>
      </c>
    </row>
    <row r="1394" spans="1:3" x14ac:dyDescent="0.3">
      <c r="A1394" s="3">
        <v>1370</v>
      </c>
      <c r="B1394" s="3">
        <v>1.1612677534788678</v>
      </c>
      <c r="C1394" s="3">
        <v>8.7322465211321365E-3</v>
      </c>
    </row>
    <row r="1395" spans="1:3" x14ac:dyDescent="0.3">
      <c r="A1395" s="3">
        <v>1371</v>
      </c>
      <c r="B1395" s="3">
        <v>1.1596537537507769</v>
      </c>
      <c r="C1395" s="3">
        <v>7.6462462492230543E-3</v>
      </c>
    </row>
    <row r="1396" spans="1:3" x14ac:dyDescent="0.3">
      <c r="A1396" s="3">
        <v>1372</v>
      </c>
      <c r="B1396" s="3">
        <v>1.1574748541178543</v>
      </c>
      <c r="C1396" s="3">
        <v>9.1251458821457465E-3</v>
      </c>
    </row>
    <row r="1397" spans="1:3" x14ac:dyDescent="0.3">
      <c r="A1397" s="3">
        <v>1373</v>
      </c>
      <c r="B1397" s="3">
        <v>1.1569099542130226</v>
      </c>
      <c r="C1397" s="3">
        <v>2.9900457869773689E-3</v>
      </c>
    </row>
    <row r="1398" spans="1:3" x14ac:dyDescent="0.3">
      <c r="A1398" s="3">
        <v>1374</v>
      </c>
      <c r="B1398" s="3">
        <v>1.1515030551239183</v>
      </c>
      <c r="C1398" s="3">
        <v>1.2496944876081661E-2</v>
      </c>
    </row>
    <row r="1399" spans="1:3" x14ac:dyDescent="0.3">
      <c r="A1399" s="3">
        <v>1375</v>
      </c>
      <c r="B1399" s="3">
        <v>1.1548117545665044</v>
      </c>
      <c r="C1399" s="3">
        <v>4.6882454334955526E-3</v>
      </c>
    </row>
    <row r="1400" spans="1:3" x14ac:dyDescent="0.3">
      <c r="A1400" s="3">
        <v>1376</v>
      </c>
      <c r="B1400" s="3">
        <v>1.1511802551782999</v>
      </c>
      <c r="C1400" s="3">
        <v>1.0619744821700028E-2</v>
      </c>
    </row>
    <row r="1401" spans="1:3" x14ac:dyDescent="0.3">
      <c r="A1401" s="3">
        <v>1377</v>
      </c>
      <c r="B1401" s="3">
        <v>1.1530363548656046</v>
      </c>
      <c r="C1401" s="3">
        <v>1.6463645134395355E-2</v>
      </c>
    </row>
    <row r="1402" spans="1:3" x14ac:dyDescent="0.3">
      <c r="A1402" s="3">
        <v>1378</v>
      </c>
      <c r="B1402" s="3">
        <v>1.1592502538187544</v>
      </c>
      <c r="C1402" s="3">
        <v>1.5949746181245672E-2</v>
      </c>
    </row>
    <row r="1403" spans="1:3" x14ac:dyDescent="0.3">
      <c r="A1403" s="3">
        <v>1379</v>
      </c>
      <c r="B1403" s="3">
        <v>1.1638501530438132</v>
      </c>
      <c r="C1403" s="3">
        <v>1.3149846956186817E-2</v>
      </c>
    </row>
    <row r="1404" spans="1:3" x14ac:dyDescent="0.3">
      <c r="A1404" s="3">
        <v>1380</v>
      </c>
      <c r="B1404" s="3">
        <v>1.1653027527990951</v>
      </c>
      <c r="C1404" s="3">
        <v>9.3972472009049568E-3</v>
      </c>
    </row>
    <row r="1405" spans="1:3" x14ac:dyDescent="0.3">
      <c r="A1405" s="3">
        <v>1381</v>
      </c>
      <c r="B1405" s="3">
        <v>1.1634466531117909</v>
      </c>
      <c r="C1405" s="3">
        <v>1.1153346888209237E-2</v>
      </c>
    </row>
    <row r="1406" spans="1:3" x14ac:dyDescent="0.3">
      <c r="A1406" s="3">
        <v>1382</v>
      </c>
      <c r="B1406" s="3">
        <v>1.1633659531253862</v>
      </c>
      <c r="C1406" s="3">
        <v>-4.5659531253861019E-3</v>
      </c>
    </row>
    <row r="1407" spans="1:3" x14ac:dyDescent="0.3">
      <c r="A1407" s="3">
        <v>1383</v>
      </c>
      <c r="B1407" s="3">
        <v>1.1506153552734684</v>
      </c>
      <c r="C1407" s="3">
        <v>3.8846447265317163E-3</v>
      </c>
    </row>
    <row r="1408" spans="1:3" x14ac:dyDescent="0.3">
      <c r="A1408" s="3">
        <v>1384</v>
      </c>
      <c r="B1408" s="3">
        <v>1.147145255858073</v>
      </c>
      <c r="C1408" s="3">
        <v>-6.7452558580729516E-3</v>
      </c>
    </row>
    <row r="1409" spans="1:3" x14ac:dyDescent="0.3">
      <c r="A1409" s="3">
        <v>1385</v>
      </c>
      <c r="B1409" s="3">
        <v>1.1357665577750324</v>
      </c>
      <c r="C1409" s="3">
        <v>5.6334422249675331E-3</v>
      </c>
    </row>
    <row r="1410" spans="1:3" x14ac:dyDescent="0.3">
      <c r="A1410" s="3">
        <v>1386</v>
      </c>
      <c r="B1410" s="3">
        <v>1.1365735576390779</v>
      </c>
      <c r="C1410" s="3">
        <v>2.1126442360922093E-2</v>
      </c>
    </row>
    <row r="1411" spans="1:3" x14ac:dyDescent="0.3">
      <c r="A1411" s="3">
        <v>1387</v>
      </c>
      <c r="B1411" s="3">
        <v>1.1497276554230182</v>
      </c>
      <c r="C1411" s="3">
        <v>7.2723445769817818E-3</v>
      </c>
    </row>
    <row r="1412" spans="1:3" x14ac:dyDescent="0.3">
      <c r="A1412" s="3">
        <v>1388</v>
      </c>
      <c r="B1412" s="3">
        <v>1.1491627555181865</v>
      </c>
      <c r="C1412" s="3">
        <v>7.9372444818135435E-3</v>
      </c>
    </row>
    <row r="1413" spans="1:3" x14ac:dyDescent="0.3">
      <c r="A1413" s="3">
        <v>1389</v>
      </c>
      <c r="B1413" s="3">
        <v>1.1492434555045912</v>
      </c>
      <c r="C1413" s="3">
        <v>1.6656544495408765E-2</v>
      </c>
    </row>
    <row r="1414" spans="1:3" x14ac:dyDescent="0.3">
      <c r="A1414" s="3">
        <v>1390</v>
      </c>
      <c r="B1414" s="3">
        <v>1.1563450543081908</v>
      </c>
      <c r="C1414" s="3">
        <v>1.0154945691809303E-2</v>
      </c>
    </row>
    <row r="1415" spans="1:3" x14ac:dyDescent="0.3">
      <c r="A1415" s="3">
        <v>1391</v>
      </c>
      <c r="B1415" s="3">
        <v>1.1568292542266181</v>
      </c>
      <c r="C1415" s="3">
        <v>6.87074577338187E-3</v>
      </c>
    </row>
    <row r="1416" spans="1:3" x14ac:dyDescent="0.3">
      <c r="A1416" s="3">
        <v>1392</v>
      </c>
      <c r="B1416" s="3">
        <v>1.154569654607291</v>
      </c>
      <c r="C1416" s="3">
        <v>6.8303453927089919E-3</v>
      </c>
    </row>
    <row r="1417" spans="1:3" x14ac:dyDescent="0.3">
      <c r="A1417" s="3">
        <v>1393</v>
      </c>
      <c r="B1417" s="3">
        <v>1.1527135549199863</v>
      </c>
      <c r="C1417" s="3">
        <v>1.468644508001371E-2</v>
      </c>
    </row>
    <row r="1418" spans="1:3" x14ac:dyDescent="0.3">
      <c r="A1418" s="3">
        <v>1394</v>
      </c>
      <c r="B1418" s="3">
        <v>1.157555554104259</v>
      </c>
      <c r="C1418" s="3">
        <v>1.2944445895741064E-2</v>
      </c>
    </row>
    <row r="1419" spans="1:3" x14ac:dyDescent="0.3">
      <c r="A1419" s="3">
        <v>1395</v>
      </c>
      <c r="B1419" s="3">
        <v>1.1600572536827998</v>
      </c>
      <c r="C1419" s="3">
        <v>4.642746317200297E-3</v>
      </c>
    </row>
    <row r="1420" spans="1:3" x14ac:dyDescent="0.3">
      <c r="A1420" s="3">
        <v>1396</v>
      </c>
      <c r="B1420" s="3">
        <v>1.1553766544713364</v>
      </c>
      <c r="C1420" s="3">
        <v>1.3723345528663611E-2</v>
      </c>
    </row>
    <row r="1421" spans="1:3" x14ac:dyDescent="0.3">
      <c r="A1421" s="3">
        <v>1397</v>
      </c>
      <c r="B1421" s="3">
        <v>1.1589274538731362</v>
      </c>
      <c r="C1421" s="3">
        <v>6.9725461268637101E-3</v>
      </c>
    </row>
    <row r="1422" spans="1:3" x14ac:dyDescent="0.3">
      <c r="A1422" s="3">
        <v>1398</v>
      </c>
      <c r="B1422" s="3">
        <v>1.1563450543081908</v>
      </c>
      <c r="C1422" s="3">
        <v>8.554945691809257E-3</v>
      </c>
    </row>
    <row r="1423" spans="1:3" x14ac:dyDescent="0.3">
      <c r="A1423" s="3">
        <v>1399</v>
      </c>
      <c r="B1423" s="3">
        <v>1.1555380544441456</v>
      </c>
      <c r="C1423" s="3">
        <v>9.6619455558544232E-3</v>
      </c>
    </row>
    <row r="1424" spans="1:3" x14ac:dyDescent="0.3">
      <c r="A1424" s="3">
        <v>1400</v>
      </c>
      <c r="B1424" s="3">
        <v>1.155780154403359</v>
      </c>
      <c r="C1424" s="3">
        <v>4.7198455966410702E-3</v>
      </c>
    </row>
    <row r="1425" spans="1:3" x14ac:dyDescent="0.3">
      <c r="A1425" s="3">
        <v>1401</v>
      </c>
      <c r="B1425" s="3">
        <v>1.1519872550423456</v>
      </c>
      <c r="C1425" s="3">
        <v>1.9512744957654427E-2</v>
      </c>
    </row>
    <row r="1426" spans="1:3" x14ac:dyDescent="0.3">
      <c r="A1426" s="3">
        <v>1402</v>
      </c>
      <c r="B1426" s="3">
        <v>1.1608642535468454</v>
      </c>
      <c r="C1426" s="3">
        <v>9.3574645315452898E-4</v>
      </c>
    </row>
    <row r="1427" spans="1:3" x14ac:dyDescent="0.3">
      <c r="A1427" s="3">
        <v>1403</v>
      </c>
      <c r="B1427" s="3">
        <v>1.1530363548656046</v>
      </c>
      <c r="C1427" s="3">
        <v>1.1163645134395273E-2</v>
      </c>
    </row>
    <row r="1428" spans="1:3" x14ac:dyDescent="0.3">
      <c r="A1428" s="3">
        <v>1404</v>
      </c>
      <c r="B1428" s="3">
        <v>1.1549731545393134</v>
      </c>
      <c r="C1428" s="3">
        <v>8.7268454606865831E-3</v>
      </c>
    </row>
    <row r="1429" spans="1:3" x14ac:dyDescent="0.3">
      <c r="A1429" s="3">
        <v>1405</v>
      </c>
      <c r="B1429" s="3">
        <v>1.154569654607291</v>
      </c>
      <c r="C1429" s="3">
        <v>1.3630345392708909E-2</v>
      </c>
    </row>
    <row r="1430" spans="1:3" x14ac:dyDescent="0.3">
      <c r="A1430" s="3">
        <v>1406</v>
      </c>
      <c r="B1430" s="3">
        <v>1.1582011539954953</v>
      </c>
      <c r="C1430" s="3">
        <v>1.0198846004504825E-2</v>
      </c>
    </row>
    <row r="1431" spans="1:3" x14ac:dyDescent="0.3">
      <c r="A1431" s="3">
        <v>1407</v>
      </c>
      <c r="B1431" s="3">
        <v>1.1583625539683045</v>
      </c>
      <c r="C1431" s="3">
        <v>1.2537446031695598E-2</v>
      </c>
    </row>
    <row r="1432" spans="1:3" x14ac:dyDescent="0.3">
      <c r="A1432" s="3">
        <v>1408</v>
      </c>
      <c r="B1432" s="3">
        <v>1.1603800536284181</v>
      </c>
      <c r="C1432" s="3">
        <v>3.8199463715817839E-3</v>
      </c>
    </row>
    <row r="1433" spans="1:3" x14ac:dyDescent="0.3">
      <c r="A1433" s="3">
        <v>1409</v>
      </c>
      <c r="B1433" s="3">
        <v>1.1549731545393134</v>
      </c>
      <c r="C1433" s="3">
        <v>1.0926845460686563E-2</v>
      </c>
    </row>
    <row r="1434" spans="1:3" x14ac:dyDescent="0.3">
      <c r="A1434" s="3">
        <v>1410</v>
      </c>
      <c r="B1434" s="3">
        <v>1.1563450543081908</v>
      </c>
      <c r="C1434" s="3">
        <v>8.454945691809268E-3</v>
      </c>
    </row>
    <row r="1435" spans="1:3" x14ac:dyDescent="0.3">
      <c r="A1435" s="3">
        <v>1411</v>
      </c>
      <c r="B1435" s="3">
        <v>1.1554573544577409</v>
      </c>
      <c r="C1435" s="3">
        <v>1.6242645542259071E-2</v>
      </c>
    </row>
    <row r="1436" spans="1:3" x14ac:dyDescent="0.3">
      <c r="A1436" s="3">
        <v>1412</v>
      </c>
      <c r="B1436" s="3">
        <v>1.1610256535196544</v>
      </c>
      <c r="C1436" s="3">
        <v>1.5174346480345546E-2</v>
      </c>
    </row>
    <row r="1437" spans="1:3" x14ac:dyDescent="0.3">
      <c r="A1437" s="3">
        <v>1413</v>
      </c>
      <c r="B1437" s="3">
        <v>1.1646571529078589</v>
      </c>
      <c r="C1437" s="3">
        <v>6.0428470921412014E-3</v>
      </c>
    </row>
    <row r="1438" spans="1:3" x14ac:dyDescent="0.3">
      <c r="A1438" s="3">
        <v>1414</v>
      </c>
      <c r="B1438" s="3">
        <v>1.1602186536556089</v>
      </c>
      <c r="C1438" s="3">
        <v>9.0813463443910614E-3</v>
      </c>
    </row>
    <row r="1439" spans="1:3" x14ac:dyDescent="0.3">
      <c r="A1439" s="3">
        <v>1415</v>
      </c>
      <c r="B1439" s="3">
        <v>1.1590888538459452</v>
      </c>
      <c r="C1439" s="3">
        <v>1.4211146154054832E-2</v>
      </c>
    </row>
    <row r="1440" spans="1:3" x14ac:dyDescent="0.3">
      <c r="A1440" s="3">
        <v>1416</v>
      </c>
      <c r="B1440" s="3">
        <v>1.1623168533021271</v>
      </c>
      <c r="C1440" s="3">
        <v>1.0983146697872925E-2</v>
      </c>
    </row>
    <row r="1441" spans="1:3" x14ac:dyDescent="0.3">
      <c r="A1441" s="3">
        <v>1417</v>
      </c>
      <c r="B1441" s="3">
        <v>1.1623168533021271</v>
      </c>
      <c r="C1441" s="3">
        <v>1.3883146697872828E-2</v>
      </c>
    </row>
    <row r="1442" spans="1:3" x14ac:dyDescent="0.3">
      <c r="A1442" s="3">
        <v>1418</v>
      </c>
      <c r="B1442" s="3">
        <v>1.1646571529078589</v>
      </c>
      <c r="C1442" s="3">
        <v>2.1942847092141227E-2</v>
      </c>
    </row>
    <row r="1443" spans="1:3" x14ac:dyDescent="0.3">
      <c r="A1443" s="3">
        <v>1419</v>
      </c>
      <c r="B1443" s="3">
        <v>1.1730499514939314</v>
      </c>
      <c r="C1443" s="3">
        <v>8.1500485060685968E-3</v>
      </c>
    </row>
    <row r="1444" spans="1:3" x14ac:dyDescent="0.3">
      <c r="A1444" s="3">
        <v>1420</v>
      </c>
      <c r="B1444" s="3">
        <v>1.168692152228086</v>
      </c>
      <c r="C1444" s="3">
        <v>9.9078477719141134E-3</v>
      </c>
    </row>
    <row r="1445" spans="1:3" x14ac:dyDescent="0.3">
      <c r="A1445" s="3">
        <v>1421</v>
      </c>
      <c r="B1445" s="3">
        <v>1.1665939525815681</v>
      </c>
      <c r="C1445" s="3">
        <v>7.8060474184320494E-3</v>
      </c>
    </row>
    <row r="1446" spans="1:3" x14ac:dyDescent="0.3">
      <c r="A1446" s="3">
        <v>1422</v>
      </c>
      <c r="B1446" s="3">
        <v>1.163204553152577</v>
      </c>
      <c r="C1446" s="3">
        <v>1.6995446847422935E-2</v>
      </c>
    </row>
    <row r="1447" spans="1:3" x14ac:dyDescent="0.3">
      <c r="A1447" s="3">
        <v>1423</v>
      </c>
      <c r="B1447" s="3">
        <v>1.1678851523640406</v>
      </c>
      <c r="C1447" s="3">
        <v>1.3514847635959448E-2</v>
      </c>
    </row>
    <row r="1448" spans="1:3" x14ac:dyDescent="0.3">
      <c r="A1448" s="3">
        <v>1424</v>
      </c>
      <c r="B1448" s="3">
        <v>1.1688535522008952</v>
      </c>
      <c r="C1448" s="3">
        <v>4.9464477991048028E-3</v>
      </c>
    </row>
    <row r="1449" spans="1:3" x14ac:dyDescent="0.3">
      <c r="A1449" s="3">
        <v>1425</v>
      </c>
      <c r="B1449" s="3">
        <v>1.1627203532341497</v>
      </c>
      <c r="C1449" s="3">
        <v>3.7796467658504085E-3</v>
      </c>
    </row>
    <row r="1450" spans="1:3" x14ac:dyDescent="0.3">
      <c r="A1450" s="3">
        <v>1426</v>
      </c>
      <c r="B1450" s="3">
        <v>1.1568292542266181</v>
      </c>
      <c r="C1450" s="3">
        <v>1.2870745773381875E-2</v>
      </c>
    </row>
    <row r="1451" spans="1:3" x14ac:dyDescent="0.3">
      <c r="A1451" s="3">
        <v>1427</v>
      </c>
      <c r="B1451" s="3">
        <v>1.1594116537915635</v>
      </c>
      <c r="C1451" s="3">
        <v>1.3188346208436563E-2</v>
      </c>
    </row>
    <row r="1452" spans="1:3" x14ac:dyDescent="0.3">
      <c r="A1452" s="3">
        <v>1428</v>
      </c>
      <c r="B1452" s="3">
        <v>1.1617519533972953</v>
      </c>
      <c r="C1452" s="3">
        <v>1.1548046602704698E-2</v>
      </c>
    </row>
    <row r="1453" spans="1:3" x14ac:dyDescent="0.3">
      <c r="A1453" s="3">
        <v>1429</v>
      </c>
      <c r="B1453" s="3">
        <v>1.1623168533021271</v>
      </c>
      <c r="C1453" s="3">
        <v>1.048314669787298E-2</v>
      </c>
    </row>
    <row r="1454" spans="1:3" x14ac:dyDescent="0.3">
      <c r="A1454" s="3">
        <v>1430</v>
      </c>
      <c r="B1454" s="3">
        <v>1.1619133533701045</v>
      </c>
      <c r="C1454" s="3">
        <v>9.4866466298955121E-3</v>
      </c>
    </row>
    <row r="1455" spans="1:3" x14ac:dyDescent="0.3">
      <c r="A1455" s="3">
        <v>1431</v>
      </c>
      <c r="B1455" s="3">
        <v>1.1607835535604407</v>
      </c>
      <c r="C1455" s="3">
        <v>1.3316446439559204E-2</v>
      </c>
    </row>
    <row r="1456" spans="1:3" x14ac:dyDescent="0.3">
      <c r="A1456" s="3">
        <v>1432</v>
      </c>
      <c r="B1456" s="3">
        <v>1.1629624531933633</v>
      </c>
      <c r="C1456" s="3">
        <v>8.2375468066366864E-3</v>
      </c>
    </row>
    <row r="1457" spans="1:3" x14ac:dyDescent="0.3">
      <c r="A1457" s="3">
        <v>1433</v>
      </c>
      <c r="B1457" s="3">
        <v>1.1606221535876315</v>
      </c>
      <c r="C1457" s="3">
        <v>4.6778464123684582E-3</v>
      </c>
    </row>
    <row r="1458" spans="1:3" x14ac:dyDescent="0.3">
      <c r="A1458" s="3">
        <v>1434</v>
      </c>
      <c r="B1458" s="3">
        <v>1.1558608543897635</v>
      </c>
      <c r="C1458" s="3">
        <v>6.4391456102366185E-3</v>
      </c>
    </row>
    <row r="1459" spans="1:3" x14ac:dyDescent="0.3">
      <c r="A1459" s="3">
        <v>1435</v>
      </c>
      <c r="B1459" s="3">
        <v>1.1534398547976275</v>
      </c>
      <c r="C1459" s="3">
        <v>2.8601452023726548E-3</v>
      </c>
    </row>
    <row r="1460" spans="1:3" x14ac:dyDescent="0.3">
      <c r="A1460" s="3">
        <v>1436</v>
      </c>
      <c r="B1460" s="3">
        <v>1.1485978556133549</v>
      </c>
      <c r="C1460" s="3">
        <v>1.3202144386645021E-2</v>
      </c>
    </row>
    <row r="1461" spans="1:3" x14ac:dyDescent="0.3">
      <c r="A1461" s="3">
        <v>1437</v>
      </c>
      <c r="B1461" s="3">
        <v>1.1530363548656046</v>
      </c>
      <c r="C1461" s="3">
        <v>3.9636451343953993E-3</v>
      </c>
    </row>
    <row r="1462" spans="1:3" x14ac:dyDescent="0.3">
      <c r="A1462" s="3">
        <v>1438</v>
      </c>
      <c r="B1462" s="3">
        <v>1.1491627555181865</v>
      </c>
      <c r="C1462" s="3">
        <v>1.1337244481813613E-2</v>
      </c>
    </row>
    <row r="1463" spans="1:3" x14ac:dyDescent="0.3">
      <c r="A1463" s="3">
        <v>1439</v>
      </c>
      <c r="B1463" s="3">
        <v>1.1519872550423456</v>
      </c>
      <c r="C1463" s="3">
        <v>1.2712744957654509E-2</v>
      </c>
    </row>
    <row r="1464" spans="1:3" x14ac:dyDescent="0.3">
      <c r="A1464" s="3">
        <v>1440</v>
      </c>
      <c r="B1464" s="3">
        <v>1.1553766544713364</v>
      </c>
      <c r="C1464" s="3">
        <v>1.3223345528663666E-2</v>
      </c>
    </row>
    <row r="1465" spans="1:3" x14ac:dyDescent="0.3">
      <c r="A1465" s="3">
        <v>1441</v>
      </c>
      <c r="B1465" s="3">
        <v>1.1585239539411136</v>
      </c>
      <c r="C1465" s="3">
        <v>7.1760460588863317E-3</v>
      </c>
    </row>
    <row r="1466" spans="1:3" x14ac:dyDescent="0.3">
      <c r="A1466" s="3">
        <v>1442</v>
      </c>
      <c r="B1466" s="3">
        <v>1.1561836543353818</v>
      </c>
      <c r="C1466" s="3">
        <v>7.9163456646180741E-3</v>
      </c>
    </row>
    <row r="1467" spans="1:3" x14ac:dyDescent="0.3">
      <c r="A1467" s="3">
        <v>1443</v>
      </c>
      <c r="B1467" s="3">
        <v>1.1548924545529089</v>
      </c>
      <c r="C1467" s="3">
        <v>4.907545447091044E-3</v>
      </c>
    </row>
    <row r="1468" spans="1:3" x14ac:dyDescent="0.3">
      <c r="A1468" s="3">
        <v>1444</v>
      </c>
      <c r="B1468" s="3">
        <v>1.1514223551375138</v>
      </c>
      <c r="C1468" s="3">
        <v>9.4776448624862564E-3</v>
      </c>
    </row>
    <row r="1469" spans="1:3" x14ac:dyDescent="0.3">
      <c r="A1469" s="3">
        <v>1445</v>
      </c>
      <c r="B1469" s="3">
        <v>1.1523100549879637</v>
      </c>
      <c r="C1469" s="3">
        <v>9.4899450120362605E-3</v>
      </c>
    </row>
    <row r="1470" spans="1:3" x14ac:dyDescent="0.3">
      <c r="A1470" s="3">
        <v>1446</v>
      </c>
      <c r="B1470" s="3">
        <v>1.1530363548656046</v>
      </c>
      <c r="C1470" s="3">
        <v>9.4636451343954597E-3</v>
      </c>
    </row>
    <row r="1471" spans="1:3" x14ac:dyDescent="0.3">
      <c r="A1471" s="3">
        <v>1447</v>
      </c>
      <c r="B1471" s="3">
        <v>1.1536012547704364</v>
      </c>
      <c r="C1471" s="3">
        <v>1.07987452295637E-2</v>
      </c>
    </row>
    <row r="1472" spans="1:3" x14ac:dyDescent="0.3">
      <c r="A1472" s="3">
        <v>1448</v>
      </c>
      <c r="B1472" s="3">
        <v>1.1551345545121228</v>
      </c>
      <c r="C1472" s="3">
        <v>9.8654454878772668E-3</v>
      </c>
    </row>
    <row r="1473" spans="1:3" x14ac:dyDescent="0.3">
      <c r="A1473" s="3">
        <v>1449</v>
      </c>
      <c r="B1473" s="3">
        <v>1.1556187544305501</v>
      </c>
      <c r="C1473" s="3">
        <v>4.3812455694498542E-3</v>
      </c>
    </row>
    <row r="1474" spans="1:3" x14ac:dyDescent="0.3">
      <c r="A1474" s="3">
        <v>1450</v>
      </c>
      <c r="B1474" s="3">
        <v>1.1515837551103227</v>
      </c>
      <c r="C1474" s="3">
        <v>4.9162448896773459E-3</v>
      </c>
    </row>
    <row r="1475" spans="1:3" x14ac:dyDescent="0.3">
      <c r="A1475" s="3">
        <v>1451</v>
      </c>
      <c r="B1475" s="3">
        <v>1.1487592555861639</v>
      </c>
      <c r="C1475" s="3">
        <v>4.6407444138361065E-3</v>
      </c>
    </row>
    <row r="1476" spans="1:3" x14ac:dyDescent="0.3">
      <c r="A1476" s="3">
        <v>1452</v>
      </c>
      <c r="B1476" s="3">
        <v>1.1462575560076229</v>
      </c>
      <c r="C1476" s="3">
        <v>5.6424439923770109E-3</v>
      </c>
    </row>
    <row r="1477" spans="1:3" x14ac:dyDescent="0.3">
      <c r="A1477" s="3">
        <v>1453</v>
      </c>
      <c r="B1477" s="3">
        <v>1.1450470562115549</v>
      </c>
      <c r="C1477" s="3">
        <v>3.2529437884452062E-3</v>
      </c>
    </row>
    <row r="1478" spans="1:3" x14ac:dyDescent="0.3">
      <c r="A1478" s="3">
        <v>1454</v>
      </c>
      <c r="B1478" s="3">
        <v>1.1421418567009913</v>
      </c>
      <c r="C1478" s="3">
        <v>6.9581432990086789E-3</v>
      </c>
    </row>
    <row r="1479" spans="1:3" x14ac:dyDescent="0.3">
      <c r="A1479" s="3">
        <v>1455</v>
      </c>
      <c r="B1479" s="3">
        <v>1.1427874565922276</v>
      </c>
      <c r="C1479" s="3">
        <v>1.1812543407772491E-2</v>
      </c>
    </row>
    <row r="1480" spans="1:3" x14ac:dyDescent="0.3">
      <c r="A1480" s="3">
        <v>1456</v>
      </c>
      <c r="B1480" s="3">
        <v>1.1472259558444775</v>
      </c>
      <c r="C1480" s="3">
        <v>9.2740441555225761E-3</v>
      </c>
    </row>
    <row r="1481" spans="1:3" x14ac:dyDescent="0.3">
      <c r="A1481" s="3">
        <v>1457</v>
      </c>
      <c r="B1481" s="3">
        <v>1.1487592555861639</v>
      </c>
      <c r="C1481" s="3">
        <v>6.8407444138360862E-3</v>
      </c>
    </row>
    <row r="1482" spans="1:3" x14ac:dyDescent="0.3">
      <c r="A1482" s="3">
        <v>1458</v>
      </c>
      <c r="B1482" s="3">
        <v>1.1480329557085227</v>
      </c>
      <c r="C1482" s="3">
        <v>9.9670442914772117E-3</v>
      </c>
    </row>
    <row r="1483" spans="1:3" x14ac:dyDescent="0.3">
      <c r="A1483" s="3">
        <v>1459</v>
      </c>
      <c r="B1483" s="3">
        <v>1.1499697553822319</v>
      </c>
      <c r="C1483" s="3">
        <v>9.230244617768113E-3</v>
      </c>
    </row>
    <row r="1484" spans="1:3" x14ac:dyDescent="0.3">
      <c r="A1484" s="3">
        <v>1460</v>
      </c>
      <c r="B1484" s="3">
        <v>1.1509381552190865</v>
      </c>
      <c r="C1484" s="3">
        <v>1.2861844780913456E-2</v>
      </c>
    </row>
    <row r="1485" spans="1:3" x14ac:dyDescent="0.3">
      <c r="A1485" s="3">
        <v>1461</v>
      </c>
      <c r="B1485" s="3">
        <v>1.1546503545936955</v>
      </c>
      <c r="C1485" s="3">
        <v>7.3496454063044503E-3</v>
      </c>
    </row>
    <row r="1486" spans="1:3" x14ac:dyDescent="0.3">
      <c r="A1486" s="3">
        <v>1462</v>
      </c>
      <c r="B1486" s="3">
        <v>1.1531977548384136</v>
      </c>
      <c r="C1486" s="3">
        <v>5.9022451615864391E-3</v>
      </c>
    </row>
    <row r="1487" spans="1:3" x14ac:dyDescent="0.3">
      <c r="A1487" s="3">
        <v>1463</v>
      </c>
      <c r="B1487" s="3">
        <v>1.150857455232682</v>
      </c>
      <c r="C1487" s="3">
        <v>7.0425447673179153E-3</v>
      </c>
    </row>
    <row r="1488" spans="1:3" x14ac:dyDescent="0.3">
      <c r="A1488" s="3">
        <v>1464</v>
      </c>
      <c r="B1488" s="3">
        <v>1.1498890553958274</v>
      </c>
      <c r="C1488" s="3">
        <v>3.6109446041725501E-3</v>
      </c>
    </row>
    <row r="1489" spans="1:3" x14ac:dyDescent="0.3">
      <c r="A1489" s="3">
        <v>1465</v>
      </c>
      <c r="B1489" s="3">
        <v>1.1463382559940274</v>
      </c>
      <c r="C1489" s="3">
        <v>6.3617440059726693E-3</v>
      </c>
    </row>
    <row r="1490" spans="1:3" x14ac:dyDescent="0.3">
      <c r="A1490" s="3">
        <v>1466</v>
      </c>
      <c r="B1490" s="3">
        <v>1.1456926561027911</v>
      </c>
      <c r="C1490" s="3">
        <v>5.4073438972088717E-3</v>
      </c>
    </row>
    <row r="1491" spans="1:3" x14ac:dyDescent="0.3">
      <c r="A1491" s="3">
        <v>1467</v>
      </c>
      <c r="B1491" s="3">
        <v>1.1444014563203184</v>
      </c>
      <c r="C1491" s="3">
        <v>7.5985436796814909E-3</v>
      </c>
    </row>
    <row r="1492" spans="1:3" x14ac:dyDescent="0.3">
      <c r="A1492" s="3">
        <v>1468</v>
      </c>
      <c r="B1492" s="3">
        <v>1.1451277561979594</v>
      </c>
      <c r="C1492" s="3">
        <v>1.1772243802040672E-2</v>
      </c>
    </row>
    <row r="1493" spans="1:3" x14ac:dyDescent="0.3">
      <c r="A1493" s="3">
        <v>1469</v>
      </c>
      <c r="B1493" s="3">
        <v>1.149082055531782</v>
      </c>
      <c r="C1493" s="3">
        <v>1.0417944468217977E-2</v>
      </c>
    </row>
    <row r="1494" spans="1:3" x14ac:dyDescent="0.3">
      <c r="A1494" s="3">
        <v>1470</v>
      </c>
      <c r="B1494" s="3">
        <v>1.1511802551782999</v>
      </c>
      <c r="C1494" s="3">
        <v>8.3197448217000591E-3</v>
      </c>
    </row>
    <row r="1495" spans="1:3" x14ac:dyDescent="0.3">
      <c r="A1495" s="3">
        <v>1471</v>
      </c>
      <c r="B1495" s="3">
        <v>1.1511802551782999</v>
      </c>
      <c r="C1495" s="3">
        <v>8.3197448217000591E-3</v>
      </c>
    </row>
    <row r="1496" spans="1:3" x14ac:dyDescent="0.3">
      <c r="A1496" s="3">
        <v>1472</v>
      </c>
      <c r="B1496" s="3">
        <v>1.1511802551782999</v>
      </c>
      <c r="C1496" s="3">
        <v>9.619744821700138E-3</v>
      </c>
    </row>
    <row r="1497" spans="1:3" x14ac:dyDescent="0.3">
      <c r="A1497" s="3">
        <v>1473</v>
      </c>
      <c r="B1497" s="3">
        <v>1.1522293550015592</v>
      </c>
      <c r="C1497" s="3">
        <v>1.0170644998440892E-2</v>
      </c>
    </row>
    <row r="1498" spans="1:3" x14ac:dyDescent="0.3">
      <c r="A1498" s="3">
        <v>1474</v>
      </c>
      <c r="B1498" s="3">
        <v>1.1535205547840319</v>
      </c>
      <c r="C1498" s="3">
        <v>1.3279445215968133E-2</v>
      </c>
    </row>
    <row r="1499" spans="1:3" x14ac:dyDescent="0.3">
      <c r="A1499" s="3">
        <v>1475</v>
      </c>
      <c r="B1499" s="3">
        <v>1.1570713541858317</v>
      </c>
      <c r="C1499" s="3">
        <v>7.2286458141681553E-3</v>
      </c>
    </row>
    <row r="1500" spans="1:3" x14ac:dyDescent="0.3">
      <c r="A1500" s="3">
        <v>1476</v>
      </c>
      <c r="B1500" s="3">
        <v>1.1550538545257181</v>
      </c>
      <c r="C1500" s="3">
        <v>8.9461454742818525E-3</v>
      </c>
    </row>
    <row r="1501" spans="1:3" x14ac:dyDescent="0.3">
      <c r="A1501" s="3">
        <v>1477</v>
      </c>
      <c r="B1501" s="3">
        <v>1.1548117545665044</v>
      </c>
      <c r="C1501" s="3">
        <v>8.6882454334955561E-3</v>
      </c>
    </row>
    <row r="1502" spans="1:3" x14ac:dyDescent="0.3">
      <c r="A1502" s="3">
        <v>1478</v>
      </c>
      <c r="B1502" s="3">
        <v>1.1544082546344818</v>
      </c>
      <c r="C1502" s="3">
        <v>8.0917453655182658E-3</v>
      </c>
    </row>
    <row r="1503" spans="1:3" x14ac:dyDescent="0.3">
      <c r="A1503" s="3">
        <v>1479</v>
      </c>
      <c r="B1503" s="3">
        <v>1.1536012547704364</v>
      </c>
      <c r="C1503" s="3">
        <v>1.5598745229563615E-2</v>
      </c>
    </row>
    <row r="1504" spans="1:3" x14ac:dyDescent="0.3">
      <c r="A1504" s="3">
        <v>1480</v>
      </c>
      <c r="B1504" s="3">
        <v>1.1590081538595407</v>
      </c>
      <c r="C1504" s="3">
        <v>1.4691846140459264E-2</v>
      </c>
    </row>
    <row r="1505" spans="1:3" x14ac:dyDescent="0.3">
      <c r="A1505" s="3">
        <v>1481</v>
      </c>
      <c r="B1505" s="3">
        <v>1.1626396532477452</v>
      </c>
      <c r="C1505" s="3">
        <v>1.0660346752254801E-2</v>
      </c>
    </row>
    <row r="1506" spans="1:3" x14ac:dyDescent="0.3">
      <c r="A1506" s="3">
        <v>1482</v>
      </c>
      <c r="B1506" s="3">
        <v>1.1623168533021271</v>
      </c>
      <c r="C1506" s="3">
        <v>1.2883146697872938E-2</v>
      </c>
    </row>
    <row r="1507" spans="1:3" x14ac:dyDescent="0.3">
      <c r="A1507" s="3">
        <v>1483</v>
      </c>
      <c r="B1507" s="3">
        <v>1.1638501530438132</v>
      </c>
      <c r="C1507" s="3">
        <v>1.0749846956186859E-2</v>
      </c>
    </row>
    <row r="1508" spans="1:3" x14ac:dyDescent="0.3">
      <c r="A1508" s="3">
        <v>1484</v>
      </c>
      <c r="B1508" s="3">
        <v>1.1633659531253862</v>
      </c>
      <c r="C1508" s="3">
        <v>1.0534046874613789E-2</v>
      </c>
    </row>
    <row r="1509" spans="1:3" x14ac:dyDescent="0.3">
      <c r="A1509" s="3">
        <v>1485</v>
      </c>
      <c r="B1509" s="3">
        <v>1.1628010532205542</v>
      </c>
      <c r="C1509" s="3">
        <v>9.0989467794457823E-3</v>
      </c>
    </row>
    <row r="1510" spans="1:3" x14ac:dyDescent="0.3">
      <c r="A1510" s="3">
        <v>1486</v>
      </c>
      <c r="B1510" s="3">
        <v>1.1611870534924633</v>
      </c>
      <c r="C1510" s="3">
        <v>9.312946507536779E-3</v>
      </c>
    </row>
    <row r="1511" spans="1:3" x14ac:dyDescent="0.3">
      <c r="A1511" s="3">
        <v>1487</v>
      </c>
      <c r="B1511" s="3">
        <v>1.1600572536827998</v>
      </c>
      <c r="C1511" s="3">
        <v>1.5442746317200218E-2</v>
      </c>
    </row>
    <row r="1512" spans="1:3" x14ac:dyDescent="0.3">
      <c r="A1512" s="3">
        <v>1488</v>
      </c>
      <c r="B1512" s="3">
        <v>1.1640922530030271</v>
      </c>
      <c r="C1512" s="3">
        <v>1.5107746996972926E-2</v>
      </c>
    </row>
    <row r="1513" spans="1:3" x14ac:dyDescent="0.3">
      <c r="A1513" s="3">
        <v>1489</v>
      </c>
      <c r="B1513" s="3">
        <v>1.1670781524999951</v>
      </c>
      <c r="C1513" s="3">
        <v>1.1121847500004778E-2</v>
      </c>
    </row>
    <row r="1514" spans="1:3" x14ac:dyDescent="0.3">
      <c r="A1514" s="3">
        <v>1490</v>
      </c>
      <c r="B1514" s="3">
        <v>1.1662711526359497</v>
      </c>
      <c r="C1514" s="3">
        <v>1.1428847364050254E-2</v>
      </c>
    </row>
    <row r="1515" spans="1:3" x14ac:dyDescent="0.3">
      <c r="A1515" s="3">
        <v>1491</v>
      </c>
      <c r="B1515" s="3">
        <v>1.1658676527039269</v>
      </c>
      <c r="C1515" s="3">
        <v>1.0532347296072997E-2</v>
      </c>
    </row>
    <row r="1516" spans="1:3" x14ac:dyDescent="0.3">
      <c r="A1516" s="3">
        <v>1492</v>
      </c>
      <c r="B1516" s="3">
        <v>1.1648185528806678</v>
      </c>
      <c r="C1516" s="3">
        <v>1.1881447119332256E-2</v>
      </c>
    </row>
    <row r="1517" spans="1:3" x14ac:dyDescent="0.3">
      <c r="A1517" s="3">
        <v>1493</v>
      </c>
      <c r="B1517" s="3">
        <v>1.1650606528398817</v>
      </c>
      <c r="C1517" s="3">
        <v>9.4393471601184054E-3</v>
      </c>
    </row>
    <row r="1518" spans="1:3" x14ac:dyDescent="0.3">
      <c r="A1518" s="3">
        <v>1494</v>
      </c>
      <c r="B1518" s="3">
        <v>1.1632852531389817</v>
      </c>
      <c r="C1518" s="3">
        <v>1.0714746861018254E-2</v>
      </c>
    </row>
    <row r="1519" spans="1:3" x14ac:dyDescent="0.3">
      <c r="A1519" s="3">
        <v>1495</v>
      </c>
      <c r="B1519" s="3">
        <v>1.1628817532069586</v>
      </c>
      <c r="C1519" s="3">
        <v>1.1818246793041443E-2</v>
      </c>
    </row>
    <row r="1520" spans="1:3" x14ac:dyDescent="0.3">
      <c r="A1520" s="3">
        <v>1496</v>
      </c>
      <c r="B1520" s="3">
        <v>1.1634466531117909</v>
      </c>
      <c r="C1520" s="3">
        <v>8.5533468882090791E-3</v>
      </c>
    </row>
    <row r="1521" spans="1:3" x14ac:dyDescent="0.3">
      <c r="A1521" s="3">
        <v>1497</v>
      </c>
      <c r="B1521" s="3">
        <v>1.1612677534788678</v>
      </c>
      <c r="C1521" s="3">
        <v>1.0832246521132127E-2</v>
      </c>
    </row>
    <row r="1522" spans="1:3" x14ac:dyDescent="0.3">
      <c r="A1522" s="3">
        <v>1498</v>
      </c>
      <c r="B1522" s="3">
        <v>1.1613484534652725</v>
      </c>
      <c r="C1522" s="3">
        <v>7.2515465347275931E-3</v>
      </c>
    </row>
    <row r="1523" spans="1:3" x14ac:dyDescent="0.3">
      <c r="A1523" s="3">
        <v>1499</v>
      </c>
      <c r="B1523" s="3">
        <v>1.1585239539411136</v>
      </c>
      <c r="C1523" s="3">
        <v>8.7760460588863776E-3</v>
      </c>
    </row>
    <row r="1524" spans="1:3" x14ac:dyDescent="0.3">
      <c r="A1524" s="3">
        <v>1500</v>
      </c>
      <c r="B1524" s="3">
        <v>1.1574748541178543</v>
      </c>
      <c r="C1524" s="3">
        <v>8.3251458821456126E-3</v>
      </c>
    </row>
    <row r="1525" spans="1:3" x14ac:dyDescent="0.3">
      <c r="A1525" s="3">
        <v>1501</v>
      </c>
      <c r="B1525" s="3">
        <v>1.1562643543217863</v>
      </c>
      <c r="C1525" s="3">
        <v>6.6356456782137307E-3</v>
      </c>
    </row>
    <row r="1526" spans="1:3" x14ac:dyDescent="0.3">
      <c r="A1526" s="3">
        <v>1502</v>
      </c>
      <c r="B1526" s="3">
        <v>1.1539240547160547</v>
      </c>
      <c r="C1526" s="3">
        <v>1.2875945283945311E-2</v>
      </c>
    </row>
    <row r="1527" spans="1:3" x14ac:dyDescent="0.3">
      <c r="A1527" s="3">
        <v>1503</v>
      </c>
      <c r="B1527" s="3">
        <v>1.1570713541858317</v>
      </c>
      <c r="C1527" s="3">
        <v>7.4286458141683553E-3</v>
      </c>
    </row>
    <row r="1528" spans="1:3" x14ac:dyDescent="0.3">
      <c r="A1528" s="3">
        <v>1504</v>
      </c>
      <c r="B1528" s="3">
        <v>1.1552152544985272</v>
      </c>
      <c r="C1528" s="3">
        <v>8.8847455014726684E-3</v>
      </c>
    </row>
    <row r="1529" spans="1:3" x14ac:dyDescent="0.3">
      <c r="A1529" s="3">
        <v>1505</v>
      </c>
      <c r="B1529" s="3">
        <v>1.1548924545529089</v>
      </c>
      <c r="C1529" s="3">
        <v>5.8075454470911669E-3</v>
      </c>
    </row>
    <row r="1530" spans="1:3" x14ac:dyDescent="0.3">
      <c r="A1530" s="3">
        <v>1506</v>
      </c>
      <c r="B1530" s="3">
        <v>1.1521486550151545</v>
      </c>
      <c r="C1530" s="3">
        <v>6.151344984845597E-3</v>
      </c>
    </row>
    <row r="1531" spans="1:3" x14ac:dyDescent="0.3">
      <c r="A1531" s="3">
        <v>1507</v>
      </c>
      <c r="B1531" s="3">
        <v>1.1502118553414458</v>
      </c>
      <c r="C1531" s="3">
        <v>1.3988144658554136E-2</v>
      </c>
    </row>
    <row r="1532" spans="1:3" x14ac:dyDescent="0.3">
      <c r="A1532" s="3">
        <v>1508</v>
      </c>
      <c r="B1532" s="3">
        <v>1.1549731545393134</v>
      </c>
      <c r="C1532" s="3">
        <v>1.7126845460686546E-2</v>
      </c>
    </row>
    <row r="1533" spans="1:3" x14ac:dyDescent="0.3">
      <c r="A1533" s="3">
        <v>1509</v>
      </c>
      <c r="B1533" s="3">
        <v>1.1613484534652725</v>
      </c>
      <c r="C1533" s="3">
        <v>6.8515465347274151E-3</v>
      </c>
    </row>
    <row r="1534" spans="1:3" x14ac:dyDescent="0.3">
      <c r="A1534" s="3">
        <v>1510</v>
      </c>
      <c r="B1534" s="3">
        <v>1.1582011539954953</v>
      </c>
      <c r="C1534" s="3">
        <v>1.6998846004504742E-2</v>
      </c>
    </row>
    <row r="1535" spans="1:3" x14ac:dyDescent="0.3">
      <c r="A1535" s="3">
        <v>1511</v>
      </c>
      <c r="B1535" s="3">
        <v>1.1638501530438132</v>
      </c>
      <c r="C1535" s="3">
        <v>1.9249846956186811E-2</v>
      </c>
    </row>
    <row r="1536" spans="1:3" x14ac:dyDescent="0.3">
      <c r="A1536" s="3">
        <v>1512</v>
      </c>
      <c r="B1536" s="3">
        <v>1.1702254519697723</v>
      </c>
      <c r="C1536" s="3">
        <v>1.7274548030227654E-2</v>
      </c>
    </row>
    <row r="1537" spans="1:3" ht="16.5" thickBot="1" x14ac:dyDescent="0.35">
      <c r="A1537" s="4">
        <v>1513</v>
      </c>
      <c r="B1537" s="4">
        <v>1.1737762513715722</v>
      </c>
      <c r="C1537" s="4">
        <v>3.0123748628427816E-2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EUR-GBP-JPY vs USD</vt:lpstr>
      <vt:lpstr>Dickey-Fuller</vt:lpstr>
      <vt:lpstr>PACF</vt:lpstr>
      <vt:lpstr>AR(2)</vt:lpstr>
      <vt:lpstr>AR(1)</vt:lpstr>
      <vt:lpstr>mu</vt:lpstr>
      <vt:lpstr>obs</vt:lpstr>
      <vt:lpstr>PACF_AR1</vt:lpstr>
      <vt:lpstr>PACF_AR2</vt:lpstr>
      <vt:lpstr>PACF_AR3</vt:lpstr>
      <vt:lpstr>theta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2026-04-12T00:08:16Z</dcterms:modified>
</cp:coreProperties>
</file>